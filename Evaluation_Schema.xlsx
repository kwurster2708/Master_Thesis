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9C60AF83-60FB-4E98-93CF-0DF603BDD12F}" xr6:coauthVersionLast="47" xr6:coauthVersionMax="47" xr10:uidLastSave="{00000000-0000-0000-0000-000000000000}"/>
  <bookViews>
    <workbookView xWindow="-96" yWindow="0" windowWidth="13884" windowHeight="12336" xr2:uid="{E8F4F112-DC9E-445D-AE6E-08B98EFB1B63}"/>
  </bookViews>
  <sheets>
    <sheet name="Big" sheetId="3" r:id="rId1"/>
    <sheet name="Schema #1" sheetId="1" r:id="rId2"/>
    <sheet name="Schema #2" sheetId="2" r:id="rId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5" i="2" l="1"/>
  <c r="B12" i="2"/>
  <c r="D11" i="2"/>
  <c r="D10" i="2"/>
  <c r="D9" i="2"/>
  <c r="D8" i="2"/>
  <c r="D7" i="2"/>
  <c r="D6" i="2"/>
  <c r="D5" i="2"/>
  <c r="D4" i="2"/>
  <c r="D3" i="2"/>
  <c r="D10" i="1"/>
  <c r="D9" i="1"/>
  <c r="B15" i="1"/>
  <c r="B12" i="1"/>
  <c r="D6" i="1"/>
  <c r="D11" i="1"/>
  <c r="D4" i="1"/>
  <c r="D5" i="1"/>
  <c r="D7" i="1"/>
  <c r="D8" i="1"/>
  <c r="D3" i="1"/>
  <c r="D12" i="2" l="1"/>
  <c r="D12" i="1"/>
</calcChain>
</file>

<file path=xl/sharedStrings.xml><?xml version="1.0" encoding="utf-8"?>
<sst xmlns="http://schemas.openxmlformats.org/spreadsheetml/2006/main" count="230" uniqueCount="139">
  <si>
    <t>Metric</t>
  </si>
  <si>
    <t>Weight</t>
  </si>
  <si>
    <t>Input Structure:</t>
  </si>
  <si>
    <t>Score [0, 1]</t>
  </si>
  <si>
    <t>Weighted Score</t>
  </si>
  <si>
    <t xml:space="preserve">Max Score: </t>
  </si>
  <si>
    <t>Provide an easy explanation on why the following Weather Station is classified as an outlier that an engineer working with the Weather Station can understand. </t>
  </si>
  <si>
    <t>    It is the 22nd June 2024 and the target variable for the machine learning model is the temperature. Each Weather Station has one active model which is indicated by having the highest version number. </t>
  </si>
  <si>
    <t>    There is also data on the previous models regarding feature sensitivity and performance. Every device has multiple tags that show the attributes of the device. </t>
  </si>
  <si>
    <t>    For each tag on the device a exists to different timestamps that show how different it is to the devices with the same tag. </t>
  </si>
  <si>
    <t>Provide an explanation based on the following Schema:</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</si>
  <si>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</si>
  <si>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</si>
  <si>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</si>
  <si>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</si>
  <si>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</si>
  <si>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</si>
  <si>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</si>
  <si>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</si>
  <si>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</si>
  <si>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</si>
  <si>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</si>
  <si>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</si>
  <si>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</si>
  <si>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</si>
  <si>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</si>
  <si>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</si>
  <si>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</si>
  <si>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</si>
  <si>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</si>
  <si>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</si>
  <si>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</si>
  <si>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</si>
  <si>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</si>
  <si>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</si>
  <si>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</si>
  <si>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</si>
  <si>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</si>
  <si>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</si>
  <si>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</si>
  <si>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</si>
  <si>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</si>
  <si>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</si>
  <si>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</si>
  <si>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</si>
  <si>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</si>
  <si>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</si>
  <si>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</si>
  <si>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</si>
  <si>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</si>
  <si>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</si>
  <si>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</si>
  <si>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</si>
  <si>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</si>
  <si>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</si>
  <si>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</si>
  <si>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</si>
  <si>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</si>
  <si>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</si>
  <si>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</si>
  <si>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</si>
  <si>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</si>
  <si>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</si>
  <si>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</si>
  <si>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</si>
  <si>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</si>
  <si>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</si>
  <si>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</si>
  <si>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</si>
  <si>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</si>
  <si>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</si>
  <si>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</si>
  <si>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</si>
  <si>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</si>
  <si>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</si>
  <si>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</si>
  <si>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</si>
  <si>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</si>
  <si>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</si>
  <si>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</si>
  <si>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</si>
  <si>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</si>
  <si>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</si>
  <si>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</si>
  <si>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Please explain why this anomaly occurred and what it means for the weather station's prediction model.</t>
  </si>
  <si>
    <t>deepseek-r1:latest</t>
  </si>
  <si>
    <t>  "Weather Station Information": {</t>
  </si>
  <si>
    <t>    "weather_station_classification": "Partial Outlier",</t>
  </si>
  <si>
    <t>    "trend": "stable",</t>
  </si>
  <si>
    <t>    "metric_used_for_worst_value": "MAPE"</t>
  </si>
  <si>
    <t>  "Feature Importance": {</t>
  </si>
  <si>
    <t>    "top_3_features_active_model": {</t>
  </si>
  <si>
    <t>    "top_3_features_average_historical_models": {</t>
  </si>
  <si>
    <t>      "outlier_score": "moderate"</t>
  </si>
  <si>
    <t>      "outlier_score": "no_outlier"</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</si>
  <si>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</si>
  <si>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</si>
  <si>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</si>
  <si>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</si>
  <si>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</si>
  <si>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</si>
  <si>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</si>
  <si>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</si>
  <si>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</si>
  <si>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</si>
  <si>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</si>
  <si>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</si>
  <si>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</si>
  <si>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</si>
  <si>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</si>
  <si>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</si>
  <si>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</si>
  <si>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</si>
  <si>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</si>
  <si>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</si>
  <si>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</si>
  <si>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</si>
  <si>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Does it answer the question of why this is an anomaly?</t>
  </si>
  <si>
    <t xml:space="preserve">Feature Importance integrated into reasoning? </t>
  </si>
  <si>
    <t xml:space="preserve">Performance integrated into reasoning? </t>
  </si>
  <si>
    <t xml:space="preserve">Does it help the decision-making and provide actionability? </t>
  </si>
  <si>
    <t>Is it clear and easy to understand for non-experts?</t>
  </si>
  <si>
    <t>Does it avoid irrelevant or excessive information?</t>
  </si>
  <si>
    <t>Does it cover all the relevant aspects without missing key information?</t>
  </si>
  <si>
    <t>Is external or domain knowledge integrated into reasoning?</t>
  </si>
  <si>
    <t>Is there a correct interpretation of relationships?</t>
  </si>
  <si>
    <t>Experiment 1</t>
  </si>
  <si>
    <t>Experiment 2</t>
  </si>
  <si>
    <t>Experiment 3</t>
  </si>
  <si>
    <t>Experiment 4</t>
  </si>
  <si>
    <t>Experiment 5</t>
  </si>
  <si>
    <t>Experiment 6</t>
  </si>
  <si>
    <t>d88</t>
  </si>
  <si>
    <t>Mistral</t>
  </si>
  <si>
    <t>AM</t>
  </si>
  <si>
    <t>WS</t>
  </si>
  <si>
    <t>Deepseek</t>
  </si>
  <si>
    <t>LLaVA</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</si>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</sst>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s>
  <fills count="3">
    <fill>
      <patternFill patternType="none"/>
    </fill>
    <fill>
      <patternFill patternType="gray125"/>
    </fill>
    <fill>
      <patternFill patternType="solid">
        <fgColor theme="5" tint="0.59999389629810485"/>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L8"/>
  <sheetViews>
    <sheetView tabSelected="1" workbookViewId="0">
      <selection activeCell="I9" sqref="I9"/>
    </sheetView>
  </sheetViews>
  <sheetFormatPr defaultRowHeight="14.4" x14ac:dyDescent="0.3"/>
  <cols>
    <col min="3" max="8" width="11.6640625" bestFit="1" customWidth="1"/>
  </cols>
  <sheetData>
    <row r="1" spans="1:12" x14ac:dyDescent="0.3">
      <c r="C1" t="s">
        <v>126</v>
      </c>
      <c r="D1" t="s">
        <v>127</v>
      </c>
      <c r="I1" t="s">
        <v>128</v>
      </c>
      <c r="J1" t="s">
        <v>129</v>
      </c>
      <c r="K1" t="s">
        <v>130</v>
      </c>
      <c r="L1" t="s">
        <v>131</v>
      </c>
    </row>
    <row r="2" spans="1:12" x14ac:dyDescent="0.3">
      <c r="C2" t="s">
        <v>132</v>
      </c>
      <c r="D2" t="s">
        <v>132</v>
      </c>
      <c r="E2" t="s">
        <v>138</v>
      </c>
      <c r="F2" t="s">
        <v>138</v>
      </c>
      <c r="G2" t="s">
        <v>138</v>
      </c>
      <c r="H2" t="s">
        <v>138</v>
      </c>
      <c r="I2" t="s">
        <v>132</v>
      </c>
      <c r="J2" t="s">
        <v>132</v>
      </c>
      <c r="K2" t="s">
        <v>132</v>
      </c>
      <c r="L2" t="s">
        <v>132</v>
      </c>
    </row>
    <row r="3" spans="1:12" x14ac:dyDescent="0.3">
      <c r="A3" t="s">
        <v>133</v>
      </c>
      <c r="B3" s="8" t="s">
        <v>135</v>
      </c>
    </row>
    <row r="4" spans="1:12" x14ac:dyDescent="0.3">
      <c r="B4" t="s">
        <v>134</v>
      </c>
    </row>
    <row r="5" spans="1:12" x14ac:dyDescent="0.3">
      <c r="A5" t="s">
        <v>136</v>
      </c>
      <c r="B5" s="8" t="s">
        <v>135</v>
      </c>
    </row>
    <row r="6" spans="1:12" x14ac:dyDescent="0.3">
      <c r="B6" t="s">
        <v>134</v>
      </c>
    </row>
    <row r="7" spans="1:12" x14ac:dyDescent="0.3">
      <c r="A7" t="s">
        <v>137</v>
      </c>
      <c r="B7" s="8" t="s">
        <v>135</v>
      </c>
    </row>
    <row r="8" spans="1:12" x14ac:dyDescent="0.3">
      <c r="B8" t="s">
        <v>134</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04"/>
  <sheetViews>
    <sheetView workbookViewId="0">
      <selection sqref="A1:D16"/>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t="s">
        <v>85</v>
      </c>
    </row>
    <row r="2" spans="1:7" x14ac:dyDescent="0.3">
      <c r="A2" s="1" t="s">
        <v>0</v>
      </c>
      <c r="B2" s="1" t="s">
        <v>1</v>
      </c>
      <c r="C2" s="1" t="s">
        <v>3</v>
      </c>
      <c r="D2" s="1" t="s">
        <v>4</v>
      </c>
      <c r="F2" s="2" t="s">
        <v>2</v>
      </c>
      <c r="G2" s="7" t="s">
        <v>6</v>
      </c>
    </row>
    <row r="3" spans="1:7" x14ac:dyDescent="0.3">
      <c r="A3" t="s">
        <v>117</v>
      </c>
      <c r="B3" s="3">
        <v>0.2</v>
      </c>
      <c r="C3">
        <v>1</v>
      </c>
      <c r="D3">
        <f>C3*B3</f>
        <v>0.2</v>
      </c>
      <c r="G3" s="7" t="s">
        <v>7</v>
      </c>
    </row>
    <row r="4" spans="1:7" x14ac:dyDescent="0.3">
      <c r="A4" t="s">
        <v>118</v>
      </c>
      <c r="B4" s="3">
        <v>0.1</v>
      </c>
      <c r="C4">
        <v>0</v>
      </c>
      <c r="D4">
        <f t="shared" ref="D4:D10" si="0">C4*B4</f>
        <v>0</v>
      </c>
      <c r="G4" s="7" t="s">
        <v>8</v>
      </c>
    </row>
    <row r="5" spans="1:7" x14ac:dyDescent="0.3">
      <c r="A5" t="s">
        <v>119</v>
      </c>
      <c r="B5" s="3">
        <v>0.1</v>
      </c>
      <c r="C5">
        <v>1</v>
      </c>
      <c r="D5">
        <f t="shared" si="0"/>
        <v>0.1</v>
      </c>
      <c r="G5" s="7" t="s">
        <v>9</v>
      </c>
    </row>
    <row r="6" spans="1:7" x14ac:dyDescent="0.3">
      <c r="A6" t="s">
        <v>125</v>
      </c>
      <c r="B6" s="3">
        <v>0.15</v>
      </c>
      <c r="C6">
        <v>0</v>
      </c>
      <c r="D6">
        <f t="shared" si="0"/>
        <v>0</v>
      </c>
      <c r="G6" s="7"/>
    </row>
    <row r="7" spans="1:7" x14ac:dyDescent="0.3">
      <c r="A7" t="s">
        <v>124</v>
      </c>
      <c r="B7" s="3">
        <v>0.15</v>
      </c>
      <c r="C7">
        <v>0</v>
      </c>
      <c r="D7">
        <f t="shared" si="0"/>
        <v>0</v>
      </c>
    </row>
    <row r="8" spans="1:7" x14ac:dyDescent="0.3">
      <c r="A8" t="s">
        <v>123</v>
      </c>
      <c r="B8" s="3">
        <v>0.1</v>
      </c>
      <c r="C8">
        <v>0</v>
      </c>
      <c r="D8">
        <f t="shared" si="0"/>
        <v>0</v>
      </c>
      <c r="G8" s="7" t="s">
        <v>10</v>
      </c>
    </row>
    <row r="9" spans="1:7" x14ac:dyDescent="0.3">
      <c r="A9" t="s">
        <v>122</v>
      </c>
      <c r="B9" s="3">
        <v>0.05</v>
      </c>
      <c r="C9">
        <v>0</v>
      </c>
      <c r="D9">
        <f t="shared" si="0"/>
        <v>0</v>
      </c>
      <c r="G9" s="7" t="s">
        <v>11</v>
      </c>
    </row>
    <row r="10" spans="1:7" x14ac:dyDescent="0.3">
      <c r="A10" t="s">
        <v>121</v>
      </c>
      <c r="B10" s="3">
        <v>0.1</v>
      </c>
      <c r="C10">
        <v>0.5</v>
      </c>
      <c r="D10">
        <f t="shared" si="0"/>
        <v>0.05</v>
      </c>
      <c r="G10" s="7" t="s">
        <v>12</v>
      </c>
    </row>
    <row r="11" spans="1:7" x14ac:dyDescent="0.3">
      <c r="A11" t="s">
        <v>120</v>
      </c>
      <c r="B11" s="3">
        <v>0.05</v>
      </c>
      <c r="C11">
        <v>0</v>
      </c>
      <c r="D11">
        <f>C11*B11</f>
        <v>0</v>
      </c>
      <c r="G11" s="7" t="s">
        <v>13</v>
      </c>
    </row>
    <row r="12" spans="1:7" ht="15" thickBot="1" x14ac:dyDescent="0.35">
      <c r="B12" s="4">
        <f>SUM(B3:B11)</f>
        <v>1</v>
      </c>
      <c r="D12" s="6">
        <f>SUM(D3:D11)</f>
        <v>0.35000000000000003</v>
      </c>
      <c r="G12" s="7" t="s">
        <v>14</v>
      </c>
    </row>
    <row r="13" spans="1:7" ht="15" thickTop="1" x14ac:dyDescent="0.3">
      <c r="G13" s="7" t="s">
        <v>15</v>
      </c>
    </row>
    <row r="14" spans="1:7" x14ac:dyDescent="0.3">
      <c r="G14" s="7" t="s">
        <v>16</v>
      </c>
    </row>
    <row r="15" spans="1:7" x14ac:dyDescent="0.3">
      <c r="A15" s="2" t="s">
        <v>5</v>
      </c>
      <c r="B15" s="5">
        <f>B3*1 + B4*1 +B5*1+B6*1+B7*1+B8*1+B9*1+B10*1+B11*1</f>
        <v>1</v>
      </c>
      <c r="G15" s="7" t="s">
        <v>17</v>
      </c>
    </row>
    <row r="16" spans="1:7" x14ac:dyDescent="0.3">
      <c r="G16" s="7" t="s">
        <v>18</v>
      </c>
    </row>
    <row r="17" spans="7:7" x14ac:dyDescent="0.3">
      <c r="G17" s="7" t="s">
        <v>19</v>
      </c>
    </row>
    <row r="18" spans="7:7" x14ac:dyDescent="0.3">
      <c r="G18" s="7" t="s">
        <v>20</v>
      </c>
    </row>
    <row r="20" spans="7:7" x14ac:dyDescent="0.3">
      <c r="G20" s="7" t="s">
        <v>21</v>
      </c>
    </row>
    <row r="21" spans="7:7" x14ac:dyDescent="0.3">
      <c r="G21" s="7" t="s">
        <v>22</v>
      </c>
    </row>
    <row r="22" spans="7:7" x14ac:dyDescent="0.3">
      <c r="G22" s="7" t="s">
        <v>23</v>
      </c>
    </row>
    <row r="23" spans="7:7" x14ac:dyDescent="0.3">
      <c r="G23" s="7" t="s">
        <v>24</v>
      </c>
    </row>
    <row r="24" spans="7:7" x14ac:dyDescent="0.3">
      <c r="G24" s="7" t="s">
        <v>25</v>
      </c>
    </row>
    <row r="25" spans="7:7" x14ac:dyDescent="0.3">
      <c r="G25" s="7" t="s">
        <v>26</v>
      </c>
    </row>
    <row r="26" spans="7:7" x14ac:dyDescent="0.3">
      <c r="G26" s="7" t="s">
        <v>27</v>
      </c>
    </row>
    <row r="27" spans="7:7" x14ac:dyDescent="0.3">
      <c r="G27" s="7" t="s">
        <v>28</v>
      </c>
    </row>
    <row r="28" spans="7:7" x14ac:dyDescent="0.3">
      <c r="G28" s="7" t="s">
        <v>29</v>
      </c>
    </row>
    <row r="29" spans="7:7" x14ac:dyDescent="0.3">
      <c r="G29" s="7" t="s">
        <v>23</v>
      </c>
    </row>
    <row r="30" spans="7:7" x14ac:dyDescent="0.3">
      <c r="G30" s="7" t="s">
        <v>30</v>
      </c>
    </row>
    <row r="31" spans="7:7" x14ac:dyDescent="0.3">
      <c r="G31" s="7" t="s">
        <v>31</v>
      </c>
    </row>
    <row r="32" spans="7:7" x14ac:dyDescent="0.3">
      <c r="G32" s="7" t="s">
        <v>32</v>
      </c>
    </row>
    <row r="33" spans="7:7" x14ac:dyDescent="0.3">
      <c r="G33" s="7" t="s">
        <v>33</v>
      </c>
    </row>
    <row r="34" spans="7:7" x14ac:dyDescent="0.3">
      <c r="G34" s="7" t="s">
        <v>34</v>
      </c>
    </row>
    <row r="35" spans="7:7" x14ac:dyDescent="0.3">
      <c r="G35" s="7" t="s">
        <v>35</v>
      </c>
    </row>
    <row r="36" spans="7:7" x14ac:dyDescent="0.3">
      <c r="G36" s="7" t="s">
        <v>36</v>
      </c>
    </row>
    <row r="37" spans="7:7" x14ac:dyDescent="0.3">
      <c r="G37" s="7" t="s">
        <v>37</v>
      </c>
    </row>
    <row r="38" spans="7:7" x14ac:dyDescent="0.3">
      <c r="G38" s="7" t="s">
        <v>38</v>
      </c>
    </row>
    <row r="39" spans="7:7" x14ac:dyDescent="0.3">
      <c r="G39" s="7" t="s">
        <v>39</v>
      </c>
    </row>
    <row r="40" spans="7:7" x14ac:dyDescent="0.3">
      <c r="G40" s="7" t="s">
        <v>23</v>
      </c>
    </row>
    <row r="41" spans="7:7" x14ac:dyDescent="0.3">
      <c r="G41" s="7" t="s">
        <v>40</v>
      </c>
    </row>
    <row r="42" spans="7:7" x14ac:dyDescent="0.3">
      <c r="G42" s="7" t="s">
        <v>41</v>
      </c>
    </row>
    <row r="43" spans="7:7" x14ac:dyDescent="0.3">
      <c r="G43" s="7" t="s">
        <v>42</v>
      </c>
    </row>
    <row r="44" spans="7:7" x14ac:dyDescent="0.3">
      <c r="G44" s="7" t="s">
        <v>43</v>
      </c>
    </row>
    <row r="45" spans="7:7" x14ac:dyDescent="0.3">
      <c r="G45" s="7" t="s">
        <v>44</v>
      </c>
    </row>
    <row r="46" spans="7:7" x14ac:dyDescent="0.3">
      <c r="G46" s="7" t="s">
        <v>45</v>
      </c>
    </row>
    <row r="47" spans="7:7" x14ac:dyDescent="0.3">
      <c r="G47" s="7" t="s">
        <v>22</v>
      </c>
    </row>
    <row r="48" spans="7:7" x14ac:dyDescent="0.3">
      <c r="G48" s="7" t="s">
        <v>23</v>
      </c>
    </row>
    <row r="49" spans="7:7" x14ac:dyDescent="0.3">
      <c r="G49" s="7" t="s">
        <v>46</v>
      </c>
    </row>
    <row r="50" spans="7:7" x14ac:dyDescent="0.3">
      <c r="G50" s="7" t="s">
        <v>47</v>
      </c>
    </row>
    <row r="51" spans="7:7" x14ac:dyDescent="0.3">
      <c r="G51" s="7" t="s">
        <v>48</v>
      </c>
    </row>
    <row r="52" spans="7:7" x14ac:dyDescent="0.3">
      <c r="G52" s="7" t="s">
        <v>49</v>
      </c>
    </row>
    <row r="53" spans="7:7" x14ac:dyDescent="0.3">
      <c r="G53" s="7" t="s">
        <v>50</v>
      </c>
    </row>
    <row r="54" spans="7:7" x14ac:dyDescent="0.3">
      <c r="G54" s="7" t="s">
        <v>35</v>
      </c>
    </row>
    <row r="55" spans="7:7" x14ac:dyDescent="0.3">
      <c r="G55" s="7" t="s">
        <v>51</v>
      </c>
    </row>
    <row r="56" spans="7:7" x14ac:dyDescent="0.3">
      <c r="G56" s="7" t="s">
        <v>52</v>
      </c>
    </row>
    <row r="57" spans="7:7" x14ac:dyDescent="0.3">
      <c r="G57" s="7" t="s">
        <v>53</v>
      </c>
    </row>
    <row r="58" spans="7:7" x14ac:dyDescent="0.3">
      <c r="G58" s="7" t="s">
        <v>54</v>
      </c>
    </row>
    <row r="59" spans="7:7" x14ac:dyDescent="0.3">
      <c r="G59" s="7" t="s">
        <v>22</v>
      </c>
    </row>
    <row r="60" spans="7:7" x14ac:dyDescent="0.3">
      <c r="G60" s="7" t="s">
        <v>23</v>
      </c>
    </row>
    <row r="61" spans="7:7" x14ac:dyDescent="0.3">
      <c r="G61" s="7" t="s">
        <v>55</v>
      </c>
    </row>
    <row r="62" spans="7:7" x14ac:dyDescent="0.3">
      <c r="G62" s="7" t="s">
        <v>56</v>
      </c>
    </row>
    <row r="63" spans="7:7" x14ac:dyDescent="0.3">
      <c r="G63" s="7" t="s">
        <v>57</v>
      </c>
    </row>
    <row r="64" spans="7:7" x14ac:dyDescent="0.3">
      <c r="G64" s="7" t="s">
        <v>58</v>
      </c>
    </row>
    <row r="65" spans="7:7" x14ac:dyDescent="0.3">
      <c r="G65" s="7" t="s">
        <v>59</v>
      </c>
    </row>
    <row r="66" spans="7:7" x14ac:dyDescent="0.3">
      <c r="G66" s="7" t="s">
        <v>60</v>
      </c>
    </row>
    <row r="67" spans="7:7" x14ac:dyDescent="0.3">
      <c r="G67" s="7" t="s">
        <v>35</v>
      </c>
    </row>
    <row r="68" spans="7:7" x14ac:dyDescent="0.3">
      <c r="G68" s="7" t="s">
        <v>61</v>
      </c>
    </row>
    <row r="69" spans="7:7" x14ac:dyDescent="0.3">
      <c r="G69" s="7" t="s">
        <v>62</v>
      </c>
    </row>
    <row r="70" spans="7:7" x14ac:dyDescent="0.3">
      <c r="G70" s="7" t="s">
        <v>63</v>
      </c>
    </row>
    <row r="71" spans="7:7" x14ac:dyDescent="0.3">
      <c r="G71" s="7" t="s">
        <v>59</v>
      </c>
    </row>
    <row r="72" spans="7:7" x14ac:dyDescent="0.3">
      <c r="G72" s="7" t="s">
        <v>60</v>
      </c>
    </row>
    <row r="73" spans="7:7" x14ac:dyDescent="0.3">
      <c r="G73" s="7" t="s">
        <v>35</v>
      </c>
    </row>
    <row r="74" spans="7:7" x14ac:dyDescent="0.3">
      <c r="G74" s="7" t="s">
        <v>64</v>
      </c>
    </row>
    <row r="75" spans="7:7" x14ac:dyDescent="0.3">
      <c r="G75" s="7" t="s">
        <v>65</v>
      </c>
    </row>
    <row r="76" spans="7:7" x14ac:dyDescent="0.3">
      <c r="G76" s="7" t="s">
        <v>66</v>
      </c>
    </row>
    <row r="77" spans="7:7" x14ac:dyDescent="0.3">
      <c r="G77" s="7" t="s">
        <v>59</v>
      </c>
    </row>
    <row r="78" spans="7:7" x14ac:dyDescent="0.3">
      <c r="G78" s="7" t="s">
        <v>60</v>
      </c>
    </row>
    <row r="79" spans="7:7" x14ac:dyDescent="0.3">
      <c r="G79" s="7" t="s">
        <v>35</v>
      </c>
    </row>
    <row r="80" spans="7:7" x14ac:dyDescent="0.3">
      <c r="G80" s="7" t="s">
        <v>67</v>
      </c>
    </row>
    <row r="81" spans="7:7" x14ac:dyDescent="0.3">
      <c r="G81" s="7" t="s">
        <v>68</v>
      </c>
    </row>
    <row r="82" spans="7:7" x14ac:dyDescent="0.3">
      <c r="G82" s="7" t="s">
        <v>69</v>
      </c>
    </row>
    <row r="83" spans="7:7" x14ac:dyDescent="0.3">
      <c r="G83" s="7" t="s">
        <v>59</v>
      </c>
    </row>
    <row r="84" spans="7:7" x14ac:dyDescent="0.3">
      <c r="G84" s="7" t="s">
        <v>60</v>
      </c>
    </row>
    <row r="85" spans="7:7" x14ac:dyDescent="0.3">
      <c r="G85" s="7" t="s">
        <v>35</v>
      </c>
    </row>
    <row r="86" spans="7:7" x14ac:dyDescent="0.3">
      <c r="G86" s="7" t="s">
        <v>70</v>
      </c>
    </row>
    <row r="87" spans="7:7" x14ac:dyDescent="0.3">
      <c r="G87" s="7" t="s">
        <v>71</v>
      </c>
    </row>
    <row r="88" spans="7:7" x14ac:dyDescent="0.3">
      <c r="G88" s="7" t="s">
        <v>72</v>
      </c>
    </row>
    <row r="89" spans="7:7" x14ac:dyDescent="0.3">
      <c r="G89" s="7" t="s">
        <v>73</v>
      </c>
    </row>
    <row r="90" spans="7:7" x14ac:dyDescent="0.3">
      <c r="G90" s="7" t="s">
        <v>60</v>
      </c>
    </row>
    <row r="91" spans="7:7" x14ac:dyDescent="0.3">
      <c r="G91" s="7" t="s">
        <v>35</v>
      </c>
    </row>
    <row r="92" spans="7:7" x14ac:dyDescent="0.3">
      <c r="G92" s="7" t="s">
        <v>74</v>
      </c>
    </row>
    <row r="93" spans="7:7" x14ac:dyDescent="0.3">
      <c r="G93" s="7" t="s">
        <v>75</v>
      </c>
    </row>
    <row r="94" spans="7:7" x14ac:dyDescent="0.3">
      <c r="G94" s="7" t="s">
        <v>76</v>
      </c>
    </row>
    <row r="95" spans="7:7" x14ac:dyDescent="0.3">
      <c r="G95" s="7" t="s">
        <v>23</v>
      </c>
    </row>
    <row r="96" spans="7:7" x14ac:dyDescent="0.3">
      <c r="G96" s="7" t="s">
        <v>77</v>
      </c>
    </row>
    <row r="97" spans="7:7" x14ac:dyDescent="0.3">
      <c r="G97" s="7" t="s">
        <v>78</v>
      </c>
    </row>
    <row r="98" spans="7:7" x14ac:dyDescent="0.3">
      <c r="G98" s="7" t="s">
        <v>79</v>
      </c>
    </row>
    <row r="99" spans="7:7" x14ac:dyDescent="0.3">
      <c r="G99" s="7" t="s">
        <v>80</v>
      </c>
    </row>
    <row r="100" spans="7:7" x14ac:dyDescent="0.3">
      <c r="G100" s="7" t="s">
        <v>81</v>
      </c>
    </row>
    <row r="101" spans="7:7" x14ac:dyDescent="0.3">
      <c r="G101" s="7" t="s">
        <v>82</v>
      </c>
    </row>
    <row r="102" spans="7:7" x14ac:dyDescent="0.3">
      <c r="G102" s="7" t="s">
        <v>83</v>
      </c>
    </row>
    <row r="104" spans="7:7" x14ac:dyDescent="0.3">
      <c r="G104" s="7"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82"/>
  <sheetViews>
    <sheetView workbookViewId="0">
      <selection activeCell="D15" sqref="D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t="s">
        <v>85</v>
      </c>
    </row>
    <row r="2" spans="1:7" x14ac:dyDescent="0.3">
      <c r="A2" s="1" t="s">
        <v>0</v>
      </c>
      <c r="B2" s="1" t="s">
        <v>1</v>
      </c>
      <c r="C2" s="1" t="s">
        <v>3</v>
      </c>
      <c r="D2" s="1" t="s">
        <v>4</v>
      </c>
      <c r="F2" s="2" t="s">
        <v>2</v>
      </c>
      <c r="G2" s="7" t="s">
        <v>105</v>
      </c>
    </row>
    <row r="3" spans="1:7" x14ac:dyDescent="0.3">
      <c r="A3" t="s">
        <v>117</v>
      </c>
      <c r="B3" s="3">
        <v>0.2</v>
      </c>
      <c r="C3">
        <v>1</v>
      </c>
      <c r="D3">
        <f>C3*B3</f>
        <v>0.2</v>
      </c>
      <c r="G3" s="7" t="s">
        <v>11</v>
      </c>
    </row>
    <row r="4" spans="1:7" x14ac:dyDescent="0.3">
      <c r="A4" t="s">
        <v>118</v>
      </c>
      <c r="B4" s="3">
        <v>0.1</v>
      </c>
      <c r="C4">
        <v>0</v>
      </c>
      <c r="D4">
        <f t="shared" ref="D4:D10" si="0">C4*B4</f>
        <v>0</v>
      </c>
      <c r="G4" s="7" t="s">
        <v>86</v>
      </c>
    </row>
    <row r="5" spans="1:7" x14ac:dyDescent="0.3">
      <c r="A5" t="s">
        <v>119</v>
      </c>
      <c r="B5" s="3">
        <v>0.1</v>
      </c>
      <c r="C5">
        <v>1</v>
      </c>
      <c r="D5">
        <f t="shared" si="0"/>
        <v>0.1</v>
      </c>
      <c r="G5" s="7" t="s">
        <v>87</v>
      </c>
    </row>
    <row r="6" spans="1:7" x14ac:dyDescent="0.3">
      <c r="A6" t="s">
        <v>125</v>
      </c>
      <c r="B6" s="3">
        <v>0.15</v>
      </c>
      <c r="C6">
        <v>0</v>
      </c>
      <c r="D6">
        <f t="shared" si="0"/>
        <v>0</v>
      </c>
      <c r="G6" s="7" t="s">
        <v>13</v>
      </c>
    </row>
    <row r="7" spans="1:7" x14ac:dyDescent="0.3">
      <c r="A7" t="s">
        <v>124</v>
      </c>
      <c r="B7" s="3">
        <v>0.15</v>
      </c>
      <c r="C7">
        <v>0</v>
      </c>
      <c r="D7">
        <f t="shared" si="0"/>
        <v>0</v>
      </c>
      <c r="G7" s="7" t="s">
        <v>14</v>
      </c>
    </row>
    <row r="8" spans="1:7" x14ac:dyDescent="0.3">
      <c r="A8" t="s">
        <v>123</v>
      </c>
      <c r="B8" s="3">
        <v>0.1</v>
      </c>
      <c r="C8">
        <v>0</v>
      </c>
      <c r="D8">
        <f t="shared" si="0"/>
        <v>0</v>
      </c>
      <c r="G8" s="7" t="s">
        <v>15</v>
      </c>
    </row>
    <row r="9" spans="1:7" x14ac:dyDescent="0.3">
      <c r="A9" t="s">
        <v>122</v>
      </c>
      <c r="B9" s="3">
        <v>0.05</v>
      </c>
      <c r="C9">
        <v>1</v>
      </c>
      <c r="D9">
        <f t="shared" si="0"/>
        <v>0.05</v>
      </c>
      <c r="G9" s="7" t="s">
        <v>16</v>
      </c>
    </row>
    <row r="10" spans="1:7" x14ac:dyDescent="0.3">
      <c r="A10" t="s">
        <v>121</v>
      </c>
      <c r="B10" s="3">
        <v>0.1</v>
      </c>
      <c r="C10">
        <v>1</v>
      </c>
      <c r="D10">
        <f t="shared" si="0"/>
        <v>0.1</v>
      </c>
      <c r="G10" s="7" t="s">
        <v>17</v>
      </c>
    </row>
    <row r="11" spans="1:7" x14ac:dyDescent="0.3">
      <c r="A11" t="s">
        <v>120</v>
      </c>
      <c r="B11" s="3">
        <v>0.05</v>
      </c>
      <c r="C11">
        <v>0</v>
      </c>
      <c r="D11">
        <f>C11*B11</f>
        <v>0</v>
      </c>
      <c r="G11" s="7" t="s">
        <v>18</v>
      </c>
    </row>
    <row r="12" spans="1:7" ht="15" thickBot="1" x14ac:dyDescent="0.35">
      <c r="B12" s="4">
        <f>SUM(B3:B11)</f>
        <v>1</v>
      </c>
      <c r="D12" s="6">
        <f>SUM(D3:D11)</f>
        <v>0.45000000000000007</v>
      </c>
      <c r="G12" s="7" t="s">
        <v>19</v>
      </c>
    </row>
    <row r="13" spans="1:7" ht="15" thickTop="1" x14ac:dyDescent="0.3">
      <c r="G13" s="7" t="s">
        <v>20</v>
      </c>
    </row>
    <row r="14" spans="1:7" x14ac:dyDescent="0.3">
      <c r="G14" s="7" t="s">
        <v>21</v>
      </c>
    </row>
    <row r="15" spans="1:7" x14ac:dyDescent="0.3">
      <c r="A15" s="2" t="s">
        <v>5</v>
      </c>
      <c r="B15" s="5">
        <f>B3*1 + B4*1 +B5*1+B6*1+B7*1+B8*1+B9*1+B10*1+B11*1</f>
        <v>1</v>
      </c>
      <c r="G15" s="7" t="s">
        <v>22</v>
      </c>
    </row>
    <row r="16" spans="1:7" x14ac:dyDescent="0.3">
      <c r="G16" s="7" t="s">
        <v>23</v>
      </c>
    </row>
    <row r="17" spans="7:7" x14ac:dyDescent="0.3">
      <c r="G17" s="7" t="s">
        <v>30</v>
      </c>
    </row>
    <row r="18" spans="7:7" x14ac:dyDescent="0.3">
      <c r="G18" s="7" t="s">
        <v>106</v>
      </c>
    </row>
    <row r="19" spans="7:7" x14ac:dyDescent="0.3">
      <c r="G19" s="7" t="s">
        <v>88</v>
      </c>
    </row>
    <row r="20" spans="7:7" x14ac:dyDescent="0.3">
      <c r="G20" s="7" t="s">
        <v>107</v>
      </c>
    </row>
    <row r="21" spans="7:7" x14ac:dyDescent="0.3">
      <c r="G21" s="7" t="s">
        <v>108</v>
      </c>
    </row>
    <row r="22" spans="7:7" x14ac:dyDescent="0.3">
      <c r="G22" s="7" t="s">
        <v>89</v>
      </c>
    </row>
    <row r="23" spans="7:7" x14ac:dyDescent="0.3">
      <c r="G23" s="7" t="s">
        <v>23</v>
      </c>
    </row>
    <row r="24" spans="7:7" x14ac:dyDescent="0.3">
      <c r="G24" s="7" t="s">
        <v>40</v>
      </c>
    </row>
    <row r="25" spans="7:7" x14ac:dyDescent="0.3">
      <c r="G25" s="7" t="s">
        <v>37</v>
      </c>
    </row>
    <row r="26" spans="7:7" x14ac:dyDescent="0.3">
      <c r="G26" s="7" t="s">
        <v>109</v>
      </c>
    </row>
    <row r="27" spans="7:7" x14ac:dyDescent="0.3">
      <c r="G27" s="7" t="s">
        <v>110</v>
      </c>
    </row>
    <row r="28" spans="7:7" x14ac:dyDescent="0.3">
      <c r="G28" s="7" t="s">
        <v>23</v>
      </c>
    </row>
    <row r="29" spans="7:7" x14ac:dyDescent="0.3">
      <c r="G29" s="7" t="s">
        <v>90</v>
      </c>
    </row>
    <row r="30" spans="7:7" x14ac:dyDescent="0.3">
      <c r="G30" s="7" t="s">
        <v>91</v>
      </c>
    </row>
    <row r="31" spans="7:7" x14ac:dyDescent="0.3">
      <c r="G31" s="7" t="s">
        <v>48</v>
      </c>
    </row>
    <row r="32" spans="7:7" x14ac:dyDescent="0.3">
      <c r="G32" s="7" t="s">
        <v>49</v>
      </c>
    </row>
    <row r="33" spans="7:7" x14ac:dyDescent="0.3">
      <c r="G33" s="7" t="s">
        <v>50</v>
      </c>
    </row>
    <row r="34" spans="7:7" x14ac:dyDescent="0.3">
      <c r="G34" s="7" t="s">
        <v>35</v>
      </c>
    </row>
    <row r="35" spans="7:7" x14ac:dyDescent="0.3">
      <c r="G35" s="7" t="s">
        <v>92</v>
      </c>
    </row>
    <row r="36" spans="7:7" x14ac:dyDescent="0.3">
      <c r="G36" s="7" t="s">
        <v>52</v>
      </c>
    </row>
    <row r="37" spans="7:7" x14ac:dyDescent="0.3">
      <c r="G37" s="7" t="s">
        <v>53</v>
      </c>
    </row>
    <row r="38" spans="7:7" x14ac:dyDescent="0.3">
      <c r="G38" s="7" t="s">
        <v>54</v>
      </c>
    </row>
    <row r="39" spans="7:7" x14ac:dyDescent="0.3">
      <c r="G39" s="7" t="s">
        <v>22</v>
      </c>
    </row>
    <row r="40" spans="7:7" x14ac:dyDescent="0.3">
      <c r="G40" s="7" t="s">
        <v>23</v>
      </c>
    </row>
    <row r="41" spans="7:7" x14ac:dyDescent="0.3">
      <c r="G41" s="7" t="s">
        <v>55</v>
      </c>
    </row>
    <row r="42" spans="7:7" x14ac:dyDescent="0.3">
      <c r="G42" s="7" t="s">
        <v>61</v>
      </c>
    </row>
    <row r="43" spans="7:7" x14ac:dyDescent="0.3">
      <c r="G43" s="7" t="s">
        <v>111</v>
      </c>
    </row>
    <row r="44" spans="7:7" x14ac:dyDescent="0.3">
      <c r="G44" s="7" t="s">
        <v>93</v>
      </c>
    </row>
    <row r="45" spans="7:7" x14ac:dyDescent="0.3">
      <c r="G45" s="7" t="s">
        <v>35</v>
      </c>
    </row>
    <row r="46" spans="7:7" x14ac:dyDescent="0.3">
      <c r="G46" s="7" t="s">
        <v>64</v>
      </c>
    </row>
    <row r="47" spans="7:7" x14ac:dyDescent="0.3">
      <c r="G47" s="7" t="s">
        <v>112</v>
      </c>
    </row>
    <row r="48" spans="7:7" x14ac:dyDescent="0.3">
      <c r="G48" s="7" t="s">
        <v>93</v>
      </c>
    </row>
    <row r="49" spans="7:7" x14ac:dyDescent="0.3">
      <c r="G49" s="7" t="s">
        <v>35</v>
      </c>
    </row>
    <row r="50" spans="7:7" x14ac:dyDescent="0.3">
      <c r="G50" s="7" t="s">
        <v>67</v>
      </c>
    </row>
    <row r="51" spans="7:7" x14ac:dyDescent="0.3">
      <c r="G51" s="7" t="s">
        <v>113</v>
      </c>
    </row>
    <row r="52" spans="7:7" x14ac:dyDescent="0.3">
      <c r="G52" s="7" t="s">
        <v>93</v>
      </c>
    </row>
    <row r="53" spans="7:7" x14ac:dyDescent="0.3">
      <c r="G53" s="7" t="s">
        <v>35</v>
      </c>
    </row>
    <row r="54" spans="7:7" x14ac:dyDescent="0.3">
      <c r="G54" s="7" t="s">
        <v>70</v>
      </c>
    </row>
    <row r="55" spans="7:7" x14ac:dyDescent="0.3">
      <c r="G55" s="7" t="s">
        <v>114</v>
      </c>
    </row>
    <row r="56" spans="7:7" x14ac:dyDescent="0.3">
      <c r="G56" s="7" t="s">
        <v>94</v>
      </c>
    </row>
    <row r="57" spans="7:7" x14ac:dyDescent="0.3">
      <c r="G57" s="7" t="s">
        <v>22</v>
      </c>
    </row>
    <row r="58" spans="7:7" x14ac:dyDescent="0.3">
      <c r="G58" s="7" t="s">
        <v>23</v>
      </c>
    </row>
    <row r="59" spans="7:7" x14ac:dyDescent="0.3">
      <c r="G59" s="7" t="s">
        <v>77</v>
      </c>
    </row>
    <row r="60" spans="7:7" x14ac:dyDescent="0.3">
      <c r="G60" s="7" t="s">
        <v>115</v>
      </c>
    </row>
    <row r="61" spans="7:7" x14ac:dyDescent="0.3">
      <c r="G61" s="7" t="s">
        <v>79</v>
      </c>
    </row>
    <row r="62" spans="7:7" x14ac:dyDescent="0.3">
      <c r="G62" s="7" t="s">
        <v>80</v>
      </c>
    </row>
    <row r="63" spans="7:7" x14ac:dyDescent="0.3">
      <c r="G63" s="7" t="s">
        <v>116</v>
      </c>
    </row>
    <row r="64" spans="7:7" x14ac:dyDescent="0.3">
      <c r="G64" s="7" t="s">
        <v>82</v>
      </c>
    </row>
    <row r="65" spans="7:7" x14ac:dyDescent="0.3">
      <c r="G65" s="7" t="s">
        <v>83</v>
      </c>
    </row>
    <row r="67" spans="7:7" x14ac:dyDescent="0.3">
      <c r="G67" s="7" t="s">
        <v>95</v>
      </c>
    </row>
    <row r="68" spans="7:7" x14ac:dyDescent="0.3">
      <c r="G68" s="7" t="s">
        <v>96</v>
      </c>
    </row>
    <row r="70" spans="7:7" x14ac:dyDescent="0.3">
      <c r="G70" s="7" t="s">
        <v>97</v>
      </c>
    </row>
    <row r="71" spans="7:7" x14ac:dyDescent="0.3">
      <c r="G71" s="7" t="s">
        <v>98</v>
      </c>
    </row>
    <row r="72" spans="7:7" x14ac:dyDescent="0.3">
      <c r="G72" s="7" t="s">
        <v>99</v>
      </c>
    </row>
    <row r="73" spans="7:7" x14ac:dyDescent="0.3">
      <c r="G73" s="7" t="s">
        <v>100</v>
      </c>
    </row>
    <row r="74" spans="7:7" x14ac:dyDescent="0.3">
      <c r="G74" s="7" t="s">
        <v>101</v>
      </c>
    </row>
    <row r="76" spans="7:7" x14ac:dyDescent="0.3">
      <c r="G76" s="7" t="s">
        <v>102</v>
      </c>
    </row>
    <row r="77" spans="7:7" x14ac:dyDescent="0.3">
      <c r="G77" s="7" t="s">
        <v>103</v>
      </c>
    </row>
    <row r="78" spans="7:7" x14ac:dyDescent="0.3">
      <c r="G78" s="7" t="s">
        <v>104</v>
      </c>
    </row>
    <row r="80" spans="7:7" x14ac:dyDescent="0.3">
      <c r="G80" s="7"/>
    </row>
    <row r="81" spans="7:7" x14ac:dyDescent="0.3">
      <c r="G81" s="7"/>
    </row>
    <row r="82" spans="7:7" x14ac:dyDescent="0.3">
      <c r="G82"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Big</vt:lpstr>
      <vt:lpstr>Schema #1</vt:lpstr>
      <vt:lpstr>Schema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2026-04-02T06:55:01Z</dcterms:modified>
</cp:coreProperties>
</file>