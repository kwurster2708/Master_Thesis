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363D961A-C6AB-41B3-9225-B858B2870615}" xr6:coauthVersionLast="47" xr6:coauthVersionMax="47" xr10:uidLastSave="{00000000-0000-0000-0000-000000000000}"/>
  <bookViews>
    <workbookView xWindow="-108" yWindow="-108" windowWidth="23256" windowHeight="12456" activeTab="3" xr2:uid="{E8F4F112-DC9E-445D-AE6E-08B98EFB1B63}"/>
  </bookViews>
  <sheets>
    <sheet name="Evaluation Table" sheetId="3" r:id="rId1"/>
    <sheet name="d88 #1" sheetId="1" r:id="rId2"/>
    <sheet name="d131 #1" sheetId="4" r:id="rId3"/>
    <sheet name="d88 #2" sheetId="2" r:id="rId4"/>
    <sheet name="d131 #2" sheetId="5" r:id="rId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5" l="1"/>
  <c r="D117" i="5"/>
  <c r="D116" i="5"/>
  <c r="D115" i="5"/>
  <c r="D114" i="5"/>
  <c r="D113" i="5"/>
  <c r="D112" i="5"/>
  <c r="D111" i="5"/>
  <c r="D110" i="5"/>
  <c r="D109" i="5"/>
  <c r="D118" i="5" s="1"/>
  <c r="B105" i="5"/>
  <c r="D104" i="5"/>
  <c r="D103" i="5"/>
  <c r="D102" i="5"/>
  <c r="D101" i="5"/>
  <c r="D100" i="5"/>
  <c r="D99" i="5"/>
  <c r="D98" i="5"/>
  <c r="D97" i="5"/>
  <c r="D105" i="5" s="1"/>
  <c r="D96" i="5"/>
  <c r="B92" i="5"/>
  <c r="D91" i="5"/>
  <c r="D90" i="5"/>
  <c r="D89" i="5"/>
  <c r="D88" i="5"/>
  <c r="D87" i="5"/>
  <c r="D86" i="5"/>
  <c r="D85" i="5"/>
  <c r="D84" i="5"/>
  <c r="D83" i="5"/>
  <c r="D92" i="5" s="1"/>
  <c r="B79" i="5"/>
  <c r="D78" i="5"/>
  <c r="D77" i="5"/>
  <c r="D76" i="5"/>
  <c r="D79" i="5" s="1"/>
  <c r="D75" i="5"/>
  <c r="D74" i="5"/>
  <c r="D73" i="5"/>
  <c r="D72" i="5"/>
  <c r="D71" i="5"/>
  <c r="D70" i="5"/>
  <c r="B66" i="5"/>
  <c r="D65" i="5"/>
  <c r="D64" i="5"/>
  <c r="D63" i="5"/>
  <c r="D62" i="5"/>
  <c r="D61" i="5"/>
  <c r="D60" i="5"/>
  <c r="D59" i="5"/>
  <c r="D58" i="5"/>
  <c r="D57" i="5"/>
  <c r="D66" i="5" s="1"/>
  <c r="B53" i="5"/>
  <c r="D52" i="5"/>
  <c r="D53" i="5" s="1"/>
  <c r="D51" i="5"/>
  <c r="D50" i="5"/>
  <c r="D49" i="5"/>
  <c r="D48" i="5"/>
  <c r="D47" i="5"/>
  <c r="D46" i="5"/>
  <c r="D45" i="5"/>
  <c r="D44" i="5"/>
  <c r="B40" i="5"/>
  <c r="D39" i="5"/>
  <c r="D38" i="5"/>
  <c r="D37" i="5"/>
  <c r="D36" i="5"/>
  <c r="D35" i="5"/>
  <c r="D34" i="5"/>
  <c r="D33" i="5"/>
  <c r="D32" i="5"/>
  <c r="D31" i="5"/>
  <c r="D40" i="5" s="1"/>
  <c r="D27" i="5"/>
  <c r="B27" i="5"/>
  <c r="D26" i="5"/>
  <c r="D25" i="5"/>
  <c r="D24" i="5"/>
  <c r="D23" i="5"/>
  <c r="D22" i="5"/>
  <c r="D21" i="5"/>
  <c r="D20" i="5"/>
  <c r="D19" i="5"/>
  <c r="D18" i="5"/>
  <c r="B14" i="5"/>
  <c r="D13" i="5"/>
  <c r="D12" i="5"/>
  <c r="D11" i="5"/>
  <c r="D10" i="5"/>
  <c r="D9" i="5"/>
  <c r="D8" i="5"/>
  <c r="D7" i="5"/>
  <c r="D6" i="5"/>
  <c r="D5" i="5"/>
  <c r="D14" i="5" s="1"/>
  <c r="B1" i="5"/>
  <c r="B118" i="4"/>
  <c r="D117" i="4"/>
  <c r="D116" i="4"/>
  <c r="D115" i="4"/>
  <c r="D114" i="4"/>
  <c r="D113" i="4"/>
  <c r="D112" i="4"/>
  <c r="D111" i="4"/>
  <c r="D110" i="4"/>
  <c r="D109" i="4"/>
  <c r="D118" i="4" s="1"/>
  <c r="B105" i="4"/>
  <c r="D104" i="4"/>
  <c r="D103" i="4"/>
  <c r="D102" i="4"/>
  <c r="D101" i="4"/>
  <c r="D100" i="4"/>
  <c r="D99" i="4"/>
  <c r="D98" i="4"/>
  <c r="D105" i="4" s="1"/>
  <c r="D97" i="4"/>
  <c r="D96" i="4"/>
  <c r="B92" i="4"/>
  <c r="D91" i="4"/>
  <c r="D90" i="4"/>
  <c r="D89" i="4"/>
  <c r="D88" i="4"/>
  <c r="D87" i="4"/>
  <c r="D86" i="4"/>
  <c r="D85" i="4"/>
  <c r="D84" i="4"/>
  <c r="D83" i="4"/>
  <c r="D92" i="4" s="1"/>
  <c r="B79" i="4"/>
  <c r="D78" i="4"/>
  <c r="D77" i="4"/>
  <c r="D76" i="4"/>
  <c r="D75" i="4"/>
  <c r="D74" i="4"/>
  <c r="D79" i="4" s="1"/>
  <c r="D73" i="4"/>
  <c r="D72" i="4"/>
  <c r="D71" i="4"/>
  <c r="D70" i="4"/>
  <c r="B66" i="4"/>
  <c r="D65" i="4"/>
  <c r="D64" i="4"/>
  <c r="D63" i="4"/>
  <c r="D62" i="4"/>
  <c r="D61" i="4"/>
  <c r="D60" i="4"/>
  <c r="D59" i="4"/>
  <c r="D58" i="4"/>
  <c r="D57" i="4"/>
  <c r="D66" i="4" s="1"/>
  <c r="B53" i="4"/>
  <c r="D52" i="4"/>
  <c r="D51" i="4"/>
  <c r="D50" i="4"/>
  <c r="D53" i="4" s="1"/>
  <c r="D49" i="4"/>
  <c r="D48" i="4"/>
  <c r="D47" i="4"/>
  <c r="D46" i="4"/>
  <c r="D45" i="4"/>
  <c r="D44" i="4"/>
  <c r="B40" i="4"/>
  <c r="D39" i="4"/>
  <c r="D38" i="4"/>
  <c r="D37" i="4"/>
  <c r="D36" i="4"/>
  <c r="D35" i="4"/>
  <c r="D34" i="4"/>
  <c r="D33" i="4"/>
  <c r="D32" i="4"/>
  <c r="D31" i="4"/>
  <c r="D40" i="4" s="1"/>
  <c r="B27" i="4"/>
  <c r="D26" i="4"/>
  <c r="D27" i="4" s="1"/>
  <c r="D25" i="4"/>
  <c r="D24" i="4"/>
  <c r="D23" i="4"/>
  <c r="D22" i="4"/>
  <c r="D21" i="4"/>
  <c r="D20" i="4"/>
  <c r="D19" i="4"/>
  <c r="D18" i="4"/>
  <c r="B14" i="4"/>
  <c r="D13" i="4"/>
  <c r="D12" i="4"/>
  <c r="D11" i="4"/>
  <c r="D10" i="4"/>
  <c r="D9" i="4"/>
  <c r="D8" i="4"/>
  <c r="D7" i="4"/>
  <c r="D6" i="4"/>
  <c r="D5" i="4"/>
  <c r="D14" i="4" s="1"/>
  <c r="B1" i="4"/>
  <c r="D118" i="2"/>
  <c r="B118" i="2"/>
  <c r="D117" i="2"/>
  <c r="D116" i="2"/>
  <c r="D115" i="2"/>
  <c r="D114" i="2"/>
  <c r="D113" i="2"/>
  <c r="D112" i="2"/>
  <c r="D111" i="2"/>
  <c r="D110" i="2"/>
  <c r="D109" i="2"/>
  <c r="B105" i="2"/>
  <c r="D104" i="2"/>
  <c r="D103" i="2"/>
  <c r="D102" i="2"/>
  <c r="D101" i="2"/>
  <c r="D100" i="2"/>
  <c r="D99" i="2"/>
  <c r="D98" i="2"/>
  <c r="D97" i="2"/>
  <c r="D96" i="2"/>
  <c r="D105" i="2" s="1"/>
  <c r="B92" i="2"/>
  <c r="D91" i="2"/>
  <c r="D90" i="2"/>
  <c r="D89" i="2"/>
  <c r="D88" i="2"/>
  <c r="D87" i="2"/>
  <c r="D86" i="2"/>
  <c r="D85" i="2"/>
  <c r="D84" i="2"/>
  <c r="D83" i="2"/>
  <c r="D92" i="2" s="1"/>
  <c r="B79" i="2"/>
  <c r="D78" i="2"/>
  <c r="D77" i="2"/>
  <c r="D76" i="2"/>
  <c r="D75" i="2"/>
  <c r="D74" i="2"/>
  <c r="D73" i="2"/>
  <c r="D72" i="2"/>
  <c r="D79" i="2" s="1"/>
  <c r="D71" i="2"/>
  <c r="D70" i="2"/>
  <c r="B66" i="2"/>
  <c r="D65" i="2"/>
  <c r="D64" i="2"/>
  <c r="D63" i="2"/>
  <c r="D62" i="2"/>
  <c r="D61" i="2"/>
  <c r="D60" i="2"/>
  <c r="D59" i="2"/>
  <c r="D58" i="2"/>
  <c r="D57" i="2"/>
  <c r="D66" i="2" s="1"/>
  <c r="B53" i="2"/>
  <c r="D52" i="2"/>
  <c r="D51" i="2"/>
  <c r="D50" i="2"/>
  <c r="D49" i="2"/>
  <c r="D48" i="2"/>
  <c r="D53" i="2" s="1"/>
  <c r="D47" i="2"/>
  <c r="D46" i="2"/>
  <c r="D45" i="2"/>
  <c r="D44" i="2"/>
  <c r="B40" i="2"/>
  <c r="D39" i="2"/>
  <c r="D38" i="2"/>
  <c r="D37" i="2"/>
  <c r="D36" i="2"/>
  <c r="D35" i="2"/>
  <c r="D34" i="2"/>
  <c r="D33" i="2"/>
  <c r="D32" i="2"/>
  <c r="D31" i="2"/>
  <c r="D40" i="2" s="1"/>
  <c r="B27" i="2"/>
  <c r="D26" i="2"/>
  <c r="D25" i="2"/>
  <c r="D24" i="2"/>
  <c r="D27" i="2" s="1"/>
  <c r="D23" i="2"/>
  <c r="D22" i="2"/>
  <c r="D21" i="2"/>
  <c r="D20" i="2"/>
  <c r="D19" i="2"/>
  <c r="D18" i="2"/>
  <c r="B14" i="2"/>
  <c r="D13" i="2"/>
  <c r="D12" i="2"/>
  <c r="D11" i="2"/>
  <c r="D10" i="2"/>
  <c r="D9" i="2"/>
  <c r="D8" i="2"/>
  <c r="D7" i="2"/>
  <c r="D6" i="2"/>
  <c r="D5" i="2"/>
  <c r="D14" i="2" s="1"/>
  <c r="B1" i="2"/>
  <c r="B118" i="1"/>
  <c r="D117" i="1"/>
  <c r="D116" i="1"/>
  <c r="D115" i="1"/>
  <c r="D114" i="1"/>
  <c r="D113" i="1"/>
  <c r="D112" i="1"/>
  <c r="D111" i="1"/>
  <c r="D110" i="1"/>
  <c r="D109" i="1"/>
  <c r="D118" i="1" s="1"/>
  <c r="B105" i="1"/>
  <c r="D104" i="1"/>
  <c r="D103" i="1"/>
  <c r="D102" i="1"/>
  <c r="D101" i="1"/>
  <c r="D100" i="1"/>
  <c r="D99" i="1"/>
  <c r="D98" i="1"/>
  <c r="D105" i="1" s="1"/>
  <c r="D97" i="1"/>
  <c r="D96" i="1"/>
  <c r="B92" i="1"/>
  <c r="D91" i="1"/>
  <c r="D90" i="1"/>
  <c r="D89" i="1"/>
  <c r="D88" i="1"/>
  <c r="D87" i="1"/>
  <c r="D86" i="1"/>
  <c r="D85" i="1"/>
  <c r="D84" i="1"/>
  <c r="D83" i="1"/>
  <c r="D92" i="1" s="1"/>
  <c r="D79" i="1"/>
  <c r="B79" i="1"/>
  <c r="D78" i="1"/>
  <c r="D77" i="1"/>
  <c r="D76" i="1"/>
  <c r="D75" i="1"/>
  <c r="D74" i="1"/>
  <c r="D73" i="1"/>
  <c r="D72" i="1"/>
  <c r="D71" i="1"/>
  <c r="D70" i="1"/>
  <c r="B66" i="1"/>
  <c r="D65" i="1"/>
  <c r="D64" i="1"/>
  <c r="D63" i="1"/>
  <c r="D62" i="1"/>
  <c r="D61" i="1"/>
  <c r="D60" i="1"/>
  <c r="D59" i="1"/>
  <c r="D58" i="1"/>
  <c r="D57" i="1"/>
  <c r="D66" i="1" s="1"/>
  <c r="B53" i="1"/>
  <c r="D52" i="1"/>
  <c r="D51" i="1"/>
  <c r="D50" i="1"/>
  <c r="D49" i="1"/>
  <c r="D48" i="1"/>
  <c r="D47" i="1"/>
  <c r="D46" i="1"/>
  <c r="D45" i="1"/>
  <c r="D44" i="1"/>
  <c r="D53" i="1" s="1"/>
  <c r="B40" i="1"/>
  <c r="D39" i="1"/>
  <c r="D38" i="1"/>
  <c r="D37" i="1"/>
  <c r="D36" i="1"/>
  <c r="D35" i="1"/>
  <c r="D34" i="1"/>
  <c r="D33" i="1"/>
  <c r="D32" i="1"/>
  <c r="D31" i="1"/>
  <c r="D40" i="1" s="1"/>
  <c r="B27" i="1"/>
  <c r="D26" i="1"/>
  <c r="D25" i="1"/>
  <c r="D27" i="1" s="1"/>
  <c r="D24" i="1"/>
  <c r="D23" i="1"/>
  <c r="D22" i="1"/>
  <c r="D21" i="1"/>
  <c r="D20" i="1"/>
  <c r="D19" i="1"/>
  <c r="D18" i="1"/>
  <c r="D12" i="1"/>
  <c r="D11" i="1"/>
  <c r="B1" i="1"/>
  <c r="B14" i="1"/>
  <c r="D8" i="1"/>
  <c r="D13" i="1"/>
  <c r="D6" i="1"/>
  <c r="D7" i="1"/>
  <c r="D9" i="1"/>
  <c r="D10" i="1"/>
  <c r="D5" i="1"/>
  <c r="D14" i="1" l="1"/>
</calcChain>
</file>

<file path=xl/sharedStrings.xml><?xml version="1.0" encoding="utf-8"?>
<sst xmlns="http://schemas.openxmlformats.org/spreadsheetml/2006/main" count="943" uniqueCount="255">
  <si>
    <t>Metric</t>
  </si>
  <si>
    <t>Weight</t>
  </si>
  <si>
    <t>Input Structure:</t>
  </si>
  <si>
    <t>Score [0, 1]</t>
  </si>
  <si>
    <t>Weighted Score</t>
  </si>
  <si>
    <t xml:space="preserve">Max Score: </t>
  </si>
  <si>
    <t>Provide an easy explanation on why the following Weather Station is classified as an outlier that an engineer working with the Weather Station can understand. </t>
  </si>
  <si>
    <t>    It is the 22nd June 2024 and the target variable for the machine learning model is the temperature. Each Weather Station has one active model which is indicated by having the highest version number. </t>
  </si>
  <si>
    <t>    There is also data on the previous models regarding feature sensitivity and performance. Every device has multiple tags that show the attributes of the device. </t>
  </si>
  <si>
    <t>    For each tag on the device a exists to different timestamps that show how different it is to the devices with the same tag. </t>
  </si>
  <si>
    <t>Provide an explanation based on the following Schema:</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</si>
  <si>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</si>
  <si>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</si>
  <si>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</si>
  <si>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</si>
  <si>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</si>
  <si>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</si>
  <si>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</si>
  <si>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</si>
  <si>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</si>
  <si>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</si>
  <si>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</si>
  <si>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</si>
  <si>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</si>
  <si>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</si>
  <si>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</si>
  <si>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</si>
  <si>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</si>
  <si>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</si>
  <si>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</si>
  <si>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</si>
  <si>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</si>
  <si>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</si>
  <si>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</si>
  <si>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</si>
  <si>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</si>
  <si>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</si>
  <si>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</si>
  <si>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</si>
  <si>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</si>
  <si>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</si>
  <si>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</si>
  <si>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</si>
  <si>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</si>
  <si>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</si>
  <si>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</si>
  <si>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</si>
  <si>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</si>
  <si>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</si>
  <si>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</si>
  <si>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</si>
  <si>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</si>
  <si>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</si>
  <si>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</si>
  <si>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</si>
  <si>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</si>
  <si>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</si>
  <si>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</si>
  <si>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</si>
  <si>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</si>
  <si>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</si>
  <si>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</si>
  <si>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</si>
  <si>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</si>
  <si>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</si>
  <si>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</si>
  <si>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</si>
  <si>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</si>
  <si>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</si>
  <si>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</si>
  <si>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</si>
  <si>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</si>
  <si>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</si>
  <si>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</si>
  <si>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</si>
  <si>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</si>
  <si>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</si>
  <si>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</si>
  <si>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</si>
  <si>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</si>
  <si>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</si>
  <si>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</si>
  <si>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</si>
  <si>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</si>
  <si>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Please explain why this anomaly occurred and what it means for the weather station's prediction model.</t>
  </si>
  <si>
    <t>  "Weather Station Information": {</t>
  </si>
  <si>
    <t>    "weather_station_classification": "Partial Outlier",</t>
  </si>
  <si>
    <t>      "terrain": "lowland",</t>
  </si>
  <si>
    <t>      "tz": "UTC-5",</t>
  </si>
  <si>
    <t>      "urbanization": "rural",</t>
  </si>
  <si>
    <t>    "trend": "stable",</t>
  </si>
  <si>
    <t>    "metric_used_for_worst_value": "MAPE"</t>
  </si>
  <si>
    <t>  "Feature Importance": {</t>
  </si>
  <si>
    <t>    "top_3_features_active_model": {</t>
  </si>
  <si>
    <t>    "top_3_features_average_historical_models": {</t>
  </si>
  <si>
    <t>    "rural": {</t>
  </si>
  <si>
    <t>      "outlier_score": "moderate"</t>
  </si>
  <si>
    <t>    "UTC-5": {</t>
  </si>
  <si>
    <t>      "outlier_score": "no_outlier"</t>
  </si>
  <si>
    <t>    "lowland": {</t>
  </si>
  <si>
    <t>    "problem_pattern": "tag_specific",</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</si>
  <si>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</si>
  <si>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</si>
  <si>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</si>
  <si>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</si>
  <si>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</si>
  <si>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</si>
  <si>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</si>
  <si>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</si>
  <si>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</si>
  <si>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</si>
  <si>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</si>
  <si>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</si>
  <si>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</si>
  <si>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</si>
  <si>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</si>
  <si>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</si>
  <si>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</si>
  <si>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</si>
  <si>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</si>
  <si>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</si>
  <si>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</si>
  <si>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</si>
  <si>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Does it answer the question of why this is an anomaly?</t>
  </si>
  <si>
    <t xml:space="preserve">Feature Importance integrated into reasoning? </t>
  </si>
  <si>
    <t xml:space="preserve">Performance integrated into reasoning? </t>
  </si>
  <si>
    <t xml:space="preserve">Does it help the decision-making and provide actionability? </t>
  </si>
  <si>
    <t>Is it clear and easy to understand for non-experts?</t>
  </si>
  <si>
    <t>Does it avoid irrelevant or excessive information?</t>
  </si>
  <si>
    <t>Does it cover all the relevant aspects without missing key information?</t>
  </si>
  <si>
    <t>Is external or domain knowledge integrated into reasoning?</t>
  </si>
  <si>
    <t>Is there a correct interpretation of relationships?</t>
  </si>
  <si>
    <t>Experiment 1</t>
  </si>
  <si>
    <t>Experiment 2</t>
  </si>
  <si>
    <t>Experiment 3</t>
  </si>
  <si>
    <t>Experiment 4</t>
  </si>
  <si>
    <t>Experiment 5</t>
  </si>
  <si>
    <t>Experiment 6</t>
  </si>
  <si>
    <t>d88</t>
  </si>
  <si>
    <t>AM</t>
  </si>
  <si>
    <t>WS</t>
  </si>
  <si>
    <t>d?</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</si>
  <si>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</si>
  <si>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</si>
  <si>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</si>
  <si>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</si>
  <si>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</si>
  <si>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</si>
  <si>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</si>
  <si>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</si>
  <si>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</si>
  <si>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</si>
  <si>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</si>
  <si>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</si>
  <si>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</si>
  <si>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</si>
  <si>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</si>
  <si>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</si>
  <si>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</si>
  <si>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</si>
  <si>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</si>
  <si>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</si>
  <si>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</si>
  <si>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</si>
  <si>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</si>
  <si>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</si>
  <si>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</si>
  <si>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</si>
  <si>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</si>
  <si>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</si>
  <si>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</si>
  <si>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</si>
  <si>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</si>
  <si>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</si>
  <si>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</si>
  <si>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</si>
  <si>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</si>
  <si>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</si>
  <si>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</si>
  <si>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</si>
  <si>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</si>
  <si>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</si>
  <si>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</si>
  <si>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</si>
  <si>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</si>
  <si>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</si>
  <si>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</si>
  <si>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</si>
  <si>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</si>
  <si>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</si>
  <si>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</si>
  <si>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</si>
  <si>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</si>
  <si>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</si>
  <si>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</si>
  <si>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</si>
  <si>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</si>
  <si>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</si>
  <si>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</si>
  <si>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</si>
  <si>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</si>
  <si>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</si>
  <si>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</si>
  <si>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</si>
  <si>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</si>
  <si>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</si>
  <si>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</si>
  <si>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</si>
  <si>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</si>
  <si>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</si>
  <si>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</si>
  <si>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</si>
  <si>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</si>
  <si>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</si>
  <si>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</si>
  <si>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"latest_error_score": 27.577198028564453,</t>
  </si>
  <si>
    <t xml:space="preserve">    "trend": "stable",</t>
  </si>
  <si>
    <t xml:space="preserve">    "worst_time_stamp": "2023-11-15 23:00:00.000000",</t>
  </si>
  <si>
    <t xml:space="preserve">    "worst_value": 16.642723083496094,</t>
  </si>
  <si>
    <t xml:space="preserve">    "metric_used_for_worst_value": "MAPE"</t>
  </si>
  <si>
    <t xml:space="preserve">  "Model Version History": {</t>
  </si>
  <si>
    <t xml:space="preserve">    "trend": "degrading",</t>
  </si>
  <si>
    <t xml:space="preserve">    "active_model_error_score": 27.577198028564453,</t>
  </si>
  <si>
    <t xml:space="preserve">    "historical_models_error_score": 24.133050101143972</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</si>
  <si>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</si>
  <si>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</si>
  <si>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</si>
  <si>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</si>
  <si>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</si>
  <si>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</si>
  <si>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</si>
  <si>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</si>
  <si>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</si>
  <si>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</si>
  <si>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</si>
  <si>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</si>
  <si>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</si>
  <si>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</si>
  <si>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</si>
  <si>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</si>
  <si>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</si>
  <si>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</si>
  <si>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</si>
  <si>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</si>
  <si>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</si>
  <si>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</si>
  <si>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</si>
  <si>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</si>
  <si>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</si>
  <si>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</si>
  <si>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</si>
  <si>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</si>
  <si>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xml:space="preserve">Based on the information provided in the schema and additional information that helps to provide a good answer, provide an easy to understand interpretation for why this weather station is an anomaly. </t>
  </si>
  <si>
    <t xml:space="preserve">What does that mean for future predictions of the weather station? </t>
  </si>
  <si>
    <t>* Every weather station has multiple tags that show the attributes of the device.  For each of these tags an outlier score exists that signalizes how different the weather station performance is compared to weather stations with the same tag.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</si>
</sst>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AA37"/>
  <sheetViews>
    <sheetView workbookViewId="0">
      <selection activeCell="G13" sqref="G13"/>
    </sheetView>
  </sheetViews>
  <sheetFormatPr defaultRowHeight="14.4" x14ac:dyDescent="0.3"/>
  <cols>
    <col min="1" max="1" width="13.33203125" bestFit="1" customWidth="1"/>
    <col min="2" max="2" width="3.77734375" bestFit="1" customWidth="1"/>
    <col min="3" max="3" width="5.33203125" bestFit="1" customWidth="1"/>
    <col min="4" max="4" width="11.6640625" customWidth="1"/>
    <col min="5" max="7" width="11.6640625" bestFit="1" customWidth="1"/>
  </cols>
  <sheetData>
    <row r="1" spans="1:27" x14ac:dyDescent="0.3">
      <c r="D1" s="13" t="s">
        <v>132</v>
      </c>
      <c r="E1" s="13"/>
      <c r="F1" s="13" t="s">
        <v>133</v>
      </c>
      <c r="G1" s="13"/>
      <c r="H1" s="13" t="s">
        <v>134</v>
      </c>
      <c r="I1" s="13"/>
      <c r="J1" s="13"/>
      <c r="K1" s="13"/>
      <c r="L1" s="13"/>
      <c r="M1" s="13" t="s">
        <v>135</v>
      </c>
      <c r="N1" s="13"/>
      <c r="O1" s="13"/>
      <c r="P1" s="13"/>
      <c r="Q1" s="13"/>
      <c r="R1" s="13" t="s">
        <v>136</v>
      </c>
      <c r="S1" s="13"/>
      <c r="T1" s="13"/>
      <c r="U1" s="13"/>
      <c r="V1" s="13"/>
      <c r="W1" s="13" t="s">
        <v>137</v>
      </c>
      <c r="X1" s="13"/>
      <c r="Y1" s="13"/>
      <c r="Z1" s="13"/>
      <c r="AA1" s="13"/>
    </row>
    <row r="2" spans="1:27" x14ac:dyDescent="0.3">
      <c r="D2" s="12" t="s">
        <v>138</v>
      </c>
      <c r="E2" s="12" t="s">
        <v>158</v>
      </c>
      <c r="F2" s="12" t="s">
        <v>138</v>
      </c>
      <c r="G2" s="12" t="s">
        <v>158</v>
      </c>
      <c r="H2" s="12" t="s">
        <v>138</v>
      </c>
      <c r="I2" s="12" t="s">
        <v>158</v>
      </c>
      <c r="J2" s="12" t="s">
        <v>141</v>
      </c>
      <c r="K2" s="12" t="s">
        <v>141</v>
      </c>
      <c r="L2" s="12" t="s">
        <v>141</v>
      </c>
      <c r="M2" s="12" t="s">
        <v>138</v>
      </c>
      <c r="N2" s="12" t="s">
        <v>158</v>
      </c>
      <c r="O2" s="12" t="s">
        <v>141</v>
      </c>
      <c r="P2" s="12" t="s">
        <v>141</v>
      </c>
      <c r="Q2" s="12" t="s">
        <v>141</v>
      </c>
      <c r="R2" s="12" t="s">
        <v>138</v>
      </c>
      <c r="S2" s="12" t="s">
        <v>158</v>
      </c>
      <c r="T2" s="12" t="s">
        <v>141</v>
      </c>
      <c r="U2" s="12" t="s">
        <v>141</v>
      </c>
      <c r="V2" s="12" t="s">
        <v>141</v>
      </c>
      <c r="W2" s="12" t="s">
        <v>138</v>
      </c>
      <c r="X2" s="12" t="s">
        <v>158</v>
      </c>
      <c r="Y2" s="12" t="s">
        <v>141</v>
      </c>
      <c r="Z2" s="12" t="s">
        <v>141</v>
      </c>
      <c r="AA2" s="12" t="s">
        <v>141</v>
      </c>
    </row>
    <row r="3" spans="1:27" x14ac:dyDescent="0.3">
      <c r="A3" s="5" t="s">
        <v>145</v>
      </c>
      <c r="B3" s="8" t="s">
        <v>140</v>
      </c>
      <c r="C3" t="s">
        <v>142</v>
      </c>
      <c r="D3" s="10"/>
      <c r="E3" s="10"/>
      <c r="F3" s="10"/>
      <c r="G3" s="10"/>
      <c r="H3" s="10"/>
      <c r="I3" s="10"/>
      <c r="J3" s="10"/>
      <c r="K3" s="10"/>
      <c r="L3" s="10"/>
      <c r="M3" s="10"/>
      <c r="N3" s="10"/>
      <c r="O3" s="10"/>
      <c r="P3" s="10"/>
      <c r="Q3" s="10"/>
      <c r="R3" s="10"/>
      <c r="S3" s="10"/>
      <c r="T3" s="10"/>
      <c r="U3" s="10"/>
      <c r="V3" s="10"/>
      <c r="W3" s="10"/>
      <c r="X3" s="10"/>
      <c r="Y3" s="10"/>
      <c r="Z3" s="10"/>
      <c r="AA3" s="10"/>
    </row>
    <row r="4" spans="1:27" x14ac:dyDescent="0.3">
      <c r="C4" t="s">
        <v>143</v>
      </c>
      <c r="D4" s="10"/>
      <c r="E4" s="10"/>
      <c r="F4" s="10"/>
      <c r="G4" s="10"/>
      <c r="H4" s="10"/>
      <c r="I4" s="10"/>
      <c r="J4" s="10"/>
      <c r="K4" s="10"/>
      <c r="L4" s="10"/>
      <c r="M4" s="10"/>
      <c r="N4" s="10"/>
      <c r="O4" s="10"/>
      <c r="P4" s="10"/>
      <c r="Q4" s="10"/>
      <c r="R4" s="10"/>
      <c r="S4" s="10"/>
      <c r="T4" s="10"/>
      <c r="U4" s="10"/>
      <c r="V4" s="10"/>
      <c r="W4" s="10"/>
      <c r="X4" s="10"/>
      <c r="Y4" s="10"/>
      <c r="Z4" s="10"/>
      <c r="AA4" s="10"/>
    </row>
    <row r="5" spans="1:27" x14ac:dyDescent="0.3">
      <c r="C5" t="s">
        <v>144</v>
      </c>
      <c r="D5" s="10"/>
      <c r="E5" s="10"/>
      <c r="F5" s="10"/>
      <c r="G5" s="10"/>
      <c r="H5" s="10"/>
      <c r="I5" s="10"/>
      <c r="J5" s="10"/>
      <c r="K5" s="10"/>
      <c r="L5" s="10"/>
      <c r="M5" s="10"/>
      <c r="N5" s="10"/>
      <c r="O5" s="10"/>
      <c r="P5" s="10"/>
      <c r="Q5" s="10"/>
      <c r="R5" s="10"/>
      <c r="S5" s="10"/>
      <c r="T5" s="10"/>
      <c r="U5" s="10"/>
      <c r="V5" s="10"/>
      <c r="W5" s="10"/>
      <c r="X5" s="10"/>
      <c r="Y5" s="10"/>
      <c r="Z5" s="10"/>
      <c r="AA5" s="10"/>
    </row>
    <row r="6" spans="1:27" x14ac:dyDescent="0.3">
      <c r="B6" s="9" t="s">
        <v>139</v>
      </c>
      <c r="C6" t="s">
        <v>142</v>
      </c>
      <c r="D6" s="11"/>
      <c r="E6" s="11"/>
      <c r="F6" s="11"/>
      <c r="G6" s="11"/>
      <c r="H6" s="11"/>
      <c r="I6" s="11"/>
      <c r="J6" s="11"/>
      <c r="K6" s="11"/>
      <c r="L6" s="11"/>
      <c r="M6" s="11"/>
      <c r="N6" s="11"/>
      <c r="O6" s="11"/>
      <c r="P6" s="11"/>
      <c r="Q6" s="11"/>
      <c r="R6" s="11"/>
      <c r="S6" s="11"/>
      <c r="T6" s="11"/>
      <c r="U6" s="11"/>
      <c r="V6" s="11"/>
      <c r="W6" s="11"/>
      <c r="X6" s="11"/>
      <c r="Y6" s="11"/>
      <c r="Z6" s="11"/>
      <c r="AA6" s="11"/>
    </row>
    <row r="7" spans="1:27" x14ac:dyDescent="0.3">
      <c r="C7" t="s">
        <v>143</v>
      </c>
      <c r="D7" s="11"/>
      <c r="E7" s="11"/>
      <c r="F7" s="11"/>
      <c r="G7" s="11"/>
      <c r="H7" s="11"/>
      <c r="I7" s="11"/>
      <c r="J7" s="11"/>
      <c r="K7" s="11"/>
      <c r="L7" s="11"/>
      <c r="M7" s="11"/>
      <c r="N7" s="11"/>
      <c r="O7" s="11"/>
      <c r="P7" s="11"/>
      <c r="Q7" s="11"/>
      <c r="R7" s="11"/>
      <c r="S7" s="11"/>
      <c r="T7" s="11"/>
      <c r="U7" s="11"/>
      <c r="V7" s="11"/>
      <c r="W7" s="11"/>
      <c r="X7" s="11"/>
      <c r="Y7" s="11"/>
      <c r="Z7" s="11"/>
      <c r="AA7" s="11"/>
    </row>
    <row r="8" spans="1:27" x14ac:dyDescent="0.3">
      <c r="C8" t="s">
        <v>144</v>
      </c>
      <c r="D8" s="11"/>
      <c r="E8" s="11"/>
      <c r="F8" s="11"/>
      <c r="G8" s="11"/>
      <c r="H8" s="11"/>
      <c r="I8" s="11"/>
      <c r="J8" s="11"/>
      <c r="K8" s="11"/>
      <c r="L8" s="11"/>
      <c r="M8" s="11"/>
      <c r="N8" s="11"/>
      <c r="O8" s="11"/>
      <c r="P8" s="11"/>
      <c r="Q8" s="11"/>
      <c r="R8" s="11"/>
      <c r="S8" s="11"/>
      <c r="T8" s="11"/>
      <c r="U8" s="11"/>
      <c r="V8" s="11"/>
      <c r="W8" s="11"/>
      <c r="X8" s="11"/>
      <c r="Y8" s="11"/>
      <c r="Z8" s="11"/>
      <c r="AA8" s="11"/>
    </row>
    <row r="9" spans="1:27" x14ac:dyDescent="0.3">
      <c r="B9" t="s">
        <v>148</v>
      </c>
      <c r="C9" t="s">
        <v>142</v>
      </c>
    </row>
    <row r="10" spans="1:27" x14ac:dyDescent="0.3">
      <c r="C10" t="s">
        <v>143</v>
      </c>
    </row>
    <row r="11" spans="1:27" x14ac:dyDescent="0.3">
      <c r="C11" t="s">
        <v>144</v>
      </c>
    </row>
    <row r="12" spans="1:27" x14ac:dyDescent="0.3">
      <c r="A12" s="5" t="s">
        <v>146</v>
      </c>
      <c r="B12" s="8" t="s">
        <v>140</v>
      </c>
      <c r="C12" t="s">
        <v>142</v>
      </c>
      <c r="D12" s="10"/>
      <c r="E12" s="10"/>
      <c r="F12" s="10"/>
      <c r="G12" s="10"/>
      <c r="H12" s="10"/>
      <c r="I12" s="10"/>
      <c r="J12" s="10"/>
      <c r="K12" s="10"/>
      <c r="L12" s="10"/>
      <c r="M12" s="10"/>
      <c r="N12" s="10"/>
      <c r="O12" s="10"/>
      <c r="P12" s="10"/>
      <c r="Q12" s="10"/>
      <c r="R12" s="10"/>
      <c r="S12" s="10"/>
      <c r="T12" s="10"/>
      <c r="U12" s="10"/>
      <c r="V12" s="10"/>
      <c r="W12" s="10"/>
      <c r="X12" s="10"/>
      <c r="Y12" s="10"/>
      <c r="Z12" s="10"/>
      <c r="AA12" s="10"/>
    </row>
    <row r="13" spans="1:27" x14ac:dyDescent="0.3">
      <c r="C13" t="s">
        <v>143</v>
      </c>
      <c r="D13" s="10"/>
      <c r="E13" s="10"/>
      <c r="F13" s="10"/>
      <c r="G13" s="10"/>
      <c r="H13" s="10"/>
      <c r="I13" s="10"/>
      <c r="J13" s="10"/>
      <c r="K13" s="10"/>
      <c r="L13" s="10"/>
      <c r="M13" s="10"/>
      <c r="N13" s="10"/>
      <c r="O13" s="10"/>
      <c r="P13" s="10"/>
      <c r="Q13" s="10"/>
      <c r="R13" s="10"/>
      <c r="S13" s="10"/>
      <c r="T13" s="10"/>
      <c r="U13" s="10"/>
      <c r="V13" s="10"/>
      <c r="W13" s="10"/>
      <c r="X13" s="10"/>
      <c r="Y13" s="10"/>
      <c r="Z13" s="10"/>
      <c r="AA13" s="10"/>
    </row>
    <row r="14" spans="1:27" x14ac:dyDescent="0.3">
      <c r="C14" t="s">
        <v>144</v>
      </c>
      <c r="D14" s="10"/>
      <c r="E14" s="10"/>
      <c r="F14" s="10"/>
      <c r="G14" s="10"/>
      <c r="H14" s="10"/>
      <c r="I14" s="10"/>
      <c r="J14" s="10"/>
      <c r="K14" s="10"/>
      <c r="L14" s="10"/>
      <c r="M14" s="10"/>
      <c r="N14" s="10"/>
      <c r="O14" s="10"/>
      <c r="P14" s="10"/>
      <c r="Q14" s="10"/>
      <c r="R14" s="10"/>
      <c r="S14" s="10"/>
      <c r="T14" s="10"/>
      <c r="U14" s="10"/>
      <c r="V14" s="10"/>
      <c r="W14" s="10"/>
      <c r="X14" s="10"/>
      <c r="Y14" s="10"/>
      <c r="Z14" s="10"/>
      <c r="AA14" s="10"/>
    </row>
    <row r="15" spans="1:27" x14ac:dyDescent="0.3">
      <c r="B15" s="9" t="s">
        <v>139</v>
      </c>
      <c r="C15" t="s">
        <v>142</v>
      </c>
      <c r="D15" s="11"/>
      <c r="E15" s="11"/>
      <c r="F15" s="11"/>
      <c r="G15" s="11"/>
      <c r="H15" s="11"/>
      <c r="I15" s="11"/>
      <c r="J15" s="11"/>
      <c r="K15" s="11"/>
      <c r="L15" s="11"/>
      <c r="M15" s="11"/>
      <c r="N15" s="11"/>
      <c r="O15" s="11"/>
      <c r="P15" s="11"/>
      <c r="Q15" s="11"/>
      <c r="R15" s="11"/>
      <c r="S15" s="11"/>
      <c r="T15" s="11"/>
      <c r="U15" s="11"/>
      <c r="V15" s="11"/>
      <c r="W15" s="11"/>
      <c r="X15" s="11"/>
      <c r="Y15" s="11"/>
      <c r="Z15" s="11"/>
      <c r="AA15" s="11"/>
    </row>
    <row r="16" spans="1:27" x14ac:dyDescent="0.3">
      <c r="C16" t="s">
        <v>143</v>
      </c>
      <c r="D16" s="11"/>
      <c r="E16" s="11"/>
      <c r="F16" s="11"/>
      <c r="G16" s="11"/>
      <c r="H16" s="11"/>
      <c r="I16" s="11"/>
      <c r="J16" s="11"/>
      <c r="K16" s="11"/>
      <c r="L16" s="11"/>
      <c r="M16" s="11"/>
      <c r="N16" s="11"/>
      <c r="O16" s="11"/>
      <c r="P16" s="11"/>
      <c r="Q16" s="11"/>
      <c r="R16" s="11"/>
      <c r="S16" s="11"/>
      <c r="T16" s="11"/>
      <c r="U16" s="11"/>
      <c r="V16" s="11"/>
      <c r="W16" s="11"/>
      <c r="X16" s="11"/>
      <c r="Y16" s="11"/>
      <c r="Z16" s="11"/>
      <c r="AA16" s="11"/>
    </row>
    <row r="17" spans="1:27" x14ac:dyDescent="0.3">
      <c r="C17" t="s">
        <v>144</v>
      </c>
      <c r="D17" s="11"/>
      <c r="E17" s="11"/>
      <c r="F17" s="11"/>
      <c r="G17" s="11"/>
      <c r="H17" s="11"/>
      <c r="I17" s="11"/>
      <c r="J17" s="11"/>
      <c r="K17" s="11"/>
      <c r="L17" s="11"/>
      <c r="M17" s="11"/>
      <c r="N17" s="11"/>
      <c r="O17" s="11"/>
      <c r="P17" s="11"/>
      <c r="Q17" s="11"/>
      <c r="R17" s="11"/>
      <c r="S17" s="11"/>
      <c r="T17" s="11"/>
      <c r="U17" s="11"/>
      <c r="V17" s="11"/>
      <c r="W17" s="11"/>
      <c r="X17" s="11"/>
      <c r="Y17" s="11"/>
      <c r="Z17" s="11"/>
      <c r="AA17" s="11"/>
    </row>
    <row r="18" spans="1:27" x14ac:dyDescent="0.3">
      <c r="B18" t="s">
        <v>148</v>
      </c>
      <c r="C18" t="s">
        <v>142</v>
      </c>
    </row>
    <row r="19" spans="1:27" x14ac:dyDescent="0.3">
      <c r="C19" t="s">
        <v>143</v>
      </c>
    </row>
    <row r="20" spans="1:27" x14ac:dyDescent="0.3">
      <c r="C20" t="s">
        <v>144</v>
      </c>
    </row>
    <row r="21" spans="1:27" x14ac:dyDescent="0.3">
      <c r="A21" s="5" t="s">
        <v>147</v>
      </c>
      <c r="B21" s="8" t="s">
        <v>140</v>
      </c>
      <c r="C21" t="s">
        <v>142</v>
      </c>
      <c r="D21" s="10"/>
      <c r="E21" s="10"/>
      <c r="F21" s="10"/>
      <c r="G21" s="10"/>
      <c r="H21" s="10"/>
      <c r="I21" s="10"/>
      <c r="J21" s="10"/>
      <c r="K21" s="10"/>
      <c r="L21" s="10"/>
      <c r="M21" s="10"/>
      <c r="N21" s="10"/>
      <c r="O21" s="10"/>
      <c r="P21" s="10"/>
      <c r="Q21" s="10"/>
      <c r="R21" s="10"/>
      <c r="S21" s="10"/>
      <c r="T21" s="10"/>
      <c r="U21" s="10"/>
      <c r="V21" s="10"/>
      <c r="W21" s="10"/>
      <c r="X21" s="10"/>
      <c r="Y21" s="10"/>
      <c r="Z21" s="10"/>
      <c r="AA21" s="10"/>
    </row>
    <row r="22" spans="1:27" x14ac:dyDescent="0.3">
      <c r="C22" t="s">
        <v>143</v>
      </c>
      <c r="D22" s="10"/>
      <c r="E22" s="10"/>
      <c r="F22" s="10"/>
      <c r="G22" s="10"/>
      <c r="H22" s="10"/>
      <c r="I22" s="10"/>
      <c r="J22" s="10"/>
      <c r="K22" s="10"/>
      <c r="L22" s="10"/>
      <c r="M22" s="10"/>
      <c r="N22" s="10"/>
      <c r="O22" s="10"/>
      <c r="P22" s="10"/>
      <c r="Q22" s="10"/>
      <c r="R22" s="10"/>
      <c r="S22" s="10"/>
      <c r="T22" s="10"/>
      <c r="U22" s="10"/>
      <c r="V22" s="10"/>
      <c r="W22" s="10"/>
      <c r="X22" s="10"/>
      <c r="Y22" s="10"/>
      <c r="Z22" s="10"/>
      <c r="AA22" s="10"/>
    </row>
    <row r="23" spans="1:27" x14ac:dyDescent="0.3">
      <c r="C23" t="s">
        <v>144</v>
      </c>
      <c r="D23" s="10"/>
      <c r="E23" s="10"/>
      <c r="F23" s="10"/>
      <c r="G23" s="10"/>
      <c r="H23" s="10"/>
      <c r="I23" s="10"/>
      <c r="J23" s="10"/>
      <c r="K23" s="10"/>
      <c r="L23" s="10"/>
      <c r="M23" s="10"/>
      <c r="N23" s="10"/>
      <c r="O23" s="10"/>
      <c r="P23" s="10"/>
      <c r="Q23" s="10"/>
      <c r="R23" s="10"/>
      <c r="S23" s="10"/>
      <c r="T23" s="10"/>
      <c r="U23" s="10"/>
      <c r="V23" s="10"/>
      <c r="W23" s="10"/>
      <c r="X23" s="10"/>
      <c r="Y23" s="10"/>
      <c r="Z23" s="10"/>
      <c r="AA23" s="10"/>
    </row>
    <row r="24" spans="1:27" x14ac:dyDescent="0.3">
      <c r="B24" s="9" t="s">
        <v>139</v>
      </c>
      <c r="C24" t="s">
        <v>142</v>
      </c>
      <c r="D24" s="11"/>
      <c r="E24" s="11"/>
      <c r="F24" s="11"/>
      <c r="G24" s="11"/>
      <c r="H24" s="11"/>
      <c r="I24" s="11"/>
      <c r="J24" s="11"/>
      <c r="K24" s="11"/>
      <c r="L24" s="11"/>
      <c r="M24" s="11"/>
      <c r="N24" s="11"/>
      <c r="O24" s="11"/>
      <c r="P24" s="11"/>
      <c r="Q24" s="11"/>
      <c r="R24" s="11"/>
      <c r="S24" s="11"/>
      <c r="T24" s="11"/>
      <c r="U24" s="11"/>
      <c r="V24" s="11"/>
      <c r="W24" s="11"/>
      <c r="X24" s="11"/>
      <c r="Y24" s="11"/>
      <c r="Z24" s="11"/>
      <c r="AA24" s="11"/>
    </row>
    <row r="25" spans="1:27" x14ac:dyDescent="0.3">
      <c r="C25" t="s">
        <v>143</v>
      </c>
      <c r="D25" s="11"/>
      <c r="E25" s="11"/>
      <c r="F25" s="11"/>
      <c r="G25" s="11"/>
      <c r="H25" s="11"/>
      <c r="I25" s="11"/>
      <c r="J25" s="11"/>
      <c r="K25" s="11"/>
      <c r="L25" s="11"/>
      <c r="M25" s="11"/>
      <c r="N25" s="11"/>
      <c r="O25" s="11"/>
      <c r="P25" s="11"/>
      <c r="Q25" s="11"/>
      <c r="R25" s="11"/>
      <c r="S25" s="11"/>
      <c r="T25" s="11"/>
      <c r="U25" s="11"/>
      <c r="V25" s="11"/>
      <c r="W25" s="11"/>
      <c r="X25" s="11"/>
      <c r="Y25" s="11"/>
      <c r="Z25" s="11"/>
      <c r="AA25" s="11"/>
    </row>
    <row r="26" spans="1:27" x14ac:dyDescent="0.3">
      <c r="C26" t="s">
        <v>144</v>
      </c>
      <c r="D26" s="11"/>
      <c r="E26" s="11"/>
      <c r="F26" s="11"/>
      <c r="G26" s="11"/>
      <c r="H26" s="11"/>
      <c r="I26" s="11"/>
      <c r="J26" s="11"/>
      <c r="K26" s="11"/>
      <c r="L26" s="11"/>
      <c r="M26" s="11"/>
      <c r="N26" s="11"/>
      <c r="O26" s="11"/>
      <c r="P26" s="11"/>
      <c r="Q26" s="11"/>
      <c r="R26" s="11"/>
      <c r="S26" s="11"/>
      <c r="T26" s="11"/>
      <c r="U26" s="11"/>
      <c r="V26" s="11"/>
      <c r="W26" s="11"/>
      <c r="X26" s="11"/>
      <c r="Y26" s="11"/>
      <c r="Z26" s="11"/>
      <c r="AA26" s="11"/>
    </row>
    <row r="27" spans="1:27" x14ac:dyDescent="0.3">
      <c r="B27" t="s">
        <v>148</v>
      </c>
      <c r="C27" t="s">
        <v>142</v>
      </c>
    </row>
    <row r="28" spans="1:27" x14ac:dyDescent="0.3">
      <c r="C28" t="s">
        <v>143</v>
      </c>
    </row>
    <row r="29" spans="1:27" x14ac:dyDescent="0.3">
      <c r="C29" t="s">
        <v>144</v>
      </c>
    </row>
    <row r="31" spans="1:27" x14ac:dyDescent="0.3">
      <c r="A31" t="s">
        <v>145</v>
      </c>
    </row>
    <row r="32" spans="1:27" x14ac:dyDescent="0.3">
      <c r="A32" t="s">
        <v>146</v>
      </c>
    </row>
    <row r="33" spans="1:1" x14ac:dyDescent="0.3">
      <c r="A33" t="s">
        <v>147</v>
      </c>
    </row>
    <row r="35" spans="1:1" x14ac:dyDescent="0.3">
      <c r="A35" t="s">
        <v>142</v>
      </c>
    </row>
    <row r="36" spans="1:1" x14ac:dyDescent="0.3">
      <c r="A36" t="s">
        <v>143</v>
      </c>
    </row>
    <row r="37" spans="1:1" x14ac:dyDescent="0.3">
      <c r="A37" t="s">
        <v>144</v>
      </c>
    </row>
  </sheetData>
  <mergeCells count="6">
    <mergeCell ref="F1:G1"/>
    <mergeCell ref="H1:L1"/>
    <mergeCell ref="M1:Q1"/>
    <mergeCell ref="R1:V1"/>
    <mergeCell ref="W1:AA1"/>
    <mergeCell ref="D1:E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19"/>
  <sheetViews>
    <sheetView workbookViewId="0">
      <selection activeCell="C29" sqref="C29"/>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5</v>
      </c>
      <c r="B1" s="5">
        <f>B5*1 + B6*1 +B7*1+B8*1+B9*1+B10*1+B11*1+B12*1+B13*1</f>
        <v>1</v>
      </c>
    </row>
    <row r="2" spans="1:7" x14ac:dyDescent="0.3">
      <c r="F2" s="2" t="s">
        <v>2</v>
      </c>
      <c r="G2" s="7" t="s">
        <v>6</v>
      </c>
    </row>
    <row r="3" spans="1:7" x14ac:dyDescent="0.3">
      <c r="A3" t="s">
        <v>149</v>
      </c>
      <c r="G3" s="7" t="s">
        <v>7</v>
      </c>
    </row>
    <row r="4" spans="1:7" x14ac:dyDescent="0.3">
      <c r="A4" s="1" t="s">
        <v>0</v>
      </c>
      <c r="B4" s="1" t="s">
        <v>1</v>
      </c>
      <c r="C4" s="1" t="s">
        <v>3</v>
      </c>
      <c r="D4" s="1" t="s">
        <v>4</v>
      </c>
      <c r="G4" s="7" t="s">
        <v>8</v>
      </c>
    </row>
    <row r="5" spans="1:7" x14ac:dyDescent="0.3">
      <c r="A5" t="s">
        <v>123</v>
      </c>
      <c r="B5" s="3">
        <v>0.2</v>
      </c>
      <c r="C5">
        <v>1</v>
      </c>
      <c r="D5">
        <f>C5*B5</f>
        <v>0.2</v>
      </c>
      <c r="G5" s="7" t="s">
        <v>9</v>
      </c>
    </row>
    <row r="6" spans="1:7" x14ac:dyDescent="0.3">
      <c r="A6" t="s">
        <v>124</v>
      </c>
      <c r="B6" s="3">
        <v>0.1</v>
      </c>
      <c r="C6">
        <v>0</v>
      </c>
      <c r="D6">
        <f t="shared" ref="D6:D12" si="0">C6*B6</f>
        <v>0</v>
      </c>
      <c r="G6" s="7"/>
    </row>
    <row r="7" spans="1:7" x14ac:dyDescent="0.3">
      <c r="A7" t="s">
        <v>125</v>
      </c>
      <c r="B7" s="3">
        <v>0.1</v>
      </c>
      <c r="C7">
        <v>1</v>
      </c>
      <c r="D7">
        <f t="shared" si="0"/>
        <v>0.1</v>
      </c>
    </row>
    <row r="8" spans="1:7" x14ac:dyDescent="0.3">
      <c r="A8" t="s">
        <v>131</v>
      </c>
      <c r="B8" s="3">
        <v>0.15</v>
      </c>
      <c r="C8">
        <v>0</v>
      </c>
      <c r="D8">
        <f t="shared" si="0"/>
        <v>0</v>
      </c>
      <c r="G8" s="7" t="s">
        <v>10</v>
      </c>
    </row>
    <row r="9" spans="1:7" x14ac:dyDescent="0.3">
      <c r="A9" t="s">
        <v>130</v>
      </c>
      <c r="B9" s="3">
        <v>0.15</v>
      </c>
      <c r="C9">
        <v>0</v>
      </c>
      <c r="D9">
        <f t="shared" si="0"/>
        <v>0</v>
      </c>
      <c r="G9" s="7" t="s">
        <v>11</v>
      </c>
    </row>
    <row r="10" spans="1:7" x14ac:dyDescent="0.3">
      <c r="A10" t="s">
        <v>129</v>
      </c>
      <c r="B10" s="3">
        <v>0.1</v>
      </c>
      <c r="C10">
        <v>0</v>
      </c>
      <c r="D10">
        <f t="shared" si="0"/>
        <v>0</v>
      </c>
      <c r="G10" s="7" t="s">
        <v>12</v>
      </c>
    </row>
    <row r="11" spans="1:7" x14ac:dyDescent="0.3">
      <c r="A11" t="s">
        <v>128</v>
      </c>
      <c r="B11" s="3">
        <v>0.05</v>
      </c>
      <c r="C11">
        <v>0</v>
      </c>
      <c r="D11">
        <f t="shared" si="0"/>
        <v>0</v>
      </c>
      <c r="G11" s="7" t="s">
        <v>13</v>
      </c>
    </row>
    <row r="12" spans="1:7" x14ac:dyDescent="0.3">
      <c r="A12" t="s">
        <v>127</v>
      </c>
      <c r="B12" s="3">
        <v>0.1</v>
      </c>
      <c r="C12">
        <v>0.5</v>
      </c>
      <c r="D12">
        <f t="shared" si="0"/>
        <v>0.05</v>
      </c>
      <c r="G12" s="7" t="s">
        <v>14</v>
      </c>
    </row>
    <row r="13" spans="1:7" x14ac:dyDescent="0.3">
      <c r="A13" t="s">
        <v>126</v>
      </c>
      <c r="B13" s="3">
        <v>0.05</v>
      </c>
      <c r="C13">
        <v>0</v>
      </c>
      <c r="D13">
        <f>C13*B13</f>
        <v>0</v>
      </c>
      <c r="G13" s="7" t="s">
        <v>15</v>
      </c>
    </row>
    <row r="14" spans="1:7" ht="15" thickBot="1" x14ac:dyDescent="0.35">
      <c r="B14" s="4">
        <f>SUM(B5:B13)</f>
        <v>1</v>
      </c>
      <c r="D14" s="6">
        <f>SUM(D5:D13)</f>
        <v>0.35000000000000003</v>
      </c>
      <c r="G14" s="7" t="s">
        <v>16</v>
      </c>
    </row>
    <row r="15" spans="1:7" ht="15" thickTop="1" x14ac:dyDescent="0.3">
      <c r="G15" s="7" t="s">
        <v>17</v>
      </c>
    </row>
    <row r="16" spans="1:7" x14ac:dyDescent="0.3">
      <c r="A16" t="s">
        <v>150</v>
      </c>
      <c r="G16" s="7" t="s">
        <v>18</v>
      </c>
    </row>
    <row r="17" spans="1:7" x14ac:dyDescent="0.3">
      <c r="A17" s="1" t="s">
        <v>0</v>
      </c>
      <c r="B17" s="1" t="s">
        <v>1</v>
      </c>
      <c r="C17" s="1" t="s">
        <v>3</v>
      </c>
      <c r="D17" s="1" t="s">
        <v>4</v>
      </c>
      <c r="G17" s="7" t="s">
        <v>19</v>
      </c>
    </row>
    <row r="18" spans="1:7" x14ac:dyDescent="0.3">
      <c r="A18" t="s">
        <v>123</v>
      </c>
      <c r="B18" s="3">
        <v>0.2</v>
      </c>
      <c r="C18">
        <v>1</v>
      </c>
      <c r="D18">
        <f>C18*B18</f>
        <v>0.2</v>
      </c>
      <c r="G18" s="7" t="s">
        <v>20</v>
      </c>
    </row>
    <row r="19" spans="1:7" x14ac:dyDescent="0.3">
      <c r="A19" t="s">
        <v>124</v>
      </c>
      <c r="B19" s="3">
        <v>0.1</v>
      </c>
      <c r="C19">
        <v>0</v>
      </c>
      <c r="D19">
        <f t="shared" ref="D19:D25" si="1">C19*B19</f>
        <v>0</v>
      </c>
    </row>
    <row r="20" spans="1:7" x14ac:dyDescent="0.3">
      <c r="A20" t="s">
        <v>125</v>
      </c>
      <c r="B20" s="3">
        <v>0.1</v>
      </c>
      <c r="C20">
        <v>1</v>
      </c>
      <c r="D20">
        <f t="shared" si="1"/>
        <v>0.1</v>
      </c>
      <c r="G20" s="7" t="s">
        <v>21</v>
      </c>
    </row>
    <row r="21" spans="1:7" x14ac:dyDescent="0.3">
      <c r="A21" t="s">
        <v>131</v>
      </c>
      <c r="B21" s="3">
        <v>0.15</v>
      </c>
      <c r="C21">
        <v>0</v>
      </c>
      <c r="D21">
        <f t="shared" si="1"/>
        <v>0</v>
      </c>
      <c r="G21" s="7" t="s">
        <v>22</v>
      </c>
    </row>
    <row r="22" spans="1:7" x14ac:dyDescent="0.3">
      <c r="A22" t="s">
        <v>130</v>
      </c>
      <c r="B22" s="3">
        <v>0.15</v>
      </c>
      <c r="C22">
        <v>0</v>
      </c>
      <c r="D22">
        <f t="shared" si="1"/>
        <v>0</v>
      </c>
      <c r="G22" s="7" t="s">
        <v>23</v>
      </c>
    </row>
    <row r="23" spans="1:7" x14ac:dyDescent="0.3">
      <c r="A23" t="s">
        <v>129</v>
      </c>
      <c r="B23" s="3">
        <v>0.1</v>
      </c>
      <c r="C23">
        <v>0</v>
      </c>
      <c r="D23">
        <f t="shared" si="1"/>
        <v>0</v>
      </c>
      <c r="G23" s="7" t="s">
        <v>24</v>
      </c>
    </row>
    <row r="24" spans="1:7" x14ac:dyDescent="0.3">
      <c r="A24" t="s">
        <v>128</v>
      </c>
      <c r="B24" s="3">
        <v>0.05</v>
      </c>
      <c r="C24">
        <v>0</v>
      </c>
      <c r="D24">
        <f t="shared" si="1"/>
        <v>0</v>
      </c>
      <c r="G24" s="7" t="s">
        <v>25</v>
      </c>
    </row>
    <row r="25" spans="1:7" x14ac:dyDescent="0.3">
      <c r="A25" t="s">
        <v>127</v>
      </c>
      <c r="B25" s="3">
        <v>0.1</v>
      </c>
      <c r="C25">
        <v>0.5</v>
      </c>
      <c r="D25">
        <f t="shared" si="1"/>
        <v>0.05</v>
      </c>
      <c r="G25" s="7" t="s">
        <v>26</v>
      </c>
    </row>
    <row r="26" spans="1:7" x14ac:dyDescent="0.3">
      <c r="A26" t="s">
        <v>126</v>
      </c>
      <c r="B26" s="3">
        <v>0.05</v>
      </c>
      <c r="C26">
        <v>0</v>
      </c>
      <c r="D26">
        <f>C26*B26</f>
        <v>0</v>
      </c>
      <c r="G26" s="7" t="s">
        <v>27</v>
      </c>
    </row>
    <row r="27" spans="1:7" ht="15" thickBot="1" x14ac:dyDescent="0.35">
      <c r="B27" s="4">
        <f>SUM(B18:B26)</f>
        <v>1</v>
      </c>
      <c r="D27" s="6">
        <f>SUM(D18:D26)</f>
        <v>0.35000000000000003</v>
      </c>
      <c r="G27" s="7" t="s">
        <v>28</v>
      </c>
    </row>
    <row r="28" spans="1:7" ht="15" thickTop="1" x14ac:dyDescent="0.3">
      <c r="G28" s="7" t="s">
        <v>29</v>
      </c>
    </row>
    <row r="29" spans="1:7" x14ac:dyDescent="0.3">
      <c r="A29" t="s">
        <v>151</v>
      </c>
      <c r="G29" s="7" t="s">
        <v>23</v>
      </c>
    </row>
    <row r="30" spans="1:7" x14ac:dyDescent="0.3">
      <c r="A30" s="1" t="s">
        <v>0</v>
      </c>
      <c r="B30" s="1" t="s">
        <v>1</v>
      </c>
      <c r="C30" s="1" t="s">
        <v>3</v>
      </c>
      <c r="D30" s="1" t="s">
        <v>4</v>
      </c>
      <c r="G30" s="7" t="s">
        <v>30</v>
      </c>
    </row>
    <row r="31" spans="1:7" x14ac:dyDescent="0.3">
      <c r="A31" t="s">
        <v>123</v>
      </c>
      <c r="B31" s="3">
        <v>0.2</v>
      </c>
      <c r="C31">
        <v>1</v>
      </c>
      <c r="D31">
        <f>C31*B31</f>
        <v>0.2</v>
      </c>
      <c r="G31" s="7" t="s">
        <v>31</v>
      </c>
    </row>
    <row r="32" spans="1:7" x14ac:dyDescent="0.3">
      <c r="A32" t="s">
        <v>124</v>
      </c>
      <c r="B32" s="3">
        <v>0.1</v>
      </c>
      <c r="C32">
        <v>0</v>
      </c>
      <c r="D32">
        <f t="shared" ref="D32:D38" si="2">C32*B32</f>
        <v>0</v>
      </c>
      <c r="G32" s="7" t="s">
        <v>32</v>
      </c>
    </row>
    <row r="33" spans="1:7" x14ac:dyDescent="0.3">
      <c r="A33" t="s">
        <v>125</v>
      </c>
      <c r="B33" s="3">
        <v>0.1</v>
      </c>
      <c r="C33">
        <v>1</v>
      </c>
      <c r="D33">
        <f t="shared" si="2"/>
        <v>0.1</v>
      </c>
      <c r="G33" s="7" t="s">
        <v>33</v>
      </c>
    </row>
    <row r="34" spans="1:7" x14ac:dyDescent="0.3">
      <c r="A34" t="s">
        <v>131</v>
      </c>
      <c r="B34" s="3">
        <v>0.15</v>
      </c>
      <c r="C34">
        <v>0</v>
      </c>
      <c r="D34">
        <f t="shared" si="2"/>
        <v>0</v>
      </c>
      <c r="G34" s="7" t="s">
        <v>34</v>
      </c>
    </row>
    <row r="35" spans="1:7" x14ac:dyDescent="0.3">
      <c r="A35" t="s">
        <v>130</v>
      </c>
      <c r="B35" s="3">
        <v>0.15</v>
      </c>
      <c r="C35">
        <v>0</v>
      </c>
      <c r="D35">
        <f t="shared" si="2"/>
        <v>0</v>
      </c>
      <c r="G35" s="7" t="s">
        <v>35</v>
      </c>
    </row>
    <row r="36" spans="1:7" x14ac:dyDescent="0.3">
      <c r="A36" t="s">
        <v>129</v>
      </c>
      <c r="B36" s="3">
        <v>0.1</v>
      </c>
      <c r="C36">
        <v>0</v>
      </c>
      <c r="D36">
        <f t="shared" si="2"/>
        <v>0</v>
      </c>
      <c r="G36" s="7" t="s">
        <v>36</v>
      </c>
    </row>
    <row r="37" spans="1:7" x14ac:dyDescent="0.3">
      <c r="A37" t="s">
        <v>128</v>
      </c>
      <c r="B37" s="3">
        <v>0.05</v>
      </c>
      <c r="C37">
        <v>0</v>
      </c>
      <c r="D37">
        <f t="shared" si="2"/>
        <v>0</v>
      </c>
      <c r="G37" s="7" t="s">
        <v>37</v>
      </c>
    </row>
    <row r="38" spans="1:7" x14ac:dyDescent="0.3">
      <c r="A38" t="s">
        <v>127</v>
      </c>
      <c r="B38" s="3">
        <v>0.1</v>
      </c>
      <c r="C38">
        <v>0.5</v>
      </c>
      <c r="D38">
        <f t="shared" si="2"/>
        <v>0.05</v>
      </c>
      <c r="G38" s="7" t="s">
        <v>38</v>
      </c>
    </row>
    <row r="39" spans="1:7" x14ac:dyDescent="0.3">
      <c r="A39" t="s">
        <v>126</v>
      </c>
      <c r="B39" s="3">
        <v>0.05</v>
      </c>
      <c r="C39">
        <v>0</v>
      </c>
      <c r="D39">
        <f>C39*B39</f>
        <v>0</v>
      </c>
      <c r="G39" s="7" t="s">
        <v>39</v>
      </c>
    </row>
    <row r="40" spans="1:7" ht="15" thickBot="1" x14ac:dyDescent="0.35">
      <c r="B40" s="4">
        <f>SUM(B31:B39)</f>
        <v>1</v>
      </c>
      <c r="D40" s="6">
        <f>SUM(D31:D39)</f>
        <v>0.35000000000000003</v>
      </c>
      <c r="G40" s="7" t="s">
        <v>23</v>
      </c>
    </row>
    <row r="41" spans="1:7" ht="15" thickTop="1" x14ac:dyDescent="0.3">
      <c r="G41" s="7" t="s">
        <v>40</v>
      </c>
    </row>
    <row r="42" spans="1:7" x14ac:dyDescent="0.3">
      <c r="A42" t="s">
        <v>152</v>
      </c>
      <c r="G42" s="7" t="s">
        <v>41</v>
      </c>
    </row>
    <row r="43" spans="1:7" x14ac:dyDescent="0.3">
      <c r="A43" s="1" t="s">
        <v>0</v>
      </c>
      <c r="B43" s="1" t="s">
        <v>1</v>
      </c>
      <c r="C43" s="1" t="s">
        <v>3</v>
      </c>
      <c r="D43" s="1" t="s">
        <v>4</v>
      </c>
      <c r="G43" s="7" t="s">
        <v>42</v>
      </c>
    </row>
    <row r="44" spans="1:7" x14ac:dyDescent="0.3">
      <c r="A44" t="s">
        <v>123</v>
      </c>
      <c r="B44" s="3">
        <v>0.2</v>
      </c>
      <c r="C44">
        <v>1</v>
      </c>
      <c r="D44">
        <f>C44*B44</f>
        <v>0.2</v>
      </c>
      <c r="G44" s="7" t="s">
        <v>43</v>
      </c>
    </row>
    <row r="45" spans="1:7" x14ac:dyDescent="0.3">
      <c r="A45" t="s">
        <v>124</v>
      </c>
      <c r="B45" s="3">
        <v>0.1</v>
      </c>
      <c r="C45">
        <v>0</v>
      </c>
      <c r="D45">
        <f t="shared" ref="D45:D51" si="3">C45*B45</f>
        <v>0</v>
      </c>
      <c r="G45" s="7" t="s">
        <v>44</v>
      </c>
    </row>
    <row r="46" spans="1:7" x14ac:dyDescent="0.3">
      <c r="A46" t="s">
        <v>125</v>
      </c>
      <c r="B46" s="3">
        <v>0.1</v>
      </c>
      <c r="C46">
        <v>1</v>
      </c>
      <c r="D46">
        <f t="shared" si="3"/>
        <v>0.1</v>
      </c>
      <c r="G46" s="7" t="s">
        <v>45</v>
      </c>
    </row>
    <row r="47" spans="1:7" x14ac:dyDescent="0.3">
      <c r="A47" t="s">
        <v>131</v>
      </c>
      <c r="B47" s="3">
        <v>0.15</v>
      </c>
      <c r="C47">
        <v>0</v>
      </c>
      <c r="D47">
        <f t="shared" si="3"/>
        <v>0</v>
      </c>
      <c r="G47" s="7" t="s">
        <v>22</v>
      </c>
    </row>
    <row r="48" spans="1:7" x14ac:dyDescent="0.3">
      <c r="A48" t="s">
        <v>130</v>
      </c>
      <c r="B48" s="3">
        <v>0.15</v>
      </c>
      <c r="C48">
        <v>0</v>
      </c>
      <c r="D48">
        <f t="shared" si="3"/>
        <v>0</v>
      </c>
      <c r="G48" s="7" t="s">
        <v>23</v>
      </c>
    </row>
    <row r="49" spans="1:7" x14ac:dyDescent="0.3">
      <c r="A49" t="s">
        <v>129</v>
      </c>
      <c r="B49" s="3">
        <v>0.1</v>
      </c>
      <c r="C49">
        <v>0</v>
      </c>
      <c r="D49">
        <f t="shared" si="3"/>
        <v>0</v>
      </c>
      <c r="G49" s="7" t="s">
        <v>46</v>
      </c>
    </row>
    <row r="50" spans="1:7" x14ac:dyDescent="0.3">
      <c r="A50" t="s">
        <v>128</v>
      </c>
      <c r="B50" s="3">
        <v>0.05</v>
      </c>
      <c r="C50">
        <v>0</v>
      </c>
      <c r="D50">
        <f t="shared" si="3"/>
        <v>0</v>
      </c>
      <c r="G50" s="7" t="s">
        <v>47</v>
      </c>
    </row>
    <row r="51" spans="1:7" x14ac:dyDescent="0.3">
      <c r="A51" t="s">
        <v>127</v>
      </c>
      <c r="B51" s="3">
        <v>0.1</v>
      </c>
      <c r="C51">
        <v>0.5</v>
      </c>
      <c r="D51">
        <f t="shared" si="3"/>
        <v>0.05</v>
      </c>
      <c r="G51" s="7" t="s">
        <v>48</v>
      </c>
    </row>
    <row r="52" spans="1:7" x14ac:dyDescent="0.3">
      <c r="A52" t="s">
        <v>126</v>
      </c>
      <c r="B52" s="3">
        <v>0.05</v>
      </c>
      <c r="C52">
        <v>0</v>
      </c>
      <c r="D52">
        <f>C52*B52</f>
        <v>0</v>
      </c>
      <c r="G52" s="7" t="s">
        <v>49</v>
      </c>
    </row>
    <row r="53" spans="1:7" ht="15" thickBot="1" x14ac:dyDescent="0.35">
      <c r="B53" s="4">
        <f>SUM(B44:B52)</f>
        <v>1</v>
      </c>
      <c r="D53" s="6">
        <f>SUM(D44:D52)</f>
        <v>0.35000000000000003</v>
      </c>
      <c r="G53" s="7" t="s">
        <v>50</v>
      </c>
    </row>
    <row r="54" spans="1:7" ht="15" thickTop="1" x14ac:dyDescent="0.3">
      <c r="G54" s="7" t="s">
        <v>35</v>
      </c>
    </row>
    <row r="55" spans="1:7" x14ac:dyDescent="0.3">
      <c r="A55" t="s">
        <v>153</v>
      </c>
      <c r="G55" s="7" t="s">
        <v>51</v>
      </c>
    </row>
    <row r="56" spans="1:7" x14ac:dyDescent="0.3">
      <c r="A56" s="1" t="s">
        <v>0</v>
      </c>
      <c r="B56" s="1" t="s">
        <v>1</v>
      </c>
      <c r="C56" s="1" t="s">
        <v>3</v>
      </c>
      <c r="D56" s="1" t="s">
        <v>4</v>
      </c>
      <c r="G56" s="7" t="s">
        <v>52</v>
      </c>
    </row>
    <row r="57" spans="1:7" x14ac:dyDescent="0.3">
      <c r="A57" t="s">
        <v>123</v>
      </c>
      <c r="B57" s="3">
        <v>0.2</v>
      </c>
      <c r="C57">
        <v>1</v>
      </c>
      <c r="D57">
        <f>C57*B57</f>
        <v>0.2</v>
      </c>
      <c r="G57" s="7" t="s">
        <v>53</v>
      </c>
    </row>
    <row r="58" spans="1:7" x14ac:dyDescent="0.3">
      <c r="A58" t="s">
        <v>124</v>
      </c>
      <c r="B58" s="3">
        <v>0.1</v>
      </c>
      <c r="C58">
        <v>0</v>
      </c>
      <c r="D58">
        <f t="shared" ref="D58:D64" si="4">C58*B58</f>
        <v>0</v>
      </c>
      <c r="G58" s="7" t="s">
        <v>54</v>
      </c>
    </row>
    <row r="59" spans="1:7" x14ac:dyDescent="0.3">
      <c r="A59" t="s">
        <v>125</v>
      </c>
      <c r="B59" s="3">
        <v>0.1</v>
      </c>
      <c r="C59">
        <v>1</v>
      </c>
      <c r="D59">
        <f t="shared" si="4"/>
        <v>0.1</v>
      </c>
      <c r="G59" s="7" t="s">
        <v>22</v>
      </c>
    </row>
    <row r="60" spans="1:7" x14ac:dyDescent="0.3">
      <c r="A60" t="s">
        <v>131</v>
      </c>
      <c r="B60" s="3">
        <v>0.15</v>
      </c>
      <c r="C60">
        <v>0</v>
      </c>
      <c r="D60">
        <f t="shared" si="4"/>
        <v>0</v>
      </c>
      <c r="G60" s="7" t="s">
        <v>23</v>
      </c>
    </row>
    <row r="61" spans="1:7" x14ac:dyDescent="0.3">
      <c r="A61" t="s">
        <v>130</v>
      </c>
      <c r="B61" s="3">
        <v>0.15</v>
      </c>
      <c r="C61">
        <v>0</v>
      </c>
      <c r="D61">
        <f t="shared" si="4"/>
        <v>0</v>
      </c>
      <c r="G61" s="7" t="s">
        <v>55</v>
      </c>
    </row>
    <row r="62" spans="1:7" x14ac:dyDescent="0.3">
      <c r="A62" t="s">
        <v>129</v>
      </c>
      <c r="B62" s="3">
        <v>0.1</v>
      </c>
      <c r="C62">
        <v>0</v>
      </c>
      <c r="D62">
        <f t="shared" si="4"/>
        <v>0</v>
      </c>
      <c r="G62" s="7" t="s">
        <v>56</v>
      </c>
    </row>
    <row r="63" spans="1:7" x14ac:dyDescent="0.3">
      <c r="A63" t="s">
        <v>128</v>
      </c>
      <c r="B63" s="3">
        <v>0.05</v>
      </c>
      <c r="C63">
        <v>0</v>
      </c>
      <c r="D63">
        <f t="shared" si="4"/>
        <v>0</v>
      </c>
      <c r="G63" s="7" t="s">
        <v>57</v>
      </c>
    </row>
    <row r="64" spans="1:7" x14ac:dyDescent="0.3">
      <c r="A64" t="s">
        <v>127</v>
      </c>
      <c r="B64" s="3">
        <v>0.1</v>
      </c>
      <c r="C64">
        <v>0.5</v>
      </c>
      <c r="D64">
        <f t="shared" si="4"/>
        <v>0.05</v>
      </c>
      <c r="G64" s="7" t="s">
        <v>58</v>
      </c>
    </row>
    <row r="65" spans="1:7" x14ac:dyDescent="0.3">
      <c r="A65" t="s">
        <v>126</v>
      </c>
      <c r="B65" s="3">
        <v>0.05</v>
      </c>
      <c r="C65">
        <v>0</v>
      </c>
      <c r="D65">
        <f>C65*B65</f>
        <v>0</v>
      </c>
      <c r="G65" s="7" t="s">
        <v>59</v>
      </c>
    </row>
    <row r="66" spans="1:7" ht="15" thickBot="1" x14ac:dyDescent="0.35">
      <c r="B66" s="4">
        <f>SUM(B57:B65)</f>
        <v>1</v>
      </c>
      <c r="D66" s="6">
        <f>SUM(D57:D65)</f>
        <v>0.35000000000000003</v>
      </c>
      <c r="G66" s="7" t="s">
        <v>60</v>
      </c>
    </row>
    <row r="67" spans="1:7" ht="15" thickTop="1" x14ac:dyDescent="0.3">
      <c r="G67" s="7" t="s">
        <v>35</v>
      </c>
    </row>
    <row r="68" spans="1:7" x14ac:dyDescent="0.3">
      <c r="A68" t="s">
        <v>154</v>
      </c>
      <c r="G68" s="7" t="s">
        <v>61</v>
      </c>
    </row>
    <row r="69" spans="1:7" x14ac:dyDescent="0.3">
      <c r="A69" s="1" t="s">
        <v>0</v>
      </c>
      <c r="B69" s="1" t="s">
        <v>1</v>
      </c>
      <c r="C69" s="1" t="s">
        <v>3</v>
      </c>
      <c r="D69" s="1" t="s">
        <v>4</v>
      </c>
      <c r="G69" s="7" t="s">
        <v>62</v>
      </c>
    </row>
    <row r="70" spans="1:7" x14ac:dyDescent="0.3">
      <c r="A70" t="s">
        <v>123</v>
      </c>
      <c r="B70" s="3">
        <v>0.2</v>
      </c>
      <c r="C70">
        <v>1</v>
      </c>
      <c r="D70">
        <f>C70*B70</f>
        <v>0.2</v>
      </c>
      <c r="G70" s="7" t="s">
        <v>63</v>
      </c>
    </row>
    <row r="71" spans="1:7" x14ac:dyDescent="0.3">
      <c r="A71" t="s">
        <v>124</v>
      </c>
      <c r="B71" s="3">
        <v>0.1</v>
      </c>
      <c r="C71">
        <v>0</v>
      </c>
      <c r="D71">
        <f t="shared" ref="D71:D77" si="5">C71*B71</f>
        <v>0</v>
      </c>
      <c r="G71" s="7" t="s">
        <v>59</v>
      </c>
    </row>
    <row r="72" spans="1:7" x14ac:dyDescent="0.3">
      <c r="A72" t="s">
        <v>125</v>
      </c>
      <c r="B72" s="3">
        <v>0.1</v>
      </c>
      <c r="C72">
        <v>1</v>
      </c>
      <c r="D72">
        <f t="shared" si="5"/>
        <v>0.1</v>
      </c>
      <c r="G72" s="7" t="s">
        <v>60</v>
      </c>
    </row>
    <row r="73" spans="1:7" x14ac:dyDescent="0.3">
      <c r="A73" t="s">
        <v>131</v>
      </c>
      <c r="B73" s="3">
        <v>0.15</v>
      </c>
      <c r="C73">
        <v>0</v>
      </c>
      <c r="D73">
        <f t="shared" si="5"/>
        <v>0</v>
      </c>
      <c r="G73" s="7" t="s">
        <v>35</v>
      </c>
    </row>
    <row r="74" spans="1:7" x14ac:dyDescent="0.3">
      <c r="A74" t="s">
        <v>130</v>
      </c>
      <c r="B74" s="3">
        <v>0.15</v>
      </c>
      <c r="C74">
        <v>0</v>
      </c>
      <c r="D74">
        <f t="shared" si="5"/>
        <v>0</v>
      </c>
      <c r="G74" s="7" t="s">
        <v>64</v>
      </c>
    </row>
    <row r="75" spans="1:7" x14ac:dyDescent="0.3">
      <c r="A75" t="s">
        <v>129</v>
      </c>
      <c r="B75" s="3">
        <v>0.1</v>
      </c>
      <c r="C75">
        <v>0</v>
      </c>
      <c r="D75">
        <f t="shared" si="5"/>
        <v>0</v>
      </c>
      <c r="G75" s="7" t="s">
        <v>65</v>
      </c>
    </row>
    <row r="76" spans="1:7" x14ac:dyDescent="0.3">
      <c r="A76" t="s">
        <v>128</v>
      </c>
      <c r="B76" s="3">
        <v>0.05</v>
      </c>
      <c r="C76">
        <v>0</v>
      </c>
      <c r="D76">
        <f t="shared" si="5"/>
        <v>0</v>
      </c>
      <c r="G76" s="7" t="s">
        <v>66</v>
      </c>
    </row>
    <row r="77" spans="1:7" x14ac:dyDescent="0.3">
      <c r="A77" t="s">
        <v>127</v>
      </c>
      <c r="B77" s="3">
        <v>0.1</v>
      </c>
      <c r="C77">
        <v>0.5</v>
      </c>
      <c r="D77">
        <f t="shared" si="5"/>
        <v>0.05</v>
      </c>
      <c r="G77" s="7" t="s">
        <v>59</v>
      </c>
    </row>
    <row r="78" spans="1:7" x14ac:dyDescent="0.3">
      <c r="A78" t="s">
        <v>126</v>
      </c>
      <c r="B78" s="3">
        <v>0.05</v>
      </c>
      <c r="C78">
        <v>0</v>
      </c>
      <c r="D78">
        <f>C78*B78</f>
        <v>0</v>
      </c>
      <c r="G78" s="7" t="s">
        <v>60</v>
      </c>
    </row>
    <row r="79" spans="1:7" ht="15" thickBot="1" x14ac:dyDescent="0.35">
      <c r="B79" s="4">
        <f>SUM(B70:B78)</f>
        <v>1</v>
      </c>
      <c r="D79" s="6">
        <f>SUM(D70:D78)</f>
        <v>0.35000000000000003</v>
      </c>
      <c r="G79" s="7" t="s">
        <v>35</v>
      </c>
    </row>
    <row r="80" spans="1:7" ht="15" thickTop="1" x14ac:dyDescent="0.3">
      <c r="G80" s="7" t="s">
        <v>67</v>
      </c>
    </row>
    <row r="81" spans="1:7" x14ac:dyDescent="0.3">
      <c r="A81" t="s">
        <v>155</v>
      </c>
      <c r="G81" s="7" t="s">
        <v>68</v>
      </c>
    </row>
    <row r="82" spans="1:7" x14ac:dyDescent="0.3">
      <c r="A82" s="1" t="s">
        <v>0</v>
      </c>
      <c r="B82" s="1" t="s">
        <v>1</v>
      </c>
      <c r="C82" s="1" t="s">
        <v>3</v>
      </c>
      <c r="D82" s="1" t="s">
        <v>4</v>
      </c>
      <c r="G82" s="7" t="s">
        <v>69</v>
      </c>
    </row>
    <row r="83" spans="1:7" x14ac:dyDescent="0.3">
      <c r="A83" t="s">
        <v>123</v>
      </c>
      <c r="B83" s="3">
        <v>0.2</v>
      </c>
      <c r="C83">
        <v>1</v>
      </c>
      <c r="D83">
        <f>C83*B83</f>
        <v>0.2</v>
      </c>
      <c r="G83" s="7" t="s">
        <v>59</v>
      </c>
    </row>
    <row r="84" spans="1:7" x14ac:dyDescent="0.3">
      <c r="A84" t="s">
        <v>124</v>
      </c>
      <c r="B84" s="3">
        <v>0.1</v>
      </c>
      <c r="C84">
        <v>0</v>
      </c>
      <c r="D84">
        <f t="shared" ref="D84:D90" si="6">C84*B84</f>
        <v>0</v>
      </c>
      <c r="G84" s="7" t="s">
        <v>60</v>
      </c>
    </row>
    <row r="85" spans="1:7" x14ac:dyDescent="0.3">
      <c r="A85" t="s">
        <v>125</v>
      </c>
      <c r="B85" s="3">
        <v>0.1</v>
      </c>
      <c r="C85">
        <v>1</v>
      </c>
      <c r="D85">
        <f t="shared" si="6"/>
        <v>0.1</v>
      </c>
      <c r="G85" s="7" t="s">
        <v>35</v>
      </c>
    </row>
    <row r="86" spans="1:7" x14ac:dyDescent="0.3">
      <c r="A86" t="s">
        <v>131</v>
      </c>
      <c r="B86" s="3">
        <v>0.15</v>
      </c>
      <c r="C86">
        <v>0</v>
      </c>
      <c r="D86">
        <f t="shared" si="6"/>
        <v>0</v>
      </c>
      <c r="G86" s="7" t="s">
        <v>70</v>
      </c>
    </row>
    <row r="87" spans="1:7" x14ac:dyDescent="0.3">
      <c r="A87" t="s">
        <v>130</v>
      </c>
      <c r="B87" s="3">
        <v>0.15</v>
      </c>
      <c r="C87">
        <v>0</v>
      </c>
      <c r="D87">
        <f t="shared" si="6"/>
        <v>0</v>
      </c>
      <c r="G87" s="7" t="s">
        <v>71</v>
      </c>
    </row>
    <row r="88" spans="1:7" x14ac:dyDescent="0.3">
      <c r="A88" t="s">
        <v>129</v>
      </c>
      <c r="B88" s="3">
        <v>0.1</v>
      </c>
      <c r="C88">
        <v>0</v>
      </c>
      <c r="D88">
        <f t="shared" si="6"/>
        <v>0</v>
      </c>
      <c r="G88" s="7" t="s">
        <v>72</v>
      </c>
    </row>
    <row r="89" spans="1:7" x14ac:dyDescent="0.3">
      <c r="A89" t="s">
        <v>128</v>
      </c>
      <c r="B89" s="3">
        <v>0.05</v>
      </c>
      <c r="C89">
        <v>0</v>
      </c>
      <c r="D89">
        <f t="shared" si="6"/>
        <v>0</v>
      </c>
      <c r="G89" s="7" t="s">
        <v>73</v>
      </c>
    </row>
    <row r="90" spans="1:7" x14ac:dyDescent="0.3">
      <c r="A90" t="s">
        <v>127</v>
      </c>
      <c r="B90" s="3">
        <v>0.1</v>
      </c>
      <c r="C90">
        <v>0.5</v>
      </c>
      <c r="D90">
        <f t="shared" si="6"/>
        <v>0.05</v>
      </c>
      <c r="G90" s="7" t="s">
        <v>60</v>
      </c>
    </row>
    <row r="91" spans="1:7" x14ac:dyDescent="0.3">
      <c r="A91" t="s">
        <v>126</v>
      </c>
      <c r="B91" s="3">
        <v>0.05</v>
      </c>
      <c r="C91">
        <v>0</v>
      </c>
      <c r="D91">
        <f>C91*B91</f>
        <v>0</v>
      </c>
      <c r="G91" s="7" t="s">
        <v>35</v>
      </c>
    </row>
    <row r="92" spans="1:7" ht="15" thickBot="1" x14ac:dyDescent="0.35">
      <c r="B92" s="4">
        <f>SUM(B83:B91)</f>
        <v>1</v>
      </c>
      <c r="D92" s="6">
        <f>SUM(D83:D91)</f>
        <v>0.35000000000000003</v>
      </c>
      <c r="G92" s="7" t="s">
        <v>74</v>
      </c>
    </row>
    <row r="93" spans="1:7" ht="15" thickTop="1" x14ac:dyDescent="0.3">
      <c r="G93" s="7" t="s">
        <v>75</v>
      </c>
    </row>
    <row r="94" spans="1:7" x14ac:dyDescent="0.3">
      <c r="A94" t="s">
        <v>156</v>
      </c>
      <c r="G94" s="7" t="s">
        <v>76</v>
      </c>
    </row>
    <row r="95" spans="1:7" x14ac:dyDescent="0.3">
      <c r="A95" s="1" t="s">
        <v>0</v>
      </c>
      <c r="B95" s="1" t="s">
        <v>1</v>
      </c>
      <c r="C95" s="1" t="s">
        <v>3</v>
      </c>
      <c r="D95" s="1" t="s">
        <v>4</v>
      </c>
      <c r="G95" s="7" t="s">
        <v>23</v>
      </c>
    </row>
    <row r="96" spans="1:7" x14ac:dyDescent="0.3">
      <c r="A96" t="s">
        <v>123</v>
      </c>
      <c r="B96" s="3">
        <v>0.2</v>
      </c>
      <c r="C96">
        <v>1</v>
      </c>
      <c r="D96">
        <f>C96*B96</f>
        <v>0.2</v>
      </c>
      <c r="G96" s="7" t="s">
        <v>77</v>
      </c>
    </row>
    <row r="97" spans="1:7" x14ac:dyDescent="0.3">
      <c r="A97" t="s">
        <v>124</v>
      </c>
      <c r="B97" s="3">
        <v>0.1</v>
      </c>
      <c r="C97">
        <v>0</v>
      </c>
      <c r="D97">
        <f t="shared" ref="D97:D103" si="7">C97*B97</f>
        <v>0</v>
      </c>
      <c r="G97" s="7" t="s">
        <v>78</v>
      </c>
    </row>
    <row r="98" spans="1:7" x14ac:dyDescent="0.3">
      <c r="A98" t="s">
        <v>125</v>
      </c>
      <c r="B98" s="3">
        <v>0.1</v>
      </c>
      <c r="C98">
        <v>1</v>
      </c>
      <c r="D98">
        <f t="shared" si="7"/>
        <v>0.1</v>
      </c>
      <c r="G98" s="7" t="s">
        <v>79</v>
      </c>
    </row>
    <row r="99" spans="1:7" x14ac:dyDescent="0.3">
      <c r="A99" t="s">
        <v>131</v>
      </c>
      <c r="B99" s="3">
        <v>0.15</v>
      </c>
      <c r="C99">
        <v>0</v>
      </c>
      <c r="D99">
        <f t="shared" si="7"/>
        <v>0</v>
      </c>
      <c r="G99" s="7" t="s">
        <v>80</v>
      </c>
    </row>
    <row r="100" spans="1:7" x14ac:dyDescent="0.3">
      <c r="A100" t="s">
        <v>130</v>
      </c>
      <c r="B100" s="3">
        <v>0.15</v>
      </c>
      <c r="C100">
        <v>0</v>
      </c>
      <c r="D100">
        <f t="shared" si="7"/>
        <v>0</v>
      </c>
      <c r="G100" s="7" t="s">
        <v>81</v>
      </c>
    </row>
    <row r="101" spans="1:7" x14ac:dyDescent="0.3">
      <c r="A101" t="s">
        <v>129</v>
      </c>
      <c r="B101" s="3">
        <v>0.1</v>
      </c>
      <c r="C101">
        <v>0</v>
      </c>
      <c r="D101">
        <f t="shared" si="7"/>
        <v>0</v>
      </c>
      <c r="G101" s="7" t="s">
        <v>82</v>
      </c>
    </row>
    <row r="102" spans="1:7" x14ac:dyDescent="0.3">
      <c r="A102" t="s">
        <v>128</v>
      </c>
      <c r="B102" s="3">
        <v>0.05</v>
      </c>
      <c r="C102">
        <v>0</v>
      </c>
      <c r="D102">
        <f t="shared" si="7"/>
        <v>0</v>
      </c>
      <c r="G102" s="7" t="s">
        <v>83</v>
      </c>
    </row>
    <row r="103" spans="1:7" x14ac:dyDescent="0.3">
      <c r="A103" t="s">
        <v>127</v>
      </c>
      <c r="B103" s="3">
        <v>0.1</v>
      </c>
      <c r="C103">
        <v>0.5</v>
      </c>
      <c r="D103">
        <f t="shared" si="7"/>
        <v>0.05</v>
      </c>
    </row>
    <row r="104" spans="1:7" x14ac:dyDescent="0.3">
      <c r="A104" t="s">
        <v>126</v>
      </c>
      <c r="B104" s="3">
        <v>0.05</v>
      </c>
      <c r="C104">
        <v>0</v>
      </c>
      <c r="D104">
        <f>C104*B104</f>
        <v>0</v>
      </c>
      <c r="G104" s="7" t="s">
        <v>84</v>
      </c>
    </row>
    <row r="105" spans="1:7" ht="15" thickBot="1" x14ac:dyDescent="0.35">
      <c r="B105" s="4">
        <f>SUM(B96:B104)</f>
        <v>1</v>
      </c>
      <c r="D105" s="6">
        <f>SUM(D96:D104)</f>
        <v>0.35000000000000003</v>
      </c>
    </row>
    <row r="106" spans="1:7" ht="15" thickTop="1" x14ac:dyDescent="0.3"/>
    <row r="107" spans="1:7" x14ac:dyDescent="0.3">
      <c r="A107" t="s">
        <v>157</v>
      </c>
    </row>
    <row r="108" spans="1:7" x14ac:dyDescent="0.3">
      <c r="A108" s="1" t="s">
        <v>0</v>
      </c>
      <c r="B108" s="1" t="s">
        <v>1</v>
      </c>
      <c r="C108" s="1" t="s">
        <v>3</v>
      </c>
      <c r="D108" s="1" t="s">
        <v>4</v>
      </c>
    </row>
    <row r="109" spans="1:7" x14ac:dyDescent="0.3">
      <c r="A109" t="s">
        <v>123</v>
      </c>
      <c r="B109" s="3">
        <v>0.2</v>
      </c>
      <c r="C109">
        <v>1</v>
      </c>
      <c r="D109">
        <f>C109*B109</f>
        <v>0.2</v>
      </c>
    </row>
    <row r="110" spans="1:7" x14ac:dyDescent="0.3">
      <c r="A110" t="s">
        <v>124</v>
      </c>
      <c r="B110" s="3">
        <v>0.1</v>
      </c>
      <c r="C110">
        <v>0</v>
      </c>
      <c r="D110">
        <f t="shared" ref="D110:D116" si="8">C110*B110</f>
        <v>0</v>
      </c>
    </row>
    <row r="111" spans="1:7" x14ac:dyDescent="0.3">
      <c r="A111" t="s">
        <v>125</v>
      </c>
      <c r="B111" s="3">
        <v>0.1</v>
      </c>
      <c r="C111">
        <v>1</v>
      </c>
      <c r="D111">
        <f t="shared" si="8"/>
        <v>0.1</v>
      </c>
    </row>
    <row r="112" spans="1:7" x14ac:dyDescent="0.3">
      <c r="A112" t="s">
        <v>131</v>
      </c>
      <c r="B112" s="3">
        <v>0.15</v>
      </c>
      <c r="C112">
        <v>0</v>
      </c>
      <c r="D112">
        <f t="shared" si="8"/>
        <v>0</v>
      </c>
    </row>
    <row r="113" spans="1:4" x14ac:dyDescent="0.3">
      <c r="A113" t="s">
        <v>130</v>
      </c>
      <c r="B113" s="3">
        <v>0.15</v>
      </c>
      <c r="C113">
        <v>0</v>
      </c>
      <c r="D113">
        <f t="shared" si="8"/>
        <v>0</v>
      </c>
    </row>
    <row r="114" spans="1:4" x14ac:dyDescent="0.3">
      <c r="A114" t="s">
        <v>129</v>
      </c>
      <c r="B114" s="3">
        <v>0.1</v>
      </c>
      <c r="C114">
        <v>0</v>
      </c>
      <c r="D114">
        <f t="shared" si="8"/>
        <v>0</v>
      </c>
    </row>
    <row r="115" spans="1:4" x14ac:dyDescent="0.3">
      <c r="A115" t="s">
        <v>128</v>
      </c>
      <c r="B115" s="3">
        <v>0.05</v>
      </c>
      <c r="C115">
        <v>0</v>
      </c>
      <c r="D115">
        <f t="shared" si="8"/>
        <v>0</v>
      </c>
    </row>
    <row r="116" spans="1:4" x14ac:dyDescent="0.3">
      <c r="A116" t="s">
        <v>127</v>
      </c>
      <c r="B116" s="3">
        <v>0.1</v>
      </c>
      <c r="C116">
        <v>0.5</v>
      </c>
      <c r="D116">
        <f t="shared" si="8"/>
        <v>0.05</v>
      </c>
    </row>
    <row r="117" spans="1:4" x14ac:dyDescent="0.3">
      <c r="A117" t="s">
        <v>126</v>
      </c>
      <c r="B117" s="3">
        <v>0.05</v>
      </c>
      <c r="C117">
        <v>0</v>
      </c>
      <c r="D117">
        <f>C117*B117</f>
        <v>0</v>
      </c>
    </row>
    <row r="118" spans="1:4" ht="15" thickBot="1" x14ac:dyDescent="0.35">
      <c r="B118" s="4">
        <f>SUM(B109:B117)</f>
        <v>1</v>
      </c>
      <c r="D118" s="6">
        <f>SUM(D109:D117)</f>
        <v>0.35000000000000003</v>
      </c>
    </row>
    <row r="119" spans="1:4" ht="15" thickTop="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19"/>
  <sheetViews>
    <sheetView workbookViewId="0">
      <selection activeCell="K16" sqref="K16"/>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5</v>
      </c>
      <c r="B1" s="5">
        <f>B5*1 + B6*1 +B7*1+B8*1+B9*1+B10*1+B11*1+B12*1+B13*1</f>
        <v>1</v>
      </c>
    </row>
    <row r="2" spans="1:7" x14ac:dyDescent="0.3">
      <c r="F2" s="2" t="s">
        <v>2</v>
      </c>
      <c r="G2" s="7" t="s">
        <v>6</v>
      </c>
    </row>
    <row r="3" spans="1:7" x14ac:dyDescent="0.3">
      <c r="A3" t="s">
        <v>149</v>
      </c>
      <c r="G3" s="7" t="s">
        <v>7</v>
      </c>
    </row>
    <row r="4" spans="1:7" x14ac:dyDescent="0.3">
      <c r="A4" s="1" t="s">
        <v>0</v>
      </c>
      <c r="B4" s="1" t="s">
        <v>1</v>
      </c>
      <c r="C4" s="1" t="s">
        <v>3</v>
      </c>
      <c r="D4" s="1" t="s">
        <v>4</v>
      </c>
      <c r="G4" s="7" t="s">
        <v>8</v>
      </c>
    </row>
    <row r="5" spans="1:7" x14ac:dyDescent="0.3">
      <c r="A5" t="s">
        <v>123</v>
      </c>
      <c r="B5" s="3">
        <v>0.2</v>
      </c>
      <c r="C5">
        <v>1</v>
      </c>
      <c r="D5">
        <f>C5*B5</f>
        <v>0.2</v>
      </c>
      <c r="G5" s="7" t="s">
        <v>9</v>
      </c>
    </row>
    <row r="6" spans="1:7" x14ac:dyDescent="0.3">
      <c r="A6" t="s">
        <v>124</v>
      </c>
      <c r="B6" s="3">
        <v>0.1</v>
      </c>
      <c r="C6">
        <v>0</v>
      </c>
      <c r="D6">
        <f t="shared" ref="D6:D12" si="0">C6*B6</f>
        <v>0</v>
      </c>
    </row>
    <row r="7" spans="1:7" x14ac:dyDescent="0.3">
      <c r="A7" t="s">
        <v>125</v>
      </c>
      <c r="B7" s="3">
        <v>0.1</v>
      </c>
      <c r="C7">
        <v>1</v>
      </c>
      <c r="D7">
        <f t="shared" si="0"/>
        <v>0.1</v>
      </c>
      <c r="G7" s="7" t="s">
        <v>10</v>
      </c>
    </row>
    <row r="8" spans="1:7" x14ac:dyDescent="0.3">
      <c r="A8" t="s">
        <v>131</v>
      </c>
      <c r="B8" s="3">
        <v>0.15</v>
      </c>
      <c r="C8">
        <v>0</v>
      </c>
      <c r="D8">
        <f t="shared" si="0"/>
        <v>0</v>
      </c>
      <c r="G8" s="7" t="s">
        <v>11</v>
      </c>
    </row>
    <row r="9" spans="1:7" x14ac:dyDescent="0.3">
      <c r="A9" t="s">
        <v>130</v>
      </c>
      <c r="B9" s="3">
        <v>0.15</v>
      </c>
      <c r="C9">
        <v>0</v>
      </c>
      <c r="D9">
        <f t="shared" si="0"/>
        <v>0</v>
      </c>
      <c r="G9" s="7" t="s">
        <v>12</v>
      </c>
    </row>
    <row r="10" spans="1:7" x14ac:dyDescent="0.3">
      <c r="A10" t="s">
        <v>129</v>
      </c>
      <c r="B10" s="3">
        <v>0.1</v>
      </c>
      <c r="C10">
        <v>0</v>
      </c>
      <c r="D10">
        <f t="shared" si="0"/>
        <v>0</v>
      </c>
      <c r="G10" s="7" t="s">
        <v>13</v>
      </c>
    </row>
    <row r="11" spans="1:7" x14ac:dyDescent="0.3">
      <c r="A11" t="s">
        <v>128</v>
      </c>
      <c r="B11" s="3">
        <v>0.05</v>
      </c>
      <c r="C11">
        <v>0</v>
      </c>
      <c r="D11">
        <f t="shared" si="0"/>
        <v>0</v>
      </c>
      <c r="G11" s="7" t="s">
        <v>87</v>
      </c>
    </row>
    <row r="12" spans="1:7" x14ac:dyDescent="0.3">
      <c r="A12" t="s">
        <v>127</v>
      </c>
      <c r="B12" s="3">
        <v>0.1</v>
      </c>
      <c r="C12">
        <v>0.5</v>
      </c>
      <c r="D12">
        <f t="shared" si="0"/>
        <v>0.05</v>
      </c>
      <c r="G12" s="7" t="s">
        <v>159</v>
      </c>
    </row>
    <row r="13" spans="1:7" x14ac:dyDescent="0.3">
      <c r="A13" t="s">
        <v>126</v>
      </c>
      <c r="B13" s="3">
        <v>0.05</v>
      </c>
      <c r="C13">
        <v>0</v>
      </c>
      <c r="D13">
        <f>C13*B13</f>
        <v>0</v>
      </c>
      <c r="G13" s="7" t="s">
        <v>88</v>
      </c>
    </row>
    <row r="14" spans="1:7" ht="15" thickBot="1" x14ac:dyDescent="0.35">
      <c r="B14" s="4">
        <f>SUM(B5:B13)</f>
        <v>1</v>
      </c>
      <c r="D14" s="6">
        <f>SUM(D5:D13)</f>
        <v>0.35000000000000003</v>
      </c>
      <c r="G14" s="7" t="s">
        <v>160</v>
      </c>
    </row>
    <row r="15" spans="1:7" ht="15" thickTop="1" x14ac:dyDescent="0.3">
      <c r="G15" s="7" t="s">
        <v>161</v>
      </c>
    </row>
    <row r="16" spans="1:7" x14ac:dyDescent="0.3">
      <c r="A16" t="s">
        <v>150</v>
      </c>
      <c r="G16" s="7" t="s">
        <v>89</v>
      </c>
    </row>
    <row r="17" spans="1:7" x14ac:dyDescent="0.3">
      <c r="A17" s="1" t="s">
        <v>0</v>
      </c>
      <c r="B17" s="1" t="s">
        <v>1</v>
      </c>
      <c r="C17" s="1" t="s">
        <v>3</v>
      </c>
      <c r="D17" s="1" t="s">
        <v>4</v>
      </c>
      <c r="G17" s="7" t="s">
        <v>162</v>
      </c>
    </row>
    <row r="18" spans="1:7" x14ac:dyDescent="0.3">
      <c r="A18" t="s">
        <v>123</v>
      </c>
      <c r="B18" s="3">
        <v>0.2</v>
      </c>
      <c r="C18">
        <v>1</v>
      </c>
      <c r="D18">
        <f>C18*B18</f>
        <v>0.2</v>
      </c>
      <c r="G18" s="7" t="s">
        <v>163</v>
      </c>
    </row>
    <row r="19" spans="1:7" x14ac:dyDescent="0.3">
      <c r="A19" t="s">
        <v>124</v>
      </c>
      <c r="B19" s="3">
        <v>0.1</v>
      </c>
      <c r="C19">
        <v>0</v>
      </c>
      <c r="D19">
        <f t="shared" ref="D19:D25" si="1">C19*B19</f>
        <v>0</v>
      </c>
      <c r="G19" s="7" t="s">
        <v>22</v>
      </c>
    </row>
    <row r="20" spans="1:7" x14ac:dyDescent="0.3">
      <c r="A20" t="s">
        <v>125</v>
      </c>
      <c r="B20" s="3">
        <v>0.1</v>
      </c>
      <c r="C20">
        <v>1</v>
      </c>
      <c r="D20">
        <f t="shared" si="1"/>
        <v>0.1</v>
      </c>
      <c r="G20" s="7" t="s">
        <v>23</v>
      </c>
    </row>
    <row r="21" spans="1:7" x14ac:dyDescent="0.3">
      <c r="A21" t="s">
        <v>131</v>
      </c>
      <c r="B21" s="3">
        <v>0.15</v>
      </c>
      <c r="C21">
        <v>0</v>
      </c>
      <c r="D21">
        <f t="shared" si="1"/>
        <v>0</v>
      </c>
      <c r="G21" s="7" t="s">
        <v>24</v>
      </c>
    </row>
    <row r="22" spans="1:7" x14ac:dyDescent="0.3">
      <c r="A22" t="s">
        <v>130</v>
      </c>
      <c r="B22" s="3">
        <v>0.15</v>
      </c>
      <c r="C22">
        <v>0</v>
      </c>
      <c r="D22">
        <f t="shared" si="1"/>
        <v>0</v>
      </c>
      <c r="G22" s="7" t="s">
        <v>164</v>
      </c>
    </row>
    <row r="23" spans="1:7" x14ac:dyDescent="0.3">
      <c r="A23" t="s">
        <v>129</v>
      </c>
      <c r="B23" s="3">
        <v>0.1</v>
      </c>
      <c r="C23">
        <v>0</v>
      </c>
      <c r="D23">
        <f t="shared" si="1"/>
        <v>0</v>
      </c>
      <c r="G23" s="7" t="s">
        <v>26</v>
      </c>
    </row>
    <row r="24" spans="1:7" x14ac:dyDescent="0.3">
      <c r="A24" t="s">
        <v>128</v>
      </c>
      <c r="B24" s="3">
        <v>0.05</v>
      </c>
      <c r="C24">
        <v>0</v>
      </c>
      <c r="D24">
        <f t="shared" si="1"/>
        <v>0</v>
      </c>
      <c r="G24" s="7" t="s">
        <v>27</v>
      </c>
    </row>
    <row r="25" spans="1:7" x14ac:dyDescent="0.3">
      <c r="A25" t="s">
        <v>127</v>
      </c>
      <c r="B25" s="3">
        <v>0.1</v>
      </c>
      <c r="C25">
        <v>0.5</v>
      </c>
      <c r="D25">
        <f t="shared" si="1"/>
        <v>0.05</v>
      </c>
      <c r="G25" s="7" t="s">
        <v>165</v>
      </c>
    </row>
    <row r="26" spans="1:7" x14ac:dyDescent="0.3">
      <c r="A26" t="s">
        <v>126</v>
      </c>
      <c r="B26" s="3">
        <v>0.05</v>
      </c>
      <c r="C26">
        <v>0</v>
      </c>
      <c r="D26">
        <f>C26*B26</f>
        <v>0</v>
      </c>
      <c r="G26" s="7" t="s">
        <v>166</v>
      </c>
    </row>
    <row r="27" spans="1:7" ht="15" thickBot="1" x14ac:dyDescent="0.35">
      <c r="B27" s="4">
        <f>SUM(B18:B26)</f>
        <v>1</v>
      </c>
      <c r="D27" s="6">
        <f>SUM(D18:D26)</f>
        <v>0.35000000000000003</v>
      </c>
      <c r="G27" s="7" t="s">
        <v>23</v>
      </c>
    </row>
    <row r="28" spans="1:7" ht="15" thickTop="1" x14ac:dyDescent="0.3">
      <c r="G28" s="7" t="s">
        <v>30</v>
      </c>
    </row>
    <row r="29" spans="1:7" x14ac:dyDescent="0.3">
      <c r="A29" t="s">
        <v>151</v>
      </c>
      <c r="G29" s="7" t="s">
        <v>31</v>
      </c>
    </row>
    <row r="30" spans="1:7" x14ac:dyDescent="0.3">
      <c r="A30" s="1" t="s">
        <v>0</v>
      </c>
      <c r="B30" s="1" t="s">
        <v>1</v>
      </c>
      <c r="C30" s="1" t="s">
        <v>3</v>
      </c>
      <c r="D30" s="1" t="s">
        <v>4</v>
      </c>
      <c r="G30" s="7" t="s">
        <v>167</v>
      </c>
    </row>
    <row r="31" spans="1:7" x14ac:dyDescent="0.3">
      <c r="A31" t="s">
        <v>123</v>
      </c>
      <c r="B31" s="3">
        <v>0.2</v>
      </c>
      <c r="C31">
        <v>1</v>
      </c>
      <c r="D31">
        <f>C31*B31</f>
        <v>0.2</v>
      </c>
      <c r="G31" s="7" t="s">
        <v>168</v>
      </c>
    </row>
    <row r="32" spans="1:7" x14ac:dyDescent="0.3">
      <c r="A32" t="s">
        <v>124</v>
      </c>
      <c r="B32" s="3">
        <v>0.1</v>
      </c>
      <c r="C32">
        <v>0</v>
      </c>
      <c r="D32">
        <f t="shared" ref="D32:D38" si="2">C32*B32</f>
        <v>0</v>
      </c>
      <c r="G32" s="7" t="s">
        <v>169</v>
      </c>
    </row>
    <row r="33" spans="1:7" x14ac:dyDescent="0.3">
      <c r="A33" t="s">
        <v>125</v>
      </c>
      <c r="B33" s="3">
        <v>0.1</v>
      </c>
      <c r="C33">
        <v>1</v>
      </c>
      <c r="D33">
        <f t="shared" si="2"/>
        <v>0.1</v>
      </c>
      <c r="G33" s="7" t="s">
        <v>35</v>
      </c>
    </row>
    <row r="34" spans="1:7" x14ac:dyDescent="0.3">
      <c r="A34" t="s">
        <v>131</v>
      </c>
      <c r="B34" s="3">
        <v>0.15</v>
      </c>
      <c r="C34">
        <v>0</v>
      </c>
      <c r="D34">
        <f t="shared" si="2"/>
        <v>0</v>
      </c>
      <c r="G34" s="7" t="s">
        <v>170</v>
      </c>
    </row>
    <row r="35" spans="1:7" x14ac:dyDescent="0.3">
      <c r="A35" t="s">
        <v>130</v>
      </c>
      <c r="B35" s="3">
        <v>0.15</v>
      </c>
      <c r="C35">
        <v>0</v>
      </c>
      <c r="D35">
        <f t="shared" si="2"/>
        <v>0</v>
      </c>
      <c r="G35" s="7" t="s">
        <v>37</v>
      </c>
    </row>
    <row r="36" spans="1:7" x14ac:dyDescent="0.3">
      <c r="A36" t="s">
        <v>129</v>
      </c>
      <c r="B36" s="3">
        <v>0.1</v>
      </c>
      <c r="C36">
        <v>0</v>
      </c>
      <c r="D36">
        <f t="shared" si="2"/>
        <v>0</v>
      </c>
      <c r="G36" s="7" t="s">
        <v>171</v>
      </c>
    </row>
    <row r="37" spans="1:7" x14ac:dyDescent="0.3">
      <c r="A37" t="s">
        <v>128</v>
      </c>
      <c r="B37" s="3">
        <v>0.05</v>
      </c>
      <c r="C37">
        <v>0</v>
      </c>
      <c r="D37">
        <f t="shared" si="2"/>
        <v>0</v>
      </c>
      <c r="G37" s="7" t="s">
        <v>172</v>
      </c>
    </row>
    <row r="38" spans="1:7" x14ac:dyDescent="0.3">
      <c r="A38" t="s">
        <v>127</v>
      </c>
      <c r="B38" s="3">
        <v>0.1</v>
      </c>
      <c r="C38">
        <v>0.5</v>
      </c>
      <c r="D38">
        <f t="shared" si="2"/>
        <v>0.05</v>
      </c>
      <c r="G38" s="7" t="s">
        <v>23</v>
      </c>
    </row>
    <row r="39" spans="1:7" x14ac:dyDescent="0.3">
      <c r="A39" t="s">
        <v>126</v>
      </c>
      <c r="B39" s="3">
        <v>0.05</v>
      </c>
      <c r="C39">
        <v>0</v>
      </c>
      <c r="D39">
        <f>C39*B39</f>
        <v>0</v>
      </c>
      <c r="G39" s="7" t="s">
        <v>40</v>
      </c>
    </row>
    <row r="40" spans="1:7" ht="15" thickBot="1" x14ac:dyDescent="0.35">
      <c r="B40" s="4">
        <f>SUM(B31:B39)</f>
        <v>1</v>
      </c>
      <c r="D40" s="6">
        <f>SUM(D31:D39)</f>
        <v>0.35000000000000003</v>
      </c>
      <c r="G40" s="7" t="s">
        <v>173</v>
      </c>
    </row>
    <row r="41" spans="1:7" ht="15" thickTop="1" x14ac:dyDescent="0.3">
      <c r="G41" s="7" t="s">
        <v>42</v>
      </c>
    </row>
    <row r="42" spans="1:7" x14ac:dyDescent="0.3">
      <c r="A42" t="s">
        <v>152</v>
      </c>
      <c r="G42" s="7" t="s">
        <v>174</v>
      </c>
    </row>
    <row r="43" spans="1:7" x14ac:dyDescent="0.3">
      <c r="A43" s="1" t="s">
        <v>0</v>
      </c>
      <c r="B43" s="1" t="s">
        <v>1</v>
      </c>
      <c r="C43" s="1" t="s">
        <v>3</v>
      </c>
      <c r="D43" s="1" t="s">
        <v>4</v>
      </c>
      <c r="G43" s="7" t="s">
        <v>175</v>
      </c>
    </row>
    <row r="44" spans="1:7" x14ac:dyDescent="0.3">
      <c r="A44" t="s">
        <v>123</v>
      </c>
      <c r="B44" s="3">
        <v>0.2</v>
      </c>
      <c r="C44">
        <v>1</v>
      </c>
      <c r="D44">
        <f>C44*B44</f>
        <v>0.2</v>
      </c>
      <c r="G44" s="7" t="s">
        <v>45</v>
      </c>
    </row>
    <row r="45" spans="1:7" x14ac:dyDescent="0.3">
      <c r="A45" t="s">
        <v>124</v>
      </c>
      <c r="B45" s="3">
        <v>0.1</v>
      </c>
      <c r="C45">
        <v>0</v>
      </c>
      <c r="D45">
        <f t="shared" ref="D45:D51" si="3">C45*B45</f>
        <v>0</v>
      </c>
      <c r="G45" s="7" t="s">
        <v>22</v>
      </c>
    </row>
    <row r="46" spans="1:7" x14ac:dyDescent="0.3">
      <c r="A46" t="s">
        <v>125</v>
      </c>
      <c r="B46" s="3">
        <v>0.1</v>
      </c>
      <c r="C46">
        <v>1</v>
      </c>
      <c r="D46">
        <f t="shared" si="3"/>
        <v>0.1</v>
      </c>
      <c r="G46" s="7" t="s">
        <v>23</v>
      </c>
    </row>
    <row r="47" spans="1:7" x14ac:dyDescent="0.3">
      <c r="A47" t="s">
        <v>131</v>
      </c>
      <c r="B47" s="3">
        <v>0.15</v>
      </c>
      <c r="C47">
        <v>0</v>
      </c>
      <c r="D47">
        <f t="shared" si="3"/>
        <v>0</v>
      </c>
      <c r="G47" s="7" t="s">
        <v>46</v>
      </c>
    </row>
    <row r="48" spans="1:7" x14ac:dyDescent="0.3">
      <c r="A48" t="s">
        <v>130</v>
      </c>
      <c r="B48" s="3">
        <v>0.15</v>
      </c>
      <c r="C48">
        <v>0</v>
      </c>
      <c r="D48">
        <f t="shared" si="3"/>
        <v>0</v>
      </c>
      <c r="G48" s="7" t="s">
        <v>47</v>
      </c>
    </row>
    <row r="49" spans="1:7" x14ac:dyDescent="0.3">
      <c r="A49" t="s">
        <v>129</v>
      </c>
      <c r="B49" s="3">
        <v>0.1</v>
      </c>
      <c r="C49">
        <v>0</v>
      </c>
      <c r="D49">
        <f t="shared" si="3"/>
        <v>0</v>
      </c>
      <c r="G49" s="7" t="s">
        <v>176</v>
      </c>
    </row>
    <row r="50" spans="1:7" x14ac:dyDescent="0.3">
      <c r="A50" t="s">
        <v>128</v>
      </c>
      <c r="B50" s="3">
        <v>0.05</v>
      </c>
      <c r="C50">
        <v>0</v>
      </c>
      <c r="D50">
        <f t="shared" si="3"/>
        <v>0</v>
      </c>
      <c r="G50" s="7" t="s">
        <v>177</v>
      </c>
    </row>
    <row r="51" spans="1:7" x14ac:dyDescent="0.3">
      <c r="A51" t="s">
        <v>127</v>
      </c>
      <c r="B51" s="3">
        <v>0.1</v>
      </c>
      <c r="C51">
        <v>0.5</v>
      </c>
      <c r="D51">
        <f t="shared" si="3"/>
        <v>0.05</v>
      </c>
      <c r="G51" s="7" t="s">
        <v>178</v>
      </c>
    </row>
    <row r="52" spans="1:7" x14ac:dyDescent="0.3">
      <c r="A52" t="s">
        <v>126</v>
      </c>
      <c r="B52" s="3">
        <v>0.05</v>
      </c>
      <c r="C52">
        <v>0</v>
      </c>
      <c r="D52">
        <f>C52*B52</f>
        <v>0</v>
      </c>
      <c r="G52" s="7" t="s">
        <v>35</v>
      </c>
    </row>
    <row r="53" spans="1:7" ht="15" thickBot="1" x14ac:dyDescent="0.35">
      <c r="B53" s="4">
        <f>SUM(B44:B52)</f>
        <v>1</v>
      </c>
      <c r="D53" s="6">
        <f>SUM(D44:D52)</f>
        <v>0.35000000000000003</v>
      </c>
      <c r="G53" s="7" t="s">
        <v>51</v>
      </c>
    </row>
    <row r="54" spans="1:7" ht="15" thickTop="1" x14ac:dyDescent="0.3">
      <c r="G54" s="7" t="s">
        <v>179</v>
      </c>
    </row>
    <row r="55" spans="1:7" x14ac:dyDescent="0.3">
      <c r="A55" t="s">
        <v>153</v>
      </c>
      <c r="G55" s="7" t="s">
        <v>180</v>
      </c>
    </row>
    <row r="56" spans="1:7" x14ac:dyDescent="0.3">
      <c r="A56" s="1" t="s">
        <v>0</v>
      </c>
      <c r="B56" s="1" t="s">
        <v>1</v>
      </c>
      <c r="C56" s="1" t="s">
        <v>3</v>
      </c>
      <c r="D56" s="1" t="s">
        <v>4</v>
      </c>
      <c r="G56" s="7" t="s">
        <v>181</v>
      </c>
    </row>
    <row r="57" spans="1:7" x14ac:dyDescent="0.3">
      <c r="A57" t="s">
        <v>123</v>
      </c>
      <c r="B57" s="3">
        <v>0.2</v>
      </c>
      <c r="C57">
        <v>1</v>
      </c>
      <c r="D57">
        <f>C57*B57</f>
        <v>0.2</v>
      </c>
      <c r="G57" s="7" t="s">
        <v>22</v>
      </c>
    </row>
    <row r="58" spans="1:7" x14ac:dyDescent="0.3">
      <c r="A58" t="s">
        <v>124</v>
      </c>
      <c r="B58" s="3">
        <v>0.1</v>
      </c>
      <c r="C58">
        <v>0</v>
      </c>
      <c r="D58">
        <f t="shared" ref="D58:D64" si="4">C58*B58</f>
        <v>0</v>
      </c>
      <c r="G58" s="7" t="s">
        <v>23</v>
      </c>
    </row>
    <row r="59" spans="1:7" x14ac:dyDescent="0.3">
      <c r="A59" t="s">
        <v>125</v>
      </c>
      <c r="B59" s="3">
        <v>0.1</v>
      </c>
      <c r="C59">
        <v>1</v>
      </c>
      <c r="D59">
        <f t="shared" si="4"/>
        <v>0.1</v>
      </c>
      <c r="G59" s="7" t="s">
        <v>55</v>
      </c>
    </row>
    <row r="60" spans="1:7" x14ac:dyDescent="0.3">
      <c r="A60" t="s">
        <v>131</v>
      </c>
      <c r="B60" s="3">
        <v>0.15</v>
      </c>
      <c r="C60">
        <v>0</v>
      </c>
      <c r="D60">
        <f t="shared" si="4"/>
        <v>0</v>
      </c>
      <c r="G60" s="7" t="s">
        <v>182</v>
      </c>
    </row>
    <row r="61" spans="1:7" x14ac:dyDescent="0.3">
      <c r="A61" t="s">
        <v>130</v>
      </c>
      <c r="B61" s="3">
        <v>0.15</v>
      </c>
      <c r="C61">
        <v>0</v>
      </c>
      <c r="D61">
        <f t="shared" si="4"/>
        <v>0</v>
      </c>
      <c r="G61" s="7" t="s">
        <v>183</v>
      </c>
    </row>
    <row r="62" spans="1:7" x14ac:dyDescent="0.3">
      <c r="A62" t="s">
        <v>129</v>
      </c>
      <c r="B62" s="3">
        <v>0.1</v>
      </c>
      <c r="C62">
        <v>0</v>
      </c>
      <c r="D62">
        <f t="shared" si="4"/>
        <v>0</v>
      </c>
      <c r="G62" s="7" t="s">
        <v>184</v>
      </c>
    </row>
    <row r="63" spans="1:7" x14ac:dyDescent="0.3">
      <c r="A63" t="s">
        <v>128</v>
      </c>
      <c r="B63" s="3">
        <v>0.05</v>
      </c>
      <c r="C63">
        <v>0</v>
      </c>
      <c r="D63">
        <f t="shared" si="4"/>
        <v>0</v>
      </c>
      <c r="G63" s="7" t="s">
        <v>73</v>
      </c>
    </row>
    <row r="64" spans="1:7" x14ac:dyDescent="0.3">
      <c r="A64" t="s">
        <v>127</v>
      </c>
      <c r="B64" s="3">
        <v>0.1</v>
      </c>
      <c r="C64">
        <v>0.5</v>
      </c>
      <c r="D64">
        <f t="shared" si="4"/>
        <v>0.05</v>
      </c>
      <c r="G64" s="7" t="s">
        <v>60</v>
      </c>
    </row>
    <row r="65" spans="1:7" x14ac:dyDescent="0.3">
      <c r="A65" t="s">
        <v>126</v>
      </c>
      <c r="B65" s="3">
        <v>0.05</v>
      </c>
      <c r="C65">
        <v>0</v>
      </c>
      <c r="D65">
        <f>C65*B65</f>
        <v>0</v>
      </c>
      <c r="G65" s="7" t="s">
        <v>35</v>
      </c>
    </row>
    <row r="66" spans="1:7" ht="15" thickBot="1" x14ac:dyDescent="0.35">
      <c r="B66" s="4">
        <f>SUM(B57:B65)</f>
        <v>1</v>
      </c>
      <c r="D66" s="6">
        <f>SUM(D57:D65)</f>
        <v>0.35000000000000003</v>
      </c>
      <c r="G66" s="7" t="s">
        <v>99</v>
      </c>
    </row>
    <row r="67" spans="1:7" ht="15" thickTop="1" x14ac:dyDescent="0.3">
      <c r="G67" s="7" t="s">
        <v>185</v>
      </c>
    </row>
    <row r="68" spans="1:7" x14ac:dyDescent="0.3">
      <c r="A68" t="s">
        <v>154</v>
      </c>
      <c r="G68" s="7" t="s">
        <v>186</v>
      </c>
    </row>
    <row r="69" spans="1:7" x14ac:dyDescent="0.3">
      <c r="A69" s="1" t="s">
        <v>0</v>
      </c>
      <c r="B69" s="1" t="s">
        <v>1</v>
      </c>
      <c r="C69" s="1" t="s">
        <v>3</v>
      </c>
      <c r="D69" s="1" t="s">
        <v>4</v>
      </c>
      <c r="G69" s="7" t="s">
        <v>73</v>
      </c>
    </row>
    <row r="70" spans="1:7" x14ac:dyDescent="0.3">
      <c r="A70" t="s">
        <v>123</v>
      </c>
      <c r="B70" s="3">
        <v>0.2</v>
      </c>
      <c r="C70">
        <v>1</v>
      </c>
      <c r="D70">
        <f>C70*B70</f>
        <v>0.2</v>
      </c>
      <c r="G70" s="7" t="s">
        <v>60</v>
      </c>
    </row>
    <row r="71" spans="1:7" x14ac:dyDescent="0.3">
      <c r="A71" t="s">
        <v>124</v>
      </c>
      <c r="B71" s="3">
        <v>0.1</v>
      </c>
      <c r="C71">
        <v>0</v>
      </c>
      <c r="D71">
        <f t="shared" ref="D71:D77" si="5">C71*B71</f>
        <v>0</v>
      </c>
      <c r="G71" s="7" t="s">
        <v>35</v>
      </c>
    </row>
    <row r="72" spans="1:7" x14ac:dyDescent="0.3">
      <c r="A72" t="s">
        <v>125</v>
      </c>
      <c r="B72" s="3">
        <v>0.1</v>
      </c>
      <c r="C72">
        <v>1</v>
      </c>
      <c r="D72">
        <f t="shared" si="5"/>
        <v>0.1</v>
      </c>
      <c r="G72" s="7" t="s">
        <v>95</v>
      </c>
    </row>
    <row r="73" spans="1:7" x14ac:dyDescent="0.3">
      <c r="A73" t="s">
        <v>131</v>
      </c>
      <c r="B73" s="3">
        <v>0.15</v>
      </c>
      <c r="C73">
        <v>0</v>
      </c>
      <c r="D73">
        <f t="shared" si="5"/>
        <v>0</v>
      </c>
      <c r="G73" s="7" t="s">
        <v>187</v>
      </c>
    </row>
    <row r="74" spans="1:7" x14ac:dyDescent="0.3">
      <c r="A74" t="s">
        <v>130</v>
      </c>
      <c r="B74" s="3">
        <v>0.15</v>
      </c>
      <c r="C74">
        <v>0</v>
      </c>
      <c r="D74">
        <f t="shared" si="5"/>
        <v>0</v>
      </c>
      <c r="G74" s="7" t="s">
        <v>188</v>
      </c>
    </row>
    <row r="75" spans="1:7" x14ac:dyDescent="0.3">
      <c r="A75" t="s">
        <v>129</v>
      </c>
      <c r="B75" s="3">
        <v>0.1</v>
      </c>
      <c r="C75">
        <v>0</v>
      </c>
      <c r="D75">
        <f t="shared" si="5"/>
        <v>0</v>
      </c>
      <c r="G75" s="7" t="s">
        <v>73</v>
      </c>
    </row>
    <row r="76" spans="1:7" x14ac:dyDescent="0.3">
      <c r="A76" t="s">
        <v>128</v>
      </c>
      <c r="B76" s="3">
        <v>0.05</v>
      </c>
      <c r="C76">
        <v>0</v>
      </c>
      <c r="D76">
        <f t="shared" si="5"/>
        <v>0</v>
      </c>
      <c r="G76" s="7" t="s">
        <v>60</v>
      </c>
    </row>
    <row r="77" spans="1:7" x14ac:dyDescent="0.3">
      <c r="A77" t="s">
        <v>127</v>
      </c>
      <c r="B77" s="3">
        <v>0.1</v>
      </c>
      <c r="C77">
        <v>0.5</v>
      </c>
      <c r="D77">
        <f t="shared" si="5"/>
        <v>0.05</v>
      </c>
      <c r="G77" s="7" t="s">
        <v>35</v>
      </c>
    </row>
    <row r="78" spans="1:7" x14ac:dyDescent="0.3">
      <c r="A78" t="s">
        <v>126</v>
      </c>
      <c r="B78" s="3">
        <v>0.05</v>
      </c>
      <c r="C78">
        <v>0</v>
      </c>
      <c r="D78">
        <f>C78*B78</f>
        <v>0</v>
      </c>
      <c r="G78" s="7" t="s">
        <v>56</v>
      </c>
    </row>
    <row r="79" spans="1:7" ht="15" thickBot="1" x14ac:dyDescent="0.35">
      <c r="B79" s="4">
        <f>SUM(B70:B78)</f>
        <v>1</v>
      </c>
      <c r="D79" s="6">
        <f>SUM(D70:D78)</f>
        <v>0.35000000000000003</v>
      </c>
      <c r="G79" s="7" t="s">
        <v>189</v>
      </c>
    </row>
    <row r="80" spans="1:7" ht="15" thickTop="1" x14ac:dyDescent="0.3">
      <c r="G80" s="7" t="s">
        <v>190</v>
      </c>
    </row>
    <row r="81" spans="1:7" x14ac:dyDescent="0.3">
      <c r="A81" t="s">
        <v>155</v>
      </c>
      <c r="G81" s="7" t="s">
        <v>73</v>
      </c>
    </row>
    <row r="82" spans="1:7" x14ac:dyDescent="0.3">
      <c r="A82" s="1" t="s">
        <v>0</v>
      </c>
      <c r="B82" s="1" t="s">
        <v>1</v>
      </c>
      <c r="C82" s="1" t="s">
        <v>3</v>
      </c>
      <c r="D82" s="1" t="s">
        <v>4</v>
      </c>
      <c r="G82" s="7" t="s">
        <v>60</v>
      </c>
    </row>
    <row r="83" spans="1:7" x14ac:dyDescent="0.3">
      <c r="A83" t="s">
        <v>123</v>
      </c>
      <c r="B83" s="3">
        <v>0.2</v>
      </c>
      <c r="C83">
        <v>1</v>
      </c>
      <c r="D83">
        <f>C83*B83</f>
        <v>0.2</v>
      </c>
      <c r="G83" s="7" t="s">
        <v>35</v>
      </c>
    </row>
    <row r="84" spans="1:7" x14ac:dyDescent="0.3">
      <c r="A84" t="s">
        <v>124</v>
      </c>
      <c r="B84" s="3">
        <v>0.1</v>
      </c>
      <c r="C84">
        <v>0</v>
      </c>
      <c r="D84">
        <f t="shared" ref="D84:D90" si="6">C84*B84</f>
        <v>0</v>
      </c>
      <c r="G84" s="7" t="s">
        <v>97</v>
      </c>
    </row>
    <row r="85" spans="1:7" x14ac:dyDescent="0.3">
      <c r="A85" t="s">
        <v>125</v>
      </c>
      <c r="B85" s="3">
        <v>0.1</v>
      </c>
      <c r="C85">
        <v>1</v>
      </c>
      <c r="D85">
        <f t="shared" si="6"/>
        <v>0.1</v>
      </c>
      <c r="G85" s="7" t="s">
        <v>191</v>
      </c>
    </row>
    <row r="86" spans="1:7" x14ac:dyDescent="0.3">
      <c r="A86" t="s">
        <v>131</v>
      </c>
      <c r="B86" s="3">
        <v>0.15</v>
      </c>
      <c r="C86">
        <v>0</v>
      </c>
      <c r="D86">
        <f t="shared" si="6"/>
        <v>0</v>
      </c>
      <c r="G86" s="7" t="s">
        <v>192</v>
      </c>
    </row>
    <row r="87" spans="1:7" x14ac:dyDescent="0.3">
      <c r="A87" t="s">
        <v>130</v>
      </c>
      <c r="B87" s="3">
        <v>0.15</v>
      </c>
      <c r="C87">
        <v>0</v>
      </c>
      <c r="D87">
        <f t="shared" si="6"/>
        <v>0</v>
      </c>
      <c r="G87" s="7" t="s">
        <v>73</v>
      </c>
    </row>
    <row r="88" spans="1:7" x14ac:dyDescent="0.3">
      <c r="A88" t="s">
        <v>129</v>
      </c>
      <c r="B88" s="3">
        <v>0.1</v>
      </c>
      <c r="C88">
        <v>0</v>
      </c>
      <c r="D88">
        <f t="shared" si="6"/>
        <v>0</v>
      </c>
      <c r="G88" s="7" t="s">
        <v>60</v>
      </c>
    </row>
    <row r="89" spans="1:7" x14ac:dyDescent="0.3">
      <c r="A89" t="s">
        <v>128</v>
      </c>
      <c r="B89" s="3">
        <v>0.05</v>
      </c>
      <c r="C89">
        <v>0</v>
      </c>
      <c r="D89">
        <f t="shared" si="6"/>
        <v>0</v>
      </c>
      <c r="G89" s="7" t="s">
        <v>35</v>
      </c>
    </row>
    <row r="90" spans="1:7" x14ac:dyDescent="0.3">
      <c r="A90" t="s">
        <v>127</v>
      </c>
      <c r="B90" s="3">
        <v>0.1</v>
      </c>
      <c r="C90">
        <v>0.5</v>
      </c>
      <c r="D90">
        <f t="shared" si="6"/>
        <v>0.05</v>
      </c>
      <c r="G90" s="7" t="s">
        <v>193</v>
      </c>
    </row>
    <row r="91" spans="1:7" x14ac:dyDescent="0.3">
      <c r="A91" t="s">
        <v>126</v>
      </c>
      <c r="B91" s="3">
        <v>0.05</v>
      </c>
      <c r="C91">
        <v>0</v>
      </c>
      <c r="D91">
        <f>C91*B91</f>
        <v>0</v>
      </c>
      <c r="G91" s="7" t="s">
        <v>194</v>
      </c>
    </row>
    <row r="92" spans="1:7" ht="15" thickBot="1" x14ac:dyDescent="0.35">
      <c r="B92" s="4">
        <f>SUM(B83:B91)</f>
        <v>1</v>
      </c>
      <c r="D92" s="6">
        <f>SUM(D83:D91)</f>
        <v>0.35000000000000003</v>
      </c>
      <c r="G92" s="7" t="s">
        <v>195</v>
      </c>
    </row>
    <row r="93" spans="1:7" ht="15" thickTop="1" x14ac:dyDescent="0.3">
      <c r="G93" s="7" t="s">
        <v>73</v>
      </c>
    </row>
    <row r="94" spans="1:7" x14ac:dyDescent="0.3">
      <c r="A94" t="s">
        <v>156</v>
      </c>
      <c r="G94" s="7" t="s">
        <v>60</v>
      </c>
    </row>
    <row r="95" spans="1:7" x14ac:dyDescent="0.3">
      <c r="A95" s="1" t="s">
        <v>0</v>
      </c>
      <c r="B95" s="1" t="s">
        <v>1</v>
      </c>
      <c r="C95" s="1" t="s">
        <v>3</v>
      </c>
      <c r="D95" s="1" t="s">
        <v>4</v>
      </c>
      <c r="G95" s="7" t="s">
        <v>35</v>
      </c>
    </row>
    <row r="96" spans="1:7" x14ac:dyDescent="0.3">
      <c r="A96" t="s">
        <v>123</v>
      </c>
      <c r="B96" s="3">
        <v>0.2</v>
      </c>
      <c r="C96">
        <v>1</v>
      </c>
      <c r="D96">
        <f>C96*B96</f>
        <v>0.2</v>
      </c>
      <c r="G96" s="7" t="s">
        <v>74</v>
      </c>
    </row>
    <row r="97" spans="1:7" x14ac:dyDescent="0.3">
      <c r="A97" t="s">
        <v>124</v>
      </c>
      <c r="B97" s="3">
        <v>0.1</v>
      </c>
      <c r="C97">
        <v>0</v>
      </c>
      <c r="D97">
        <f t="shared" ref="D97:D103" si="7">C97*B97</f>
        <v>0</v>
      </c>
      <c r="G97" s="7" t="s">
        <v>196</v>
      </c>
    </row>
    <row r="98" spans="1:7" x14ac:dyDescent="0.3">
      <c r="A98" t="s">
        <v>125</v>
      </c>
      <c r="B98" s="3">
        <v>0.1</v>
      </c>
      <c r="C98">
        <v>1</v>
      </c>
      <c r="D98">
        <f t="shared" si="7"/>
        <v>0.1</v>
      </c>
      <c r="G98" s="7" t="s">
        <v>76</v>
      </c>
    </row>
    <row r="99" spans="1:7" x14ac:dyDescent="0.3">
      <c r="A99" t="s">
        <v>131</v>
      </c>
      <c r="B99" s="3">
        <v>0.15</v>
      </c>
      <c r="C99">
        <v>0</v>
      </c>
      <c r="D99">
        <f t="shared" si="7"/>
        <v>0</v>
      </c>
      <c r="G99" s="7" t="s">
        <v>23</v>
      </c>
    </row>
    <row r="100" spans="1:7" x14ac:dyDescent="0.3">
      <c r="A100" t="s">
        <v>130</v>
      </c>
      <c r="B100" s="3">
        <v>0.15</v>
      </c>
      <c r="C100">
        <v>0</v>
      </c>
      <c r="D100">
        <f t="shared" si="7"/>
        <v>0</v>
      </c>
      <c r="G100" s="7" t="s">
        <v>77</v>
      </c>
    </row>
    <row r="101" spans="1:7" x14ac:dyDescent="0.3">
      <c r="A101" t="s">
        <v>129</v>
      </c>
      <c r="B101" s="3">
        <v>0.1</v>
      </c>
      <c r="C101">
        <v>0</v>
      </c>
      <c r="D101">
        <f t="shared" si="7"/>
        <v>0</v>
      </c>
      <c r="G101" s="7" t="s">
        <v>197</v>
      </c>
    </row>
    <row r="102" spans="1:7" x14ac:dyDescent="0.3">
      <c r="A102" t="s">
        <v>128</v>
      </c>
      <c r="B102" s="3">
        <v>0.05</v>
      </c>
      <c r="C102">
        <v>0</v>
      </c>
      <c r="D102">
        <f t="shared" si="7"/>
        <v>0</v>
      </c>
      <c r="G102" s="7" t="s">
        <v>198</v>
      </c>
    </row>
    <row r="103" spans="1:7" x14ac:dyDescent="0.3">
      <c r="A103" t="s">
        <v>127</v>
      </c>
      <c r="B103" s="3">
        <v>0.1</v>
      </c>
      <c r="C103">
        <v>0.5</v>
      </c>
      <c r="D103">
        <f t="shared" si="7"/>
        <v>0.05</v>
      </c>
      <c r="G103" s="7" t="s">
        <v>100</v>
      </c>
    </row>
    <row r="104" spans="1:7" x14ac:dyDescent="0.3">
      <c r="A104" t="s">
        <v>126</v>
      </c>
      <c r="B104" s="3">
        <v>0.05</v>
      </c>
      <c r="C104">
        <v>0</v>
      </c>
      <c r="D104">
        <f>C104*B104</f>
        <v>0</v>
      </c>
      <c r="G104" s="7" t="s">
        <v>199</v>
      </c>
    </row>
    <row r="105" spans="1:7" ht="15" thickBot="1" x14ac:dyDescent="0.35">
      <c r="B105" s="4">
        <f>SUM(B96:B104)</f>
        <v>1</v>
      </c>
      <c r="D105" s="6">
        <f>SUM(D96:D104)</f>
        <v>0.35000000000000003</v>
      </c>
      <c r="G105" s="7" t="s">
        <v>82</v>
      </c>
    </row>
    <row r="106" spans="1:7" ht="15" thickTop="1" x14ac:dyDescent="0.3">
      <c r="G106" s="7" t="s">
        <v>83</v>
      </c>
    </row>
    <row r="107" spans="1:7" x14ac:dyDescent="0.3">
      <c r="A107" t="s">
        <v>157</v>
      </c>
    </row>
    <row r="108" spans="1:7" x14ac:dyDescent="0.3">
      <c r="A108" s="1" t="s">
        <v>0</v>
      </c>
      <c r="B108" s="1" t="s">
        <v>1</v>
      </c>
      <c r="C108" s="1" t="s">
        <v>3</v>
      </c>
      <c r="D108" s="1" t="s">
        <v>4</v>
      </c>
      <c r="G108" s="7" t="s">
        <v>84</v>
      </c>
    </row>
    <row r="109" spans="1:7" x14ac:dyDescent="0.3">
      <c r="A109" t="s">
        <v>123</v>
      </c>
      <c r="B109" s="3">
        <v>0.2</v>
      </c>
      <c r="C109">
        <v>1</v>
      </c>
      <c r="D109">
        <f>C109*B109</f>
        <v>0.2</v>
      </c>
    </row>
    <row r="110" spans="1:7" x14ac:dyDescent="0.3">
      <c r="A110" t="s">
        <v>124</v>
      </c>
      <c r="B110" s="3">
        <v>0.1</v>
      </c>
      <c r="C110">
        <v>0</v>
      </c>
      <c r="D110">
        <f t="shared" ref="D110:D116" si="8">C110*B110</f>
        <v>0</v>
      </c>
    </row>
    <row r="111" spans="1:7" x14ac:dyDescent="0.3">
      <c r="A111" t="s">
        <v>125</v>
      </c>
      <c r="B111" s="3">
        <v>0.1</v>
      </c>
      <c r="C111">
        <v>1</v>
      </c>
      <c r="D111">
        <f t="shared" si="8"/>
        <v>0.1</v>
      </c>
    </row>
    <row r="112" spans="1:7" x14ac:dyDescent="0.3">
      <c r="A112" t="s">
        <v>131</v>
      </c>
      <c r="B112" s="3">
        <v>0.15</v>
      </c>
      <c r="C112">
        <v>0</v>
      </c>
      <c r="D112">
        <f t="shared" si="8"/>
        <v>0</v>
      </c>
    </row>
    <row r="113" spans="1:4" x14ac:dyDescent="0.3">
      <c r="A113" t="s">
        <v>130</v>
      </c>
      <c r="B113" s="3">
        <v>0.15</v>
      </c>
      <c r="C113">
        <v>0</v>
      </c>
      <c r="D113">
        <f t="shared" si="8"/>
        <v>0</v>
      </c>
    </row>
    <row r="114" spans="1:4" x14ac:dyDescent="0.3">
      <c r="A114" t="s">
        <v>129</v>
      </c>
      <c r="B114" s="3">
        <v>0.1</v>
      </c>
      <c r="C114">
        <v>0</v>
      </c>
      <c r="D114">
        <f t="shared" si="8"/>
        <v>0</v>
      </c>
    </row>
    <row r="115" spans="1:4" x14ac:dyDescent="0.3">
      <c r="A115" t="s">
        <v>128</v>
      </c>
      <c r="B115" s="3">
        <v>0.05</v>
      </c>
      <c r="C115">
        <v>0</v>
      </c>
      <c r="D115">
        <f t="shared" si="8"/>
        <v>0</v>
      </c>
    </row>
    <row r="116" spans="1:4" x14ac:dyDescent="0.3">
      <c r="A116" t="s">
        <v>127</v>
      </c>
      <c r="B116" s="3">
        <v>0.1</v>
      </c>
      <c r="C116">
        <v>0.5</v>
      </c>
      <c r="D116">
        <f t="shared" si="8"/>
        <v>0.05</v>
      </c>
    </row>
    <row r="117" spans="1:4" x14ac:dyDescent="0.3">
      <c r="A117" t="s">
        <v>126</v>
      </c>
      <c r="B117" s="3">
        <v>0.05</v>
      </c>
      <c r="C117">
        <v>0</v>
      </c>
      <c r="D117">
        <f>C117*B117</f>
        <v>0</v>
      </c>
    </row>
    <row r="118" spans="1:4" ht="15" thickBot="1" x14ac:dyDescent="0.35">
      <c r="B118" s="4">
        <f>SUM(B109:B117)</f>
        <v>1</v>
      </c>
      <c r="D118" s="6">
        <f>SUM(D109:D117)</f>
        <v>0.35000000000000003</v>
      </c>
    </row>
    <row r="119" spans="1:4" ht="15" thickTop="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tabSelected="1" topLeftCell="A40" workbookViewId="0">
      <selection activeCell="E43" sqref="E43"/>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5</v>
      </c>
      <c r="B1" s="5">
        <f>B5*1 + B6*1 +B7*1+B8*1+B9*1+B10*1+B11*1+B12*1+B13*1</f>
        <v>1</v>
      </c>
    </row>
    <row r="2" spans="1:7" x14ac:dyDescent="0.3">
      <c r="F2" s="2" t="s">
        <v>2</v>
      </c>
      <c r="G2" s="7" t="s">
        <v>111</v>
      </c>
    </row>
    <row r="3" spans="1:7" x14ac:dyDescent="0.3">
      <c r="A3" t="s">
        <v>149</v>
      </c>
      <c r="G3" s="7" t="s">
        <v>11</v>
      </c>
    </row>
    <row r="4" spans="1:7" x14ac:dyDescent="0.3">
      <c r="A4" s="1" t="s">
        <v>0</v>
      </c>
      <c r="B4" s="1" t="s">
        <v>1</v>
      </c>
      <c r="C4" s="1" t="s">
        <v>3</v>
      </c>
      <c r="D4" s="1" t="s">
        <v>4</v>
      </c>
      <c r="G4" s="7" t="s">
        <v>85</v>
      </c>
    </row>
    <row r="5" spans="1:7" x14ac:dyDescent="0.3">
      <c r="A5" t="s">
        <v>123</v>
      </c>
      <c r="B5" s="3">
        <v>0.2</v>
      </c>
      <c r="C5">
        <v>1</v>
      </c>
      <c r="D5">
        <f>C5*B5</f>
        <v>0.2</v>
      </c>
      <c r="G5" s="7" t="s">
        <v>86</v>
      </c>
    </row>
    <row r="6" spans="1:7" x14ac:dyDescent="0.3">
      <c r="A6" t="s">
        <v>124</v>
      </c>
      <c r="B6" s="3">
        <v>0.1</v>
      </c>
      <c r="C6">
        <v>0</v>
      </c>
      <c r="D6">
        <f t="shared" ref="D6:D12" si="0">C6*B6</f>
        <v>0</v>
      </c>
      <c r="G6" s="7" t="s">
        <v>13</v>
      </c>
    </row>
    <row r="7" spans="1:7" x14ac:dyDescent="0.3">
      <c r="A7" t="s">
        <v>125</v>
      </c>
      <c r="B7" s="3">
        <v>0.1</v>
      </c>
      <c r="C7">
        <v>1</v>
      </c>
      <c r="D7">
        <f t="shared" si="0"/>
        <v>0.1</v>
      </c>
      <c r="G7" s="7" t="s">
        <v>14</v>
      </c>
    </row>
    <row r="8" spans="1:7" x14ac:dyDescent="0.3">
      <c r="A8" t="s">
        <v>131</v>
      </c>
      <c r="B8" s="3">
        <v>0.15</v>
      </c>
      <c r="C8">
        <v>0</v>
      </c>
      <c r="D8">
        <f t="shared" si="0"/>
        <v>0</v>
      </c>
      <c r="G8" s="7" t="s">
        <v>15</v>
      </c>
    </row>
    <row r="9" spans="1:7" x14ac:dyDescent="0.3">
      <c r="A9" t="s">
        <v>130</v>
      </c>
      <c r="B9" s="3">
        <v>0.15</v>
      </c>
      <c r="C9">
        <v>0</v>
      </c>
      <c r="D9">
        <f t="shared" si="0"/>
        <v>0</v>
      </c>
      <c r="G9" s="7" t="s">
        <v>16</v>
      </c>
    </row>
    <row r="10" spans="1:7" x14ac:dyDescent="0.3">
      <c r="A10" t="s">
        <v>129</v>
      </c>
      <c r="B10" s="3">
        <v>0.1</v>
      </c>
      <c r="C10">
        <v>0</v>
      </c>
      <c r="D10">
        <f t="shared" si="0"/>
        <v>0</v>
      </c>
      <c r="G10" s="7" t="s">
        <v>17</v>
      </c>
    </row>
    <row r="11" spans="1:7" x14ac:dyDescent="0.3">
      <c r="A11" t="s">
        <v>128</v>
      </c>
      <c r="B11" s="3">
        <v>0.05</v>
      </c>
      <c r="C11">
        <v>0</v>
      </c>
      <c r="D11">
        <f t="shared" si="0"/>
        <v>0</v>
      </c>
      <c r="G11" s="7" t="s">
        <v>18</v>
      </c>
    </row>
    <row r="12" spans="1:7" x14ac:dyDescent="0.3">
      <c r="A12" t="s">
        <v>127</v>
      </c>
      <c r="B12" s="3">
        <v>0.1</v>
      </c>
      <c r="C12">
        <v>0.5</v>
      </c>
      <c r="D12">
        <f t="shared" si="0"/>
        <v>0.05</v>
      </c>
      <c r="G12" s="7" t="s">
        <v>19</v>
      </c>
    </row>
    <row r="13" spans="1:7" x14ac:dyDescent="0.3">
      <c r="A13" t="s">
        <v>126</v>
      </c>
      <c r="B13" s="3">
        <v>0.05</v>
      </c>
      <c r="C13">
        <v>0</v>
      </c>
      <c r="D13">
        <f>C13*B13</f>
        <v>0</v>
      </c>
      <c r="G13" s="7" t="s">
        <v>20</v>
      </c>
    </row>
    <row r="14" spans="1:7" ht="15" thickBot="1" x14ac:dyDescent="0.35">
      <c r="B14" s="4">
        <f>SUM(B5:B13)</f>
        <v>1</v>
      </c>
      <c r="D14" s="6">
        <f>SUM(D5:D13)</f>
        <v>0.35000000000000003</v>
      </c>
      <c r="G14" s="7" t="s">
        <v>21</v>
      </c>
    </row>
    <row r="15" spans="1:7" ht="15" thickTop="1" x14ac:dyDescent="0.3">
      <c r="G15" s="7" t="s">
        <v>22</v>
      </c>
    </row>
    <row r="16" spans="1:7" x14ac:dyDescent="0.3">
      <c r="A16" t="s">
        <v>150</v>
      </c>
      <c r="G16" s="7" t="s">
        <v>23</v>
      </c>
    </row>
    <row r="17" spans="1:7" x14ac:dyDescent="0.3">
      <c r="A17" s="1" t="s">
        <v>0</v>
      </c>
      <c r="B17" s="1" t="s">
        <v>1</v>
      </c>
      <c r="C17" s="1" t="s">
        <v>3</v>
      </c>
      <c r="D17" s="1" t="s">
        <v>4</v>
      </c>
      <c r="G17" s="7" t="s">
        <v>30</v>
      </c>
    </row>
    <row r="18" spans="1:7" x14ac:dyDescent="0.3">
      <c r="A18" t="s">
        <v>123</v>
      </c>
      <c r="B18" s="3">
        <v>0.2</v>
      </c>
      <c r="C18">
        <v>1</v>
      </c>
      <c r="D18">
        <f>C18*B18</f>
        <v>0.2</v>
      </c>
      <c r="G18" s="7" t="s">
        <v>112</v>
      </c>
    </row>
    <row r="19" spans="1:7" x14ac:dyDescent="0.3">
      <c r="A19" t="s">
        <v>124</v>
      </c>
      <c r="B19" s="3">
        <v>0.1</v>
      </c>
      <c r="C19">
        <v>0</v>
      </c>
      <c r="D19">
        <f t="shared" ref="D19:D25" si="1">C19*B19</f>
        <v>0</v>
      </c>
      <c r="G19" s="7" t="s">
        <v>90</v>
      </c>
    </row>
    <row r="20" spans="1:7" x14ac:dyDescent="0.3">
      <c r="A20" t="s">
        <v>125</v>
      </c>
      <c r="B20" s="3">
        <v>0.1</v>
      </c>
      <c r="C20">
        <v>1</v>
      </c>
      <c r="D20">
        <f t="shared" si="1"/>
        <v>0.1</v>
      </c>
      <c r="G20" s="7" t="s">
        <v>113</v>
      </c>
    </row>
    <row r="21" spans="1:7" x14ac:dyDescent="0.3">
      <c r="A21" t="s">
        <v>131</v>
      </c>
      <c r="B21" s="3">
        <v>0.15</v>
      </c>
      <c r="C21">
        <v>0</v>
      </c>
      <c r="D21">
        <f t="shared" si="1"/>
        <v>0</v>
      </c>
      <c r="G21" s="7" t="s">
        <v>114</v>
      </c>
    </row>
    <row r="22" spans="1:7" x14ac:dyDescent="0.3">
      <c r="A22" t="s">
        <v>130</v>
      </c>
      <c r="B22" s="3">
        <v>0.15</v>
      </c>
      <c r="C22">
        <v>0</v>
      </c>
      <c r="D22">
        <f t="shared" si="1"/>
        <v>0</v>
      </c>
      <c r="G22" s="7" t="s">
        <v>91</v>
      </c>
    </row>
    <row r="23" spans="1:7" x14ac:dyDescent="0.3">
      <c r="A23" t="s">
        <v>129</v>
      </c>
      <c r="B23" s="3">
        <v>0.1</v>
      </c>
      <c r="C23">
        <v>0</v>
      </c>
      <c r="D23">
        <f t="shared" si="1"/>
        <v>0</v>
      </c>
      <c r="G23" s="7" t="s">
        <v>23</v>
      </c>
    </row>
    <row r="24" spans="1:7" x14ac:dyDescent="0.3">
      <c r="A24" t="s">
        <v>128</v>
      </c>
      <c r="B24" s="3">
        <v>0.05</v>
      </c>
      <c r="C24">
        <v>0</v>
      </c>
      <c r="D24">
        <f t="shared" si="1"/>
        <v>0</v>
      </c>
      <c r="G24" s="7" t="s">
        <v>40</v>
      </c>
    </row>
    <row r="25" spans="1:7" x14ac:dyDescent="0.3">
      <c r="A25" t="s">
        <v>127</v>
      </c>
      <c r="B25" s="3">
        <v>0.1</v>
      </c>
      <c r="C25">
        <v>0.5</v>
      </c>
      <c r="D25">
        <f t="shared" si="1"/>
        <v>0.05</v>
      </c>
      <c r="G25" s="7" t="s">
        <v>37</v>
      </c>
    </row>
    <row r="26" spans="1:7" x14ac:dyDescent="0.3">
      <c r="A26" t="s">
        <v>126</v>
      </c>
      <c r="B26" s="3">
        <v>0.05</v>
      </c>
      <c r="C26">
        <v>0</v>
      </c>
      <c r="D26">
        <f>C26*B26</f>
        <v>0</v>
      </c>
      <c r="G26" s="7" t="s">
        <v>115</v>
      </c>
    </row>
    <row r="27" spans="1:7" ht="15" thickBot="1" x14ac:dyDescent="0.35">
      <c r="B27" s="4">
        <f>SUM(B18:B26)</f>
        <v>1</v>
      </c>
      <c r="D27" s="6">
        <f>SUM(D18:D26)</f>
        <v>0.35000000000000003</v>
      </c>
      <c r="G27" s="7" t="s">
        <v>116</v>
      </c>
    </row>
    <row r="28" spans="1:7" ht="15" thickTop="1" x14ac:dyDescent="0.3">
      <c r="G28" s="7" t="s">
        <v>23</v>
      </c>
    </row>
    <row r="29" spans="1:7" x14ac:dyDescent="0.3">
      <c r="A29" t="s">
        <v>151</v>
      </c>
      <c r="G29" s="7" t="s">
        <v>92</v>
      </c>
    </row>
    <row r="30" spans="1:7" x14ac:dyDescent="0.3">
      <c r="A30" s="1" t="s">
        <v>0</v>
      </c>
      <c r="B30" s="1" t="s">
        <v>1</v>
      </c>
      <c r="C30" s="1" t="s">
        <v>3</v>
      </c>
      <c r="D30" s="1" t="s">
        <v>4</v>
      </c>
      <c r="G30" s="7" t="s">
        <v>93</v>
      </c>
    </row>
    <row r="31" spans="1:7" x14ac:dyDescent="0.3">
      <c r="A31" t="s">
        <v>123</v>
      </c>
      <c r="B31" s="3">
        <v>0.2</v>
      </c>
      <c r="C31">
        <v>1</v>
      </c>
      <c r="D31">
        <f>C31*B31</f>
        <v>0.2</v>
      </c>
      <c r="G31" s="7" t="s">
        <v>48</v>
      </c>
    </row>
    <row r="32" spans="1:7" x14ac:dyDescent="0.3">
      <c r="A32" t="s">
        <v>124</v>
      </c>
      <c r="B32" s="3">
        <v>0.1</v>
      </c>
      <c r="C32">
        <v>0</v>
      </c>
      <c r="D32">
        <f t="shared" ref="D32:D38" si="2">C32*B32</f>
        <v>0</v>
      </c>
      <c r="G32" s="7" t="s">
        <v>49</v>
      </c>
    </row>
    <row r="33" spans="1:7" x14ac:dyDescent="0.3">
      <c r="A33" t="s">
        <v>125</v>
      </c>
      <c r="B33" s="3">
        <v>0.1</v>
      </c>
      <c r="C33">
        <v>1</v>
      </c>
      <c r="D33">
        <f t="shared" si="2"/>
        <v>0.1</v>
      </c>
      <c r="G33" s="7" t="s">
        <v>50</v>
      </c>
    </row>
    <row r="34" spans="1:7" x14ac:dyDescent="0.3">
      <c r="A34" t="s">
        <v>131</v>
      </c>
      <c r="B34" s="3">
        <v>0.15</v>
      </c>
      <c r="C34">
        <v>0</v>
      </c>
      <c r="D34">
        <f t="shared" si="2"/>
        <v>0</v>
      </c>
      <c r="G34" s="7" t="s">
        <v>35</v>
      </c>
    </row>
    <row r="35" spans="1:7" x14ac:dyDescent="0.3">
      <c r="A35" t="s">
        <v>130</v>
      </c>
      <c r="B35" s="3">
        <v>0.15</v>
      </c>
      <c r="C35">
        <v>0</v>
      </c>
      <c r="D35">
        <f t="shared" si="2"/>
        <v>0</v>
      </c>
      <c r="G35" s="7" t="s">
        <v>94</v>
      </c>
    </row>
    <row r="36" spans="1:7" x14ac:dyDescent="0.3">
      <c r="A36" t="s">
        <v>129</v>
      </c>
      <c r="B36" s="3">
        <v>0.1</v>
      </c>
      <c r="C36">
        <v>0</v>
      </c>
      <c r="D36">
        <f t="shared" si="2"/>
        <v>0</v>
      </c>
      <c r="G36" s="7" t="s">
        <v>52</v>
      </c>
    </row>
    <row r="37" spans="1:7" x14ac:dyDescent="0.3">
      <c r="A37" t="s">
        <v>128</v>
      </c>
      <c r="B37" s="3">
        <v>0.05</v>
      </c>
      <c r="C37">
        <v>0</v>
      </c>
      <c r="D37">
        <f t="shared" si="2"/>
        <v>0</v>
      </c>
      <c r="G37" s="7" t="s">
        <v>53</v>
      </c>
    </row>
    <row r="38" spans="1:7" x14ac:dyDescent="0.3">
      <c r="A38" t="s">
        <v>127</v>
      </c>
      <c r="B38" s="3">
        <v>0.1</v>
      </c>
      <c r="C38">
        <v>0.5</v>
      </c>
      <c r="D38">
        <f t="shared" si="2"/>
        <v>0.05</v>
      </c>
      <c r="G38" s="7" t="s">
        <v>54</v>
      </c>
    </row>
    <row r="39" spans="1:7" x14ac:dyDescent="0.3">
      <c r="A39" t="s">
        <v>126</v>
      </c>
      <c r="B39" s="3">
        <v>0.05</v>
      </c>
      <c r="C39">
        <v>0</v>
      </c>
      <c r="D39">
        <f>C39*B39</f>
        <v>0</v>
      </c>
      <c r="G39" s="7" t="s">
        <v>22</v>
      </c>
    </row>
    <row r="40" spans="1:7" ht="15" thickBot="1" x14ac:dyDescent="0.35">
      <c r="B40" s="4">
        <f>SUM(B31:B39)</f>
        <v>1</v>
      </c>
      <c r="D40" s="6">
        <f>SUM(D31:D39)</f>
        <v>0.35000000000000003</v>
      </c>
      <c r="G40" s="7" t="s">
        <v>23</v>
      </c>
    </row>
    <row r="41" spans="1:7" ht="15" thickTop="1" x14ac:dyDescent="0.3">
      <c r="G41" s="7" t="s">
        <v>55</v>
      </c>
    </row>
    <row r="42" spans="1:7" x14ac:dyDescent="0.3">
      <c r="A42" t="s">
        <v>152</v>
      </c>
      <c r="G42" s="7" t="s">
        <v>61</v>
      </c>
    </row>
    <row r="43" spans="1:7" x14ac:dyDescent="0.3">
      <c r="A43" s="1" t="s">
        <v>0</v>
      </c>
      <c r="B43" s="1" t="s">
        <v>1</v>
      </c>
      <c r="C43" s="1" t="s">
        <v>3</v>
      </c>
      <c r="D43" s="1" t="s">
        <v>4</v>
      </c>
      <c r="G43" s="7" t="s">
        <v>117</v>
      </c>
    </row>
    <row r="44" spans="1:7" x14ac:dyDescent="0.3">
      <c r="A44" t="s">
        <v>123</v>
      </c>
      <c r="B44" s="3">
        <v>0.2</v>
      </c>
      <c r="C44">
        <v>1</v>
      </c>
      <c r="D44">
        <f>C44*B44</f>
        <v>0.2</v>
      </c>
      <c r="G44" s="7" t="s">
        <v>96</v>
      </c>
    </row>
    <row r="45" spans="1:7" x14ac:dyDescent="0.3">
      <c r="A45" t="s">
        <v>124</v>
      </c>
      <c r="B45" s="3">
        <v>0.1</v>
      </c>
      <c r="C45">
        <v>0</v>
      </c>
      <c r="D45">
        <f t="shared" ref="D45:D51" si="3">C45*B45</f>
        <v>0</v>
      </c>
      <c r="G45" s="7" t="s">
        <v>35</v>
      </c>
    </row>
    <row r="46" spans="1:7" x14ac:dyDescent="0.3">
      <c r="A46" t="s">
        <v>125</v>
      </c>
      <c r="B46" s="3">
        <v>0.1</v>
      </c>
      <c r="C46">
        <v>1</v>
      </c>
      <c r="D46">
        <f t="shared" si="3"/>
        <v>0.1</v>
      </c>
      <c r="G46" s="7" t="s">
        <v>64</v>
      </c>
    </row>
    <row r="47" spans="1:7" x14ac:dyDescent="0.3">
      <c r="A47" t="s">
        <v>131</v>
      </c>
      <c r="B47" s="3">
        <v>0.15</v>
      </c>
      <c r="C47">
        <v>0</v>
      </c>
      <c r="D47">
        <f t="shared" si="3"/>
        <v>0</v>
      </c>
      <c r="G47" s="7" t="s">
        <v>118</v>
      </c>
    </row>
    <row r="48" spans="1:7" x14ac:dyDescent="0.3">
      <c r="A48" t="s">
        <v>130</v>
      </c>
      <c r="B48" s="3">
        <v>0.15</v>
      </c>
      <c r="C48">
        <v>0</v>
      </c>
      <c r="D48">
        <f t="shared" si="3"/>
        <v>0</v>
      </c>
      <c r="G48" s="7" t="s">
        <v>96</v>
      </c>
    </row>
    <row r="49" spans="1:7" x14ac:dyDescent="0.3">
      <c r="A49" t="s">
        <v>129</v>
      </c>
      <c r="B49" s="3">
        <v>0.1</v>
      </c>
      <c r="C49">
        <v>0</v>
      </c>
      <c r="D49">
        <f t="shared" si="3"/>
        <v>0</v>
      </c>
      <c r="G49" s="7" t="s">
        <v>35</v>
      </c>
    </row>
    <row r="50" spans="1:7" x14ac:dyDescent="0.3">
      <c r="A50" t="s">
        <v>128</v>
      </c>
      <c r="B50" s="3">
        <v>0.05</v>
      </c>
      <c r="C50">
        <v>0</v>
      </c>
      <c r="D50">
        <f t="shared" si="3"/>
        <v>0</v>
      </c>
      <c r="G50" s="7" t="s">
        <v>67</v>
      </c>
    </row>
    <row r="51" spans="1:7" x14ac:dyDescent="0.3">
      <c r="A51" t="s">
        <v>127</v>
      </c>
      <c r="B51" s="3">
        <v>0.1</v>
      </c>
      <c r="C51">
        <v>0.5</v>
      </c>
      <c r="D51">
        <f t="shared" si="3"/>
        <v>0.05</v>
      </c>
      <c r="G51" s="7" t="s">
        <v>119</v>
      </c>
    </row>
    <row r="52" spans="1:7" x14ac:dyDescent="0.3">
      <c r="A52" t="s">
        <v>126</v>
      </c>
      <c r="B52" s="3">
        <v>0.05</v>
      </c>
      <c r="C52">
        <v>0</v>
      </c>
      <c r="D52">
        <f>C52*B52</f>
        <v>0</v>
      </c>
      <c r="G52" s="7" t="s">
        <v>96</v>
      </c>
    </row>
    <row r="53" spans="1:7" ht="15" thickBot="1" x14ac:dyDescent="0.35">
      <c r="B53" s="4">
        <f>SUM(B44:B52)</f>
        <v>1</v>
      </c>
      <c r="D53" s="6">
        <f>SUM(D44:D52)</f>
        <v>0.35000000000000003</v>
      </c>
      <c r="G53" s="7" t="s">
        <v>35</v>
      </c>
    </row>
    <row r="54" spans="1:7" ht="15" thickTop="1" x14ac:dyDescent="0.3">
      <c r="G54" s="7" t="s">
        <v>70</v>
      </c>
    </row>
    <row r="55" spans="1:7" x14ac:dyDescent="0.3">
      <c r="A55" t="s">
        <v>153</v>
      </c>
      <c r="G55" s="7" t="s">
        <v>120</v>
      </c>
    </row>
    <row r="56" spans="1:7" x14ac:dyDescent="0.3">
      <c r="A56" s="1" t="s">
        <v>0</v>
      </c>
      <c r="B56" s="1" t="s">
        <v>1</v>
      </c>
      <c r="C56" s="1" t="s">
        <v>3</v>
      </c>
      <c r="D56" s="1" t="s">
        <v>4</v>
      </c>
      <c r="G56" s="7" t="s">
        <v>98</v>
      </c>
    </row>
    <row r="57" spans="1:7" x14ac:dyDescent="0.3">
      <c r="A57" t="s">
        <v>123</v>
      </c>
      <c r="B57" s="3">
        <v>0.2</v>
      </c>
      <c r="C57">
        <v>1</v>
      </c>
      <c r="D57">
        <f>C57*B57</f>
        <v>0.2</v>
      </c>
      <c r="G57" s="7" t="s">
        <v>22</v>
      </c>
    </row>
    <row r="58" spans="1:7" x14ac:dyDescent="0.3">
      <c r="A58" t="s">
        <v>124</v>
      </c>
      <c r="B58" s="3">
        <v>0.1</v>
      </c>
      <c r="C58">
        <v>0</v>
      </c>
      <c r="D58">
        <f t="shared" ref="D58:D64" si="4">C58*B58</f>
        <v>0</v>
      </c>
      <c r="G58" s="7" t="s">
        <v>23</v>
      </c>
    </row>
    <row r="59" spans="1:7" x14ac:dyDescent="0.3">
      <c r="A59" t="s">
        <v>125</v>
      </c>
      <c r="B59" s="3">
        <v>0.1</v>
      </c>
      <c r="C59">
        <v>1</v>
      </c>
      <c r="D59">
        <f t="shared" si="4"/>
        <v>0.1</v>
      </c>
      <c r="G59" s="7" t="s">
        <v>77</v>
      </c>
    </row>
    <row r="60" spans="1:7" x14ac:dyDescent="0.3">
      <c r="A60" t="s">
        <v>131</v>
      </c>
      <c r="B60" s="3">
        <v>0.15</v>
      </c>
      <c r="C60">
        <v>0</v>
      </c>
      <c r="D60">
        <f t="shared" si="4"/>
        <v>0</v>
      </c>
      <c r="G60" s="7" t="s">
        <v>121</v>
      </c>
    </row>
    <row r="61" spans="1:7" x14ac:dyDescent="0.3">
      <c r="A61" t="s">
        <v>130</v>
      </c>
      <c r="B61" s="3">
        <v>0.15</v>
      </c>
      <c r="C61">
        <v>0</v>
      </c>
      <c r="D61">
        <f t="shared" si="4"/>
        <v>0</v>
      </c>
      <c r="G61" s="7" t="s">
        <v>79</v>
      </c>
    </row>
    <row r="62" spans="1:7" x14ac:dyDescent="0.3">
      <c r="A62" t="s">
        <v>129</v>
      </c>
      <c r="B62" s="3">
        <v>0.1</v>
      </c>
      <c r="C62">
        <v>0</v>
      </c>
      <c r="D62">
        <f t="shared" si="4"/>
        <v>0</v>
      </c>
      <c r="G62" s="7" t="s">
        <v>80</v>
      </c>
    </row>
    <row r="63" spans="1:7" x14ac:dyDescent="0.3">
      <c r="A63" t="s">
        <v>128</v>
      </c>
      <c r="B63" s="3">
        <v>0.05</v>
      </c>
      <c r="C63">
        <v>0</v>
      </c>
      <c r="D63">
        <f t="shared" si="4"/>
        <v>0</v>
      </c>
      <c r="G63" s="7" t="s">
        <v>122</v>
      </c>
    </row>
    <row r="64" spans="1:7" x14ac:dyDescent="0.3">
      <c r="A64" t="s">
        <v>127</v>
      </c>
      <c r="B64" s="3">
        <v>0.1</v>
      </c>
      <c r="C64">
        <v>0.5</v>
      </c>
      <c r="D64">
        <f t="shared" si="4"/>
        <v>0.05</v>
      </c>
      <c r="G64" s="7" t="s">
        <v>82</v>
      </c>
    </row>
    <row r="65" spans="1:7" x14ac:dyDescent="0.3">
      <c r="A65" t="s">
        <v>126</v>
      </c>
      <c r="B65" s="3">
        <v>0.05</v>
      </c>
      <c r="C65">
        <v>0</v>
      </c>
      <c r="D65">
        <f>C65*B65</f>
        <v>0</v>
      </c>
      <c r="G65" s="7" t="s">
        <v>83</v>
      </c>
    </row>
    <row r="66" spans="1:7" ht="15" thickBot="1" x14ac:dyDescent="0.35">
      <c r="B66" s="4">
        <f>SUM(B57:B65)</f>
        <v>1</v>
      </c>
      <c r="D66" s="6">
        <f>SUM(D57:D65)</f>
        <v>0.35000000000000003</v>
      </c>
    </row>
    <row r="67" spans="1:7" ht="15" thickTop="1" x14ac:dyDescent="0.3">
      <c r="G67" s="7" t="s">
        <v>101</v>
      </c>
    </row>
    <row r="68" spans="1:7" x14ac:dyDescent="0.3">
      <c r="A68" t="s">
        <v>154</v>
      </c>
      <c r="G68" s="7" t="s">
        <v>102</v>
      </c>
    </row>
    <row r="69" spans="1:7" x14ac:dyDescent="0.3">
      <c r="A69" s="1" t="s">
        <v>0</v>
      </c>
      <c r="B69" s="1" t="s">
        <v>1</v>
      </c>
      <c r="C69" s="1" t="s">
        <v>3</v>
      </c>
      <c r="D69" s="1" t="s">
        <v>4</v>
      </c>
    </row>
    <row r="70" spans="1:7" x14ac:dyDescent="0.3">
      <c r="A70" t="s">
        <v>123</v>
      </c>
      <c r="B70" s="3">
        <v>0.2</v>
      </c>
      <c r="C70">
        <v>1</v>
      </c>
      <c r="D70">
        <f>C70*B70</f>
        <v>0.2</v>
      </c>
      <c r="G70" s="7" t="s">
        <v>103</v>
      </c>
    </row>
    <row r="71" spans="1:7" x14ac:dyDescent="0.3">
      <c r="A71" t="s">
        <v>124</v>
      </c>
      <c r="B71" s="3">
        <v>0.1</v>
      </c>
      <c r="C71">
        <v>0</v>
      </c>
      <c r="D71">
        <f t="shared" ref="D71:D77" si="5">C71*B71</f>
        <v>0</v>
      </c>
      <c r="G71" s="7" t="s">
        <v>104</v>
      </c>
    </row>
    <row r="72" spans="1:7" x14ac:dyDescent="0.3">
      <c r="A72" t="s">
        <v>125</v>
      </c>
      <c r="B72" s="3">
        <v>0.1</v>
      </c>
      <c r="C72">
        <v>1</v>
      </c>
      <c r="D72">
        <f t="shared" si="5"/>
        <v>0.1</v>
      </c>
      <c r="G72" s="7" t="s">
        <v>105</v>
      </c>
    </row>
    <row r="73" spans="1:7" x14ac:dyDescent="0.3">
      <c r="A73" t="s">
        <v>131</v>
      </c>
      <c r="B73" s="3">
        <v>0.15</v>
      </c>
      <c r="C73">
        <v>0</v>
      </c>
      <c r="D73">
        <f t="shared" si="5"/>
        <v>0</v>
      </c>
      <c r="G73" s="7" t="s">
        <v>106</v>
      </c>
    </row>
    <row r="74" spans="1:7" x14ac:dyDescent="0.3">
      <c r="A74" t="s">
        <v>130</v>
      </c>
      <c r="B74" s="3">
        <v>0.15</v>
      </c>
      <c r="C74">
        <v>0</v>
      </c>
      <c r="D74">
        <f t="shared" si="5"/>
        <v>0</v>
      </c>
      <c r="G74" s="7" t="s">
        <v>107</v>
      </c>
    </row>
    <row r="75" spans="1:7" x14ac:dyDescent="0.3">
      <c r="A75" t="s">
        <v>129</v>
      </c>
      <c r="B75" s="3">
        <v>0.1</v>
      </c>
      <c r="C75">
        <v>0</v>
      </c>
      <c r="D75">
        <f t="shared" si="5"/>
        <v>0</v>
      </c>
    </row>
    <row r="76" spans="1:7" x14ac:dyDescent="0.3">
      <c r="A76" t="s">
        <v>128</v>
      </c>
      <c r="B76" s="3">
        <v>0.05</v>
      </c>
      <c r="C76">
        <v>0</v>
      </c>
      <c r="D76">
        <f t="shared" si="5"/>
        <v>0</v>
      </c>
      <c r="G76" s="7" t="s">
        <v>108</v>
      </c>
    </row>
    <row r="77" spans="1:7" x14ac:dyDescent="0.3">
      <c r="A77" t="s">
        <v>127</v>
      </c>
      <c r="B77" s="3">
        <v>0.1</v>
      </c>
      <c r="C77">
        <v>0.5</v>
      </c>
      <c r="D77">
        <f t="shared" si="5"/>
        <v>0.05</v>
      </c>
      <c r="G77" s="7" t="s">
        <v>109</v>
      </c>
    </row>
    <row r="78" spans="1:7" x14ac:dyDescent="0.3">
      <c r="A78" t="s">
        <v>126</v>
      </c>
      <c r="B78" s="3">
        <v>0.05</v>
      </c>
      <c r="C78">
        <v>0</v>
      </c>
      <c r="D78">
        <f>C78*B78</f>
        <v>0</v>
      </c>
      <c r="G78" s="7" t="s">
        <v>110</v>
      </c>
    </row>
    <row r="79" spans="1:7" ht="15" thickBot="1" x14ac:dyDescent="0.35">
      <c r="B79" s="4">
        <f>SUM(B70:B78)</f>
        <v>1</v>
      </c>
      <c r="D79" s="6">
        <f>SUM(D70:D78)</f>
        <v>0.35000000000000003</v>
      </c>
    </row>
    <row r="80" spans="1:7" ht="15" thickTop="1" x14ac:dyDescent="0.3">
      <c r="G80" s="7"/>
    </row>
    <row r="81" spans="1:7" x14ac:dyDescent="0.3">
      <c r="A81" t="s">
        <v>155</v>
      </c>
      <c r="G81" s="7"/>
    </row>
    <row r="82" spans="1:7" x14ac:dyDescent="0.3">
      <c r="A82" s="1" t="s">
        <v>0</v>
      </c>
      <c r="B82" s="1" t="s">
        <v>1</v>
      </c>
      <c r="C82" s="1" t="s">
        <v>3</v>
      </c>
      <c r="D82" s="1" t="s">
        <v>4</v>
      </c>
      <c r="G82" s="7"/>
    </row>
    <row r="83" spans="1:7" x14ac:dyDescent="0.3">
      <c r="A83" t="s">
        <v>123</v>
      </c>
      <c r="B83" s="3">
        <v>0.2</v>
      </c>
      <c r="C83">
        <v>1</v>
      </c>
      <c r="D83">
        <f>C83*B83</f>
        <v>0.2</v>
      </c>
    </row>
    <row r="84" spans="1:7" x14ac:dyDescent="0.3">
      <c r="A84" t="s">
        <v>124</v>
      </c>
      <c r="B84" s="3">
        <v>0.1</v>
      </c>
      <c r="C84">
        <v>0</v>
      </c>
      <c r="D84">
        <f t="shared" ref="D84:D90" si="6">C84*B84</f>
        <v>0</v>
      </c>
    </row>
    <row r="85" spans="1:7" x14ac:dyDescent="0.3">
      <c r="A85" t="s">
        <v>125</v>
      </c>
      <c r="B85" s="3">
        <v>0.1</v>
      </c>
      <c r="C85">
        <v>1</v>
      </c>
      <c r="D85">
        <f t="shared" si="6"/>
        <v>0.1</v>
      </c>
    </row>
    <row r="86" spans="1:7" x14ac:dyDescent="0.3">
      <c r="A86" t="s">
        <v>131</v>
      </c>
      <c r="B86" s="3">
        <v>0.15</v>
      </c>
      <c r="C86">
        <v>0</v>
      </c>
      <c r="D86">
        <f t="shared" si="6"/>
        <v>0</v>
      </c>
    </row>
    <row r="87" spans="1:7" x14ac:dyDescent="0.3">
      <c r="A87" t="s">
        <v>130</v>
      </c>
      <c r="B87" s="3">
        <v>0.15</v>
      </c>
      <c r="C87">
        <v>0</v>
      </c>
      <c r="D87">
        <f t="shared" si="6"/>
        <v>0</v>
      </c>
    </row>
    <row r="88" spans="1:7" x14ac:dyDescent="0.3">
      <c r="A88" t="s">
        <v>129</v>
      </c>
      <c r="B88" s="3">
        <v>0.1</v>
      </c>
      <c r="C88">
        <v>0</v>
      </c>
      <c r="D88">
        <f t="shared" si="6"/>
        <v>0</v>
      </c>
    </row>
    <row r="89" spans="1:7" x14ac:dyDescent="0.3">
      <c r="A89" t="s">
        <v>128</v>
      </c>
      <c r="B89" s="3">
        <v>0.05</v>
      </c>
      <c r="C89">
        <v>0</v>
      </c>
      <c r="D89">
        <f t="shared" si="6"/>
        <v>0</v>
      </c>
    </row>
    <row r="90" spans="1:7" x14ac:dyDescent="0.3">
      <c r="A90" t="s">
        <v>127</v>
      </c>
      <c r="B90" s="3">
        <v>0.1</v>
      </c>
      <c r="C90">
        <v>0.5</v>
      </c>
      <c r="D90">
        <f t="shared" si="6"/>
        <v>0.05</v>
      </c>
    </row>
    <row r="91" spans="1:7" x14ac:dyDescent="0.3">
      <c r="A91" t="s">
        <v>126</v>
      </c>
      <c r="B91" s="3">
        <v>0.05</v>
      </c>
      <c r="C91">
        <v>0</v>
      </c>
      <c r="D91">
        <f>C91*B91</f>
        <v>0</v>
      </c>
    </row>
    <row r="92" spans="1:7" ht="15" thickBot="1" x14ac:dyDescent="0.35">
      <c r="B92" s="4">
        <f>SUM(B83:B91)</f>
        <v>1</v>
      </c>
      <c r="D92" s="6">
        <f>SUM(D83:D91)</f>
        <v>0.35000000000000003</v>
      </c>
    </row>
    <row r="93" spans="1:7" ht="15" thickTop="1" x14ac:dyDescent="0.3"/>
    <row r="94" spans="1:7" x14ac:dyDescent="0.3">
      <c r="A94" t="s">
        <v>156</v>
      </c>
    </row>
    <row r="95" spans="1:7" x14ac:dyDescent="0.3">
      <c r="A95" s="1" t="s">
        <v>0</v>
      </c>
      <c r="B95" s="1" t="s">
        <v>1</v>
      </c>
      <c r="C95" s="1" t="s">
        <v>3</v>
      </c>
      <c r="D95" s="1" t="s">
        <v>4</v>
      </c>
    </row>
    <row r="96" spans="1:7" x14ac:dyDescent="0.3">
      <c r="A96" t="s">
        <v>123</v>
      </c>
      <c r="B96" s="3">
        <v>0.2</v>
      </c>
      <c r="C96">
        <v>1</v>
      </c>
      <c r="D96">
        <f>C96*B96</f>
        <v>0.2</v>
      </c>
    </row>
    <row r="97" spans="1:4" x14ac:dyDescent="0.3">
      <c r="A97" t="s">
        <v>124</v>
      </c>
      <c r="B97" s="3">
        <v>0.1</v>
      </c>
      <c r="C97">
        <v>0</v>
      </c>
      <c r="D97">
        <f t="shared" ref="D97:D103" si="7">C97*B97</f>
        <v>0</v>
      </c>
    </row>
    <row r="98" spans="1:4" x14ac:dyDescent="0.3">
      <c r="A98" t="s">
        <v>125</v>
      </c>
      <c r="B98" s="3">
        <v>0.1</v>
      </c>
      <c r="C98">
        <v>1</v>
      </c>
      <c r="D98">
        <f t="shared" si="7"/>
        <v>0.1</v>
      </c>
    </row>
    <row r="99" spans="1:4" x14ac:dyDescent="0.3">
      <c r="A99" t="s">
        <v>131</v>
      </c>
      <c r="B99" s="3">
        <v>0.15</v>
      </c>
      <c r="C99">
        <v>0</v>
      </c>
      <c r="D99">
        <f t="shared" si="7"/>
        <v>0</v>
      </c>
    </row>
    <row r="100" spans="1:4" x14ac:dyDescent="0.3">
      <c r="A100" t="s">
        <v>130</v>
      </c>
      <c r="B100" s="3">
        <v>0.15</v>
      </c>
      <c r="C100">
        <v>0</v>
      </c>
      <c r="D100">
        <f t="shared" si="7"/>
        <v>0</v>
      </c>
    </row>
    <row r="101" spans="1:4" x14ac:dyDescent="0.3">
      <c r="A101" t="s">
        <v>129</v>
      </c>
      <c r="B101" s="3">
        <v>0.1</v>
      </c>
      <c r="C101">
        <v>0</v>
      </c>
      <c r="D101">
        <f t="shared" si="7"/>
        <v>0</v>
      </c>
    </row>
    <row r="102" spans="1:4" x14ac:dyDescent="0.3">
      <c r="A102" t="s">
        <v>128</v>
      </c>
      <c r="B102" s="3">
        <v>0.05</v>
      </c>
      <c r="C102">
        <v>0</v>
      </c>
      <c r="D102">
        <f t="shared" si="7"/>
        <v>0</v>
      </c>
    </row>
    <row r="103" spans="1:4" x14ac:dyDescent="0.3">
      <c r="A103" t="s">
        <v>127</v>
      </c>
      <c r="B103" s="3">
        <v>0.1</v>
      </c>
      <c r="C103">
        <v>0.5</v>
      </c>
      <c r="D103">
        <f t="shared" si="7"/>
        <v>0.05</v>
      </c>
    </row>
    <row r="104" spans="1:4" x14ac:dyDescent="0.3">
      <c r="A104" t="s">
        <v>126</v>
      </c>
      <c r="B104" s="3">
        <v>0.05</v>
      </c>
      <c r="C104">
        <v>0</v>
      </c>
      <c r="D104">
        <f>C104*B104</f>
        <v>0</v>
      </c>
    </row>
    <row r="105" spans="1:4" ht="15" thickBot="1" x14ac:dyDescent="0.35">
      <c r="B105" s="4">
        <f>SUM(B96:B104)</f>
        <v>1</v>
      </c>
      <c r="D105" s="6">
        <f>SUM(D96:D104)</f>
        <v>0.35000000000000003</v>
      </c>
    </row>
    <row r="106" spans="1:4" ht="15" thickTop="1" x14ac:dyDescent="0.3"/>
    <row r="107" spans="1:4" x14ac:dyDescent="0.3">
      <c r="A107" t="s">
        <v>157</v>
      </c>
    </row>
    <row r="108" spans="1:4" x14ac:dyDescent="0.3">
      <c r="A108" s="1" t="s">
        <v>0</v>
      </c>
      <c r="B108" s="1" t="s">
        <v>1</v>
      </c>
      <c r="C108" s="1" t="s">
        <v>3</v>
      </c>
      <c r="D108" s="1" t="s">
        <v>4</v>
      </c>
    </row>
    <row r="109" spans="1:4" x14ac:dyDescent="0.3">
      <c r="A109" t="s">
        <v>123</v>
      </c>
      <c r="B109" s="3">
        <v>0.2</v>
      </c>
      <c r="C109">
        <v>1</v>
      </c>
      <c r="D109">
        <f>C109*B109</f>
        <v>0.2</v>
      </c>
    </row>
    <row r="110" spans="1:4" x14ac:dyDescent="0.3">
      <c r="A110" t="s">
        <v>124</v>
      </c>
      <c r="B110" s="3">
        <v>0.1</v>
      </c>
      <c r="C110">
        <v>0</v>
      </c>
      <c r="D110">
        <f t="shared" ref="D110:D116" si="8">C110*B110</f>
        <v>0</v>
      </c>
    </row>
    <row r="111" spans="1:4" x14ac:dyDescent="0.3">
      <c r="A111" t="s">
        <v>125</v>
      </c>
      <c r="B111" s="3">
        <v>0.1</v>
      </c>
      <c r="C111">
        <v>1</v>
      </c>
      <c r="D111">
        <f t="shared" si="8"/>
        <v>0.1</v>
      </c>
    </row>
    <row r="112" spans="1:4" x14ac:dyDescent="0.3">
      <c r="A112" t="s">
        <v>131</v>
      </c>
      <c r="B112" s="3">
        <v>0.15</v>
      </c>
      <c r="C112">
        <v>0</v>
      </c>
      <c r="D112">
        <f t="shared" si="8"/>
        <v>0</v>
      </c>
    </row>
    <row r="113" spans="1:4" x14ac:dyDescent="0.3">
      <c r="A113" t="s">
        <v>130</v>
      </c>
      <c r="B113" s="3">
        <v>0.15</v>
      </c>
      <c r="C113">
        <v>0</v>
      </c>
      <c r="D113">
        <f t="shared" si="8"/>
        <v>0</v>
      </c>
    </row>
    <row r="114" spans="1:4" x14ac:dyDescent="0.3">
      <c r="A114" t="s">
        <v>129</v>
      </c>
      <c r="B114" s="3">
        <v>0.1</v>
      </c>
      <c r="C114">
        <v>0</v>
      </c>
      <c r="D114">
        <f t="shared" si="8"/>
        <v>0</v>
      </c>
    </row>
    <row r="115" spans="1:4" x14ac:dyDescent="0.3">
      <c r="A115" t="s">
        <v>128</v>
      </c>
      <c r="B115" s="3">
        <v>0.05</v>
      </c>
      <c r="C115">
        <v>0</v>
      </c>
      <c r="D115">
        <f t="shared" si="8"/>
        <v>0</v>
      </c>
    </row>
    <row r="116" spans="1:4" x14ac:dyDescent="0.3">
      <c r="A116" t="s">
        <v>127</v>
      </c>
      <c r="B116" s="3">
        <v>0.1</v>
      </c>
      <c r="C116">
        <v>0.5</v>
      </c>
      <c r="D116">
        <f t="shared" si="8"/>
        <v>0.05</v>
      </c>
    </row>
    <row r="117" spans="1:4" x14ac:dyDescent="0.3">
      <c r="A117" t="s">
        <v>126</v>
      </c>
      <c r="B117" s="3">
        <v>0.05</v>
      </c>
      <c r="C117">
        <v>0</v>
      </c>
      <c r="D117">
        <f>C117*B117</f>
        <v>0</v>
      </c>
    </row>
    <row r="118" spans="1:4" ht="15" thickBot="1" x14ac:dyDescent="0.35">
      <c r="B118" s="4">
        <f>SUM(B109:B117)</f>
        <v>1</v>
      </c>
      <c r="D118" s="6">
        <f>SUM(D109:D117)</f>
        <v>0.35000000000000003</v>
      </c>
    </row>
    <row r="119" spans="1:4" ht="15" thickTop="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B1" zoomScale="87" workbookViewId="0">
      <selection activeCell="G83" sqref="G83"/>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5</v>
      </c>
      <c r="B1" s="5">
        <f>B5*1 + B6*1 +B7*1+B8*1+B9*1+B10*1+B11*1+B12*1+B13*1</f>
        <v>1</v>
      </c>
    </row>
    <row r="2" spans="1:7" x14ac:dyDescent="0.3">
      <c r="F2" s="2" t="s">
        <v>2</v>
      </c>
      <c r="G2" s="7" t="s">
        <v>200</v>
      </c>
    </row>
    <row r="3" spans="1:7" x14ac:dyDescent="0.3">
      <c r="A3" t="s">
        <v>149</v>
      </c>
      <c r="G3" s="7" t="s">
        <v>11</v>
      </c>
    </row>
    <row r="4" spans="1:7" x14ac:dyDescent="0.3">
      <c r="A4" s="1" t="s">
        <v>0</v>
      </c>
      <c r="B4" s="1" t="s">
        <v>1</v>
      </c>
      <c r="C4" s="1" t="s">
        <v>3</v>
      </c>
      <c r="D4" s="1" t="s">
        <v>4</v>
      </c>
      <c r="G4" s="7" t="s">
        <v>201</v>
      </c>
    </row>
    <row r="5" spans="1:7" x14ac:dyDescent="0.3">
      <c r="A5" t="s">
        <v>123</v>
      </c>
      <c r="B5" s="3">
        <v>0.2</v>
      </c>
      <c r="C5">
        <v>1</v>
      </c>
      <c r="D5">
        <f>C5*B5</f>
        <v>0.2</v>
      </c>
      <c r="G5" s="7" t="s">
        <v>202</v>
      </c>
    </row>
    <row r="6" spans="1:7" x14ac:dyDescent="0.3">
      <c r="A6" t="s">
        <v>124</v>
      </c>
      <c r="B6" s="3">
        <v>0.1</v>
      </c>
      <c r="C6">
        <v>0</v>
      </c>
      <c r="D6">
        <f t="shared" ref="D6:D12" si="0">C6*B6</f>
        <v>0</v>
      </c>
      <c r="G6" s="7" t="s">
        <v>203</v>
      </c>
    </row>
    <row r="7" spans="1:7" x14ac:dyDescent="0.3">
      <c r="A7" t="s">
        <v>125</v>
      </c>
      <c r="B7" s="3">
        <v>0.1</v>
      </c>
      <c r="C7">
        <v>1</v>
      </c>
      <c r="D7">
        <f t="shared" si="0"/>
        <v>0.1</v>
      </c>
      <c r="G7" s="7" t="s">
        <v>204</v>
      </c>
    </row>
    <row r="8" spans="1:7" x14ac:dyDescent="0.3">
      <c r="A8" t="s">
        <v>131</v>
      </c>
      <c r="B8" s="3">
        <v>0.15</v>
      </c>
      <c r="C8">
        <v>0</v>
      </c>
      <c r="D8">
        <f t="shared" si="0"/>
        <v>0</v>
      </c>
      <c r="G8" s="7" t="s">
        <v>205</v>
      </c>
    </row>
    <row r="9" spans="1:7" x14ac:dyDescent="0.3">
      <c r="A9" t="s">
        <v>130</v>
      </c>
      <c r="B9" s="3">
        <v>0.15</v>
      </c>
      <c r="C9">
        <v>0</v>
      </c>
      <c r="D9">
        <f t="shared" si="0"/>
        <v>0</v>
      </c>
      <c r="G9" s="7" t="s">
        <v>206</v>
      </c>
    </row>
    <row r="10" spans="1:7" x14ac:dyDescent="0.3">
      <c r="A10" t="s">
        <v>129</v>
      </c>
      <c r="B10" s="3">
        <v>0.1</v>
      </c>
      <c r="C10">
        <v>0</v>
      </c>
      <c r="D10">
        <f t="shared" si="0"/>
        <v>0</v>
      </c>
      <c r="G10" s="7" t="s">
        <v>207</v>
      </c>
    </row>
    <row r="11" spans="1:7" x14ac:dyDescent="0.3">
      <c r="A11" t="s">
        <v>128</v>
      </c>
      <c r="B11" s="3">
        <v>0.05</v>
      </c>
      <c r="C11">
        <v>0</v>
      </c>
      <c r="D11">
        <f t="shared" si="0"/>
        <v>0</v>
      </c>
      <c r="G11" s="7" t="s">
        <v>208</v>
      </c>
    </row>
    <row r="12" spans="1:7" x14ac:dyDescent="0.3">
      <c r="A12" t="s">
        <v>127</v>
      </c>
      <c r="B12" s="3">
        <v>0.1</v>
      </c>
      <c r="C12">
        <v>0.5</v>
      </c>
      <c r="D12">
        <f t="shared" si="0"/>
        <v>0.05</v>
      </c>
      <c r="G12" s="7" t="s">
        <v>209</v>
      </c>
    </row>
    <row r="13" spans="1:7" x14ac:dyDescent="0.3">
      <c r="A13" t="s">
        <v>126</v>
      </c>
      <c r="B13" s="3">
        <v>0.05</v>
      </c>
      <c r="C13">
        <v>0</v>
      </c>
      <c r="D13">
        <f>C13*B13</f>
        <v>0</v>
      </c>
      <c r="G13" s="7" t="s">
        <v>210</v>
      </c>
    </row>
    <row r="14" spans="1:7" ht="15" thickBot="1" x14ac:dyDescent="0.35">
      <c r="B14" s="4">
        <f>SUM(B5:B13)</f>
        <v>1</v>
      </c>
      <c r="D14" s="6">
        <f>SUM(D5:D13)</f>
        <v>0.35000000000000003</v>
      </c>
      <c r="G14" s="7" t="s">
        <v>211</v>
      </c>
    </row>
    <row r="15" spans="1:7" ht="15" thickTop="1" x14ac:dyDescent="0.3">
      <c r="G15" s="7" t="s">
        <v>212</v>
      </c>
    </row>
    <row r="16" spans="1:7" x14ac:dyDescent="0.3">
      <c r="A16" t="s">
        <v>150</v>
      </c>
      <c r="G16" s="7" t="s">
        <v>213</v>
      </c>
    </row>
    <row r="17" spans="1:7" x14ac:dyDescent="0.3">
      <c r="A17" s="1" t="s">
        <v>0</v>
      </c>
      <c r="B17" s="1" t="s">
        <v>1</v>
      </c>
      <c r="C17" s="1" t="s">
        <v>3</v>
      </c>
      <c r="D17" s="1" t="s">
        <v>4</v>
      </c>
      <c r="G17" s="7" t="s">
        <v>214</v>
      </c>
    </row>
    <row r="18" spans="1:7" x14ac:dyDescent="0.3">
      <c r="A18" t="s">
        <v>123</v>
      </c>
      <c r="B18" s="3">
        <v>0.2</v>
      </c>
      <c r="C18">
        <v>1</v>
      </c>
      <c r="D18">
        <f>C18*B18</f>
        <v>0.2</v>
      </c>
      <c r="G18" s="7" t="s">
        <v>215</v>
      </c>
    </row>
    <row r="19" spans="1:7" x14ac:dyDescent="0.3">
      <c r="A19" t="s">
        <v>124</v>
      </c>
      <c r="B19" s="3">
        <v>0.1</v>
      </c>
      <c r="C19">
        <v>0</v>
      </c>
      <c r="D19">
        <f t="shared" ref="D19:D25" si="1">C19*B19</f>
        <v>0</v>
      </c>
      <c r="G19" s="7" t="s">
        <v>216</v>
      </c>
    </row>
    <row r="20" spans="1:7" x14ac:dyDescent="0.3">
      <c r="A20" t="s">
        <v>125</v>
      </c>
      <c r="B20" s="3">
        <v>0.1</v>
      </c>
      <c r="C20">
        <v>1</v>
      </c>
      <c r="D20">
        <f t="shared" si="1"/>
        <v>0.1</v>
      </c>
      <c r="G20" s="7" t="s">
        <v>217</v>
      </c>
    </row>
    <row r="21" spans="1:7" x14ac:dyDescent="0.3">
      <c r="A21" t="s">
        <v>131</v>
      </c>
      <c r="B21" s="3">
        <v>0.15</v>
      </c>
      <c r="C21">
        <v>0</v>
      </c>
      <c r="D21">
        <f t="shared" si="1"/>
        <v>0</v>
      </c>
      <c r="G21" s="7" t="s">
        <v>218</v>
      </c>
    </row>
    <row r="22" spans="1:7" x14ac:dyDescent="0.3">
      <c r="A22" t="s">
        <v>130</v>
      </c>
      <c r="B22" s="3">
        <v>0.15</v>
      </c>
      <c r="C22">
        <v>0</v>
      </c>
      <c r="D22">
        <f t="shared" si="1"/>
        <v>0</v>
      </c>
      <c r="G22" s="7" t="s">
        <v>219</v>
      </c>
    </row>
    <row r="23" spans="1:7" x14ac:dyDescent="0.3">
      <c r="A23" t="s">
        <v>129</v>
      </c>
      <c r="B23" s="3">
        <v>0.1</v>
      </c>
      <c r="C23">
        <v>0</v>
      </c>
      <c r="D23">
        <f t="shared" si="1"/>
        <v>0</v>
      </c>
      <c r="G23" s="7" t="s">
        <v>213</v>
      </c>
    </row>
    <row r="24" spans="1:7" x14ac:dyDescent="0.3">
      <c r="A24" t="s">
        <v>128</v>
      </c>
      <c r="B24" s="3">
        <v>0.05</v>
      </c>
      <c r="C24">
        <v>0</v>
      </c>
      <c r="D24">
        <f t="shared" si="1"/>
        <v>0</v>
      </c>
      <c r="G24" s="7" t="s">
        <v>220</v>
      </c>
    </row>
    <row r="25" spans="1:7" x14ac:dyDescent="0.3">
      <c r="A25" t="s">
        <v>127</v>
      </c>
      <c r="B25" s="3">
        <v>0.1</v>
      </c>
      <c r="C25">
        <v>0.5</v>
      </c>
      <c r="D25">
        <f t="shared" si="1"/>
        <v>0.05</v>
      </c>
      <c r="G25" s="7" t="s">
        <v>221</v>
      </c>
    </row>
    <row r="26" spans="1:7" x14ac:dyDescent="0.3">
      <c r="A26" t="s">
        <v>126</v>
      </c>
      <c r="B26" s="3">
        <v>0.05</v>
      </c>
      <c r="C26">
        <v>0</v>
      </c>
      <c r="D26">
        <f>C26*B26</f>
        <v>0</v>
      </c>
      <c r="G26" s="7" t="s">
        <v>222</v>
      </c>
    </row>
    <row r="27" spans="1:7" ht="15" thickBot="1" x14ac:dyDescent="0.35">
      <c r="B27" s="4">
        <f>SUM(B18:B26)</f>
        <v>1</v>
      </c>
      <c r="D27" s="6">
        <f>SUM(D18:D26)</f>
        <v>0.35000000000000003</v>
      </c>
      <c r="G27" s="7" t="s">
        <v>223</v>
      </c>
    </row>
    <row r="28" spans="1:7" ht="15" thickTop="1" x14ac:dyDescent="0.3">
      <c r="G28" s="7" t="s">
        <v>213</v>
      </c>
    </row>
    <row r="29" spans="1:7" x14ac:dyDescent="0.3">
      <c r="A29" t="s">
        <v>151</v>
      </c>
      <c r="G29" s="7" t="s">
        <v>224</v>
      </c>
    </row>
    <row r="30" spans="1:7" x14ac:dyDescent="0.3">
      <c r="A30" s="1" t="s">
        <v>0</v>
      </c>
      <c r="B30" s="1" t="s">
        <v>1</v>
      </c>
      <c r="C30" s="1" t="s">
        <v>3</v>
      </c>
      <c r="D30" s="1" t="s">
        <v>4</v>
      </c>
      <c r="G30" s="7" t="s">
        <v>225</v>
      </c>
    </row>
    <row r="31" spans="1:7" x14ac:dyDescent="0.3">
      <c r="A31" t="s">
        <v>123</v>
      </c>
      <c r="B31" s="3">
        <v>0.2</v>
      </c>
      <c r="C31">
        <v>1</v>
      </c>
      <c r="D31">
        <f>C31*B31</f>
        <v>0.2</v>
      </c>
      <c r="G31" s="7" t="s">
        <v>226</v>
      </c>
    </row>
    <row r="32" spans="1:7" x14ac:dyDescent="0.3">
      <c r="A32" t="s">
        <v>124</v>
      </c>
      <c r="B32" s="3">
        <v>0.1</v>
      </c>
      <c r="C32">
        <v>0</v>
      </c>
      <c r="D32">
        <f t="shared" ref="D32:D38" si="2">C32*B32</f>
        <v>0</v>
      </c>
      <c r="G32" s="7" t="s">
        <v>227</v>
      </c>
    </row>
    <row r="33" spans="1:7" x14ac:dyDescent="0.3">
      <c r="A33" t="s">
        <v>125</v>
      </c>
      <c r="B33" s="3">
        <v>0.1</v>
      </c>
      <c r="C33">
        <v>1</v>
      </c>
      <c r="D33">
        <f t="shared" si="2"/>
        <v>0.1</v>
      </c>
      <c r="G33" s="7" t="s">
        <v>228</v>
      </c>
    </row>
    <row r="34" spans="1:7" x14ac:dyDescent="0.3">
      <c r="A34" t="s">
        <v>131</v>
      </c>
      <c r="B34" s="3">
        <v>0.15</v>
      </c>
      <c r="C34">
        <v>0</v>
      </c>
      <c r="D34">
        <f t="shared" si="2"/>
        <v>0</v>
      </c>
      <c r="G34" s="7" t="s">
        <v>229</v>
      </c>
    </row>
    <row r="35" spans="1:7" x14ac:dyDescent="0.3">
      <c r="A35" t="s">
        <v>130</v>
      </c>
      <c r="B35" s="3">
        <v>0.15</v>
      </c>
      <c r="C35">
        <v>0</v>
      </c>
      <c r="D35">
        <f t="shared" si="2"/>
        <v>0</v>
      </c>
      <c r="G35" s="7" t="s">
        <v>230</v>
      </c>
    </row>
    <row r="36" spans="1:7" x14ac:dyDescent="0.3">
      <c r="A36" t="s">
        <v>129</v>
      </c>
      <c r="B36" s="3">
        <v>0.1</v>
      </c>
      <c r="C36">
        <v>0</v>
      </c>
      <c r="D36">
        <f t="shared" si="2"/>
        <v>0</v>
      </c>
      <c r="G36" s="7" t="s">
        <v>231</v>
      </c>
    </row>
    <row r="37" spans="1:7" x14ac:dyDescent="0.3">
      <c r="A37" t="s">
        <v>128</v>
      </c>
      <c r="B37" s="3">
        <v>0.05</v>
      </c>
      <c r="C37">
        <v>0</v>
      </c>
      <c r="D37">
        <f t="shared" si="2"/>
        <v>0</v>
      </c>
      <c r="G37" s="7" t="s">
        <v>232</v>
      </c>
    </row>
    <row r="38" spans="1:7" x14ac:dyDescent="0.3">
      <c r="A38" t="s">
        <v>127</v>
      </c>
      <c r="B38" s="3">
        <v>0.1</v>
      </c>
      <c r="C38">
        <v>0.5</v>
      </c>
      <c r="D38">
        <f t="shared" si="2"/>
        <v>0.05</v>
      </c>
      <c r="G38" s="7" t="s">
        <v>233</v>
      </c>
    </row>
    <row r="39" spans="1:7" x14ac:dyDescent="0.3">
      <c r="A39" t="s">
        <v>126</v>
      </c>
      <c r="B39" s="3">
        <v>0.05</v>
      </c>
      <c r="C39">
        <v>0</v>
      </c>
      <c r="D39">
        <f>C39*B39</f>
        <v>0</v>
      </c>
      <c r="G39" s="7" t="s">
        <v>212</v>
      </c>
    </row>
    <row r="40" spans="1:7" ht="15" thickBot="1" x14ac:dyDescent="0.35">
      <c r="B40" s="4">
        <f>SUM(B31:B39)</f>
        <v>1</v>
      </c>
      <c r="D40" s="6">
        <f>SUM(D31:D39)</f>
        <v>0.35000000000000003</v>
      </c>
      <c r="G40" s="7" t="s">
        <v>213</v>
      </c>
    </row>
    <row r="41" spans="1:7" ht="15" thickTop="1" x14ac:dyDescent="0.3">
      <c r="G41" s="7" t="s">
        <v>234</v>
      </c>
    </row>
    <row r="42" spans="1:7" x14ac:dyDescent="0.3">
      <c r="A42" t="s">
        <v>152</v>
      </c>
      <c r="G42" s="7" t="s">
        <v>235</v>
      </c>
    </row>
    <row r="43" spans="1:7" x14ac:dyDescent="0.3">
      <c r="A43" s="1" t="s">
        <v>0</v>
      </c>
      <c r="B43" s="1" t="s">
        <v>1</v>
      </c>
      <c r="C43" s="1" t="s">
        <v>3</v>
      </c>
      <c r="D43" s="1" t="s">
        <v>4</v>
      </c>
      <c r="G43" s="7" t="s">
        <v>236</v>
      </c>
    </row>
    <row r="44" spans="1:7" x14ac:dyDescent="0.3">
      <c r="A44" t="s">
        <v>123</v>
      </c>
      <c r="B44" s="3">
        <v>0.2</v>
      </c>
      <c r="C44">
        <v>1</v>
      </c>
      <c r="D44">
        <f>C44*B44</f>
        <v>0.2</v>
      </c>
      <c r="G44" s="7" t="s">
        <v>237</v>
      </c>
    </row>
    <row r="45" spans="1:7" x14ac:dyDescent="0.3">
      <c r="A45" t="s">
        <v>124</v>
      </c>
      <c r="B45" s="3">
        <v>0.1</v>
      </c>
      <c r="C45">
        <v>0</v>
      </c>
      <c r="D45">
        <f t="shared" ref="D45:D51" si="3">C45*B45</f>
        <v>0</v>
      </c>
      <c r="G45" s="7" t="s">
        <v>229</v>
      </c>
    </row>
    <row r="46" spans="1:7" x14ac:dyDescent="0.3">
      <c r="A46" t="s">
        <v>125</v>
      </c>
      <c r="B46" s="3">
        <v>0.1</v>
      </c>
      <c r="C46">
        <v>1</v>
      </c>
      <c r="D46">
        <f t="shared" si="3"/>
        <v>0.1</v>
      </c>
      <c r="G46" s="7" t="s">
        <v>238</v>
      </c>
    </row>
    <row r="47" spans="1:7" x14ac:dyDescent="0.3">
      <c r="A47" t="s">
        <v>131</v>
      </c>
      <c r="B47" s="3">
        <v>0.15</v>
      </c>
      <c r="C47">
        <v>0</v>
      </c>
      <c r="D47">
        <f t="shared" si="3"/>
        <v>0</v>
      </c>
      <c r="G47" s="7" t="s">
        <v>239</v>
      </c>
    </row>
    <row r="48" spans="1:7" x14ac:dyDescent="0.3">
      <c r="A48" t="s">
        <v>130</v>
      </c>
      <c r="B48" s="3">
        <v>0.15</v>
      </c>
      <c r="C48">
        <v>0</v>
      </c>
      <c r="D48">
        <f t="shared" si="3"/>
        <v>0</v>
      </c>
      <c r="G48" s="7" t="s">
        <v>237</v>
      </c>
    </row>
    <row r="49" spans="1:7" x14ac:dyDescent="0.3">
      <c r="A49" t="s">
        <v>129</v>
      </c>
      <c r="B49" s="3">
        <v>0.1</v>
      </c>
      <c r="C49">
        <v>0</v>
      </c>
      <c r="D49">
        <f t="shared" si="3"/>
        <v>0</v>
      </c>
      <c r="G49" s="7" t="s">
        <v>229</v>
      </c>
    </row>
    <row r="50" spans="1:7" x14ac:dyDescent="0.3">
      <c r="A50" t="s">
        <v>128</v>
      </c>
      <c r="B50" s="3">
        <v>0.05</v>
      </c>
      <c r="C50">
        <v>0</v>
      </c>
      <c r="D50">
        <f t="shared" si="3"/>
        <v>0</v>
      </c>
      <c r="G50" s="7" t="s">
        <v>240</v>
      </c>
    </row>
    <row r="51" spans="1:7" x14ac:dyDescent="0.3">
      <c r="A51" t="s">
        <v>127</v>
      </c>
      <c r="B51" s="3">
        <v>0.1</v>
      </c>
      <c r="C51">
        <v>0.5</v>
      </c>
      <c r="D51">
        <f t="shared" si="3"/>
        <v>0.05</v>
      </c>
      <c r="G51" s="7" t="s">
        <v>241</v>
      </c>
    </row>
    <row r="52" spans="1:7" x14ac:dyDescent="0.3">
      <c r="A52" t="s">
        <v>126</v>
      </c>
      <c r="B52" s="3">
        <v>0.05</v>
      </c>
      <c r="C52">
        <v>0</v>
      </c>
      <c r="D52">
        <f>C52*B52</f>
        <v>0</v>
      </c>
      <c r="G52" s="7" t="s">
        <v>237</v>
      </c>
    </row>
    <row r="53" spans="1:7" ht="15" thickBot="1" x14ac:dyDescent="0.35">
      <c r="B53" s="4">
        <f>SUM(B44:B52)</f>
        <v>1</v>
      </c>
      <c r="D53" s="6">
        <f>SUM(D44:D52)</f>
        <v>0.35000000000000003</v>
      </c>
      <c r="G53" s="7" t="s">
        <v>229</v>
      </c>
    </row>
    <row r="54" spans="1:7" ht="15" thickTop="1" x14ac:dyDescent="0.3">
      <c r="G54" s="7" t="s">
        <v>242</v>
      </c>
    </row>
    <row r="55" spans="1:7" x14ac:dyDescent="0.3">
      <c r="A55" t="s">
        <v>153</v>
      </c>
      <c r="G55" s="7" t="s">
        <v>243</v>
      </c>
    </row>
    <row r="56" spans="1:7" x14ac:dyDescent="0.3">
      <c r="A56" s="1" t="s">
        <v>0</v>
      </c>
      <c r="B56" s="1" t="s">
        <v>1</v>
      </c>
      <c r="C56" s="1" t="s">
        <v>3</v>
      </c>
      <c r="D56" s="1" t="s">
        <v>4</v>
      </c>
      <c r="G56" s="7" t="s">
        <v>237</v>
      </c>
    </row>
    <row r="57" spans="1:7" x14ac:dyDescent="0.3">
      <c r="A57" t="s">
        <v>123</v>
      </c>
      <c r="B57" s="3">
        <v>0.2</v>
      </c>
      <c r="C57">
        <v>1</v>
      </c>
      <c r="D57">
        <f>C57*B57</f>
        <v>0.2</v>
      </c>
      <c r="G57" s="7" t="s">
        <v>229</v>
      </c>
    </row>
    <row r="58" spans="1:7" x14ac:dyDescent="0.3">
      <c r="A58" t="s">
        <v>124</v>
      </c>
      <c r="B58" s="3">
        <v>0.1</v>
      </c>
      <c r="C58">
        <v>0</v>
      </c>
      <c r="D58">
        <f t="shared" ref="D58:D64" si="4">C58*B58</f>
        <v>0</v>
      </c>
      <c r="G58" s="7" t="s">
        <v>244</v>
      </c>
    </row>
    <row r="59" spans="1:7" x14ac:dyDescent="0.3">
      <c r="A59" t="s">
        <v>125</v>
      </c>
      <c r="B59" s="3">
        <v>0.1</v>
      </c>
      <c r="C59">
        <v>1</v>
      </c>
      <c r="D59">
        <f t="shared" si="4"/>
        <v>0.1</v>
      </c>
      <c r="G59" s="7" t="s">
        <v>245</v>
      </c>
    </row>
    <row r="60" spans="1:7" x14ac:dyDescent="0.3">
      <c r="A60" t="s">
        <v>131</v>
      </c>
      <c r="B60" s="3">
        <v>0.15</v>
      </c>
      <c r="C60">
        <v>0</v>
      </c>
      <c r="D60">
        <f t="shared" si="4"/>
        <v>0</v>
      </c>
      <c r="G60" s="7" t="s">
        <v>237</v>
      </c>
    </row>
    <row r="61" spans="1:7" x14ac:dyDescent="0.3">
      <c r="A61" t="s">
        <v>130</v>
      </c>
      <c r="B61" s="3">
        <v>0.15</v>
      </c>
      <c r="C61">
        <v>0</v>
      </c>
      <c r="D61">
        <f t="shared" si="4"/>
        <v>0</v>
      </c>
      <c r="G61" s="7" t="s">
        <v>212</v>
      </c>
    </row>
    <row r="62" spans="1:7" x14ac:dyDescent="0.3">
      <c r="A62" t="s">
        <v>129</v>
      </c>
      <c r="B62" s="3">
        <v>0.1</v>
      </c>
      <c r="C62">
        <v>0</v>
      </c>
      <c r="D62">
        <f t="shared" si="4"/>
        <v>0</v>
      </c>
      <c r="G62" s="7" t="s">
        <v>213</v>
      </c>
    </row>
    <row r="63" spans="1:7" x14ac:dyDescent="0.3">
      <c r="A63" t="s">
        <v>128</v>
      </c>
      <c r="B63" s="3">
        <v>0.05</v>
      </c>
      <c r="C63">
        <v>0</v>
      </c>
      <c r="D63">
        <f t="shared" si="4"/>
        <v>0</v>
      </c>
      <c r="G63" s="7" t="s">
        <v>246</v>
      </c>
    </row>
    <row r="64" spans="1:7" x14ac:dyDescent="0.3">
      <c r="A64" t="s">
        <v>127</v>
      </c>
      <c r="B64" s="3">
        <v>0.1</v>
      </c>
      <c r="C64">
        <v>0.5</v>
      </c>
      <c r="D64">
        <f t="shared" si="4"/>
        <v>0.05</v>
      </c>
      <c r="G64" s="7" t="s">
        <v>247</v>
      </c>
    </row>
    <row r="65" spans="1:7" x14ac:dyDescent="0.3">
      <c r="A65" t="s">
        <v>126</v>
      </c>
      <c r="B65" s="3">
        <v>0.05</v>
      </c>
      <c r="C65">
        <v>0</v>
      </c>
      <c r="D65">
        <f>C65*B65</f>
        <v>0</v>
      </c>
      <c r="G65" s="7" t="s">
        <v>248</v>
      </c>
    </row>
    <row r="66" spans="1:7" ht="15" thickBot="1" x14ac:dyDescent="0.35">
      <c r="B66" s="4">
        <f>SUM(B57:B65)</f>
        <v>1</v>
      </c>
      <c r="D66" s="6">
        <f>SUM(D57:D65)</f>
        <v>0.35000000000000003</v>
      </c>
      <c r="G66" t="s">
        <v>249</v>
      </c>
    </row>
    <row r="67" spans="1:7" ht="15" thickTop="1" x14ac:dyDescent="0.3">
      <c r="G67" s="7" t="s">
        <v>250</v>
      </c>
    </row>
    <row r="68" spans="1:7" x14ac:dyDescent="0.3">
      <c r="A68" t="s">
        <v>154</v>
      </c>
      <c r="G68" s="7" t="s">
        <v>251</v>
      </c>
    </row>
    <row r="69" spans="1:7" x14ac:dyDescent="0.3">
      <c r="A69" s="1" t="s">
        <v>0</v>
      </c>
      <c r="B69" s="1" t="s">
        <v>1</v>
      </c>
      <c r="C69" s="1" t="s">
        <v>3</v>
      </c>
      <c r="D69" s="1" t="s">
        <v>4</v>
      </c>
      <c r="G69" t="s">
        <v>83</v>
      </c>
    </row>
    <row r="70" spans="1:7" x14ac:dyDescent="0.3">
      <c r="A70" t="s">
        <v>123</v>
      </c>
      <c r="B70" s="3">
        <v>0.2</v>
      </c>
      <c r="C70">
        <v>1</v>
      </c>
      <c r="D70">
        <f>C70*B70</f>
        <v>0.2</v>
      </c>
      <c r="G70" s="7"/>
    </row>
    <row r="71" spans="1:7" x14ac:dyDescent="0.3">
      <c r="A71" t="s">
        <v>124</v>
      </c>
      <c r="B71" s="3">
        <v>0.1</v>
      </c>
      <c r="C71">
        <v>0</v>
      </c>
      <c r="D71">
        <f t="shared" ref="D71:D77" si="5">C71*B71</f>
        <v>0</v>
      </c>
      <c r="G71" s="7" t="s">
        <v>252</v>
      </c>
    </row>
    <row r="72" spans="1:7" x14ac:dyDescent="0.3">
      <c r="A72" t="s">
        <v>125</v>
      </c>
      <c r="B72" s="3">
        <v>0.1</v>
      </c>
      <c r="C72">
        <v>1</v>
      </c>
      <c r="D72">
        <f t="shared" si="5"/>
        <v>0.1</v>
      </c>
      <c r="G72" s="7" t="s">
        <v>253</v>
      </c>
    </row>
    <row r="73" spans="1:7" x14ac:dyDescent="0.3">
      <c r="A73" t="s">
        <v>131</v>
      </c>
      <c r="B73" s="3">
        <v>0.15</v>
      </c>
      <c r="C73">
        <v>0</v>
      </c>
      <c r="D73">
        <f t="shared" si="5"/>
        <v>0</v>
      </c>
      <c r="G73" s="7"/>
    </row>
    <row r="74" spans="1:7" x14ac:dyDescent="0.3">
      <c r="A74" t="s">
        <v>130</v>
      </c>
      <c r="B74" s="3">
        <v>0.15</v>
      </c>
      <c r="C74">
        <v>0</v>
      </c>
      <c r="D74">
        <f t="shared" si="5"/>
        <v>0</v>
      </c>
      <c r="G74" s="7" t="s">
        <v>103</v>
      </c>
    </row>
    <row r="75" spans="1:7" x14ac:dyDescent="0.3">
      <c r="A75" t="s">
        <v>129</v>
      </c>
      <c r="B75" s="3">
        <v>0.1</v>
      </c>
      <c r="C75">
        <v>0</v>
      </c>
      <c r="D75">
        <f t="shared" si="5"/>
        <v>0</v>
      </c>
      <c r="G75" t="s">
        <v>104</v>
      </c>
    </row>
    <row r="76" spans="1:7" x14ac:dyDescent="0.3">
      <c r="A76" t="s">
        <v>128</v>
      </c>
      <c r="B76" s="3">
        <v>0.05</v>
      </c>
      <c r="C76">
        <v>0</v>
      </c>
      <c r="D76">
        <f t="shared" si="5"/>
        <v>0</v>
      </c>
      <c r="G76" s="7" t="s">
        <v>105</v>
      </c>
    </row>
    <row r="77" spans="1:7" x14ac:dyDescent="0.3">
      <c r="A77" t="s">
        <v>127</v>
      </c>
      <c r="B77" s="3">
        <v>0.1</v>
      </c>
      <c r="C77">
        <v>0.5</v>
      </c>
      <c r="D77">
        <f t="shared" si="5"/>
        <v>0.05</v>
      </c>
      <c r="G77" s="7" t="s">
        <v>106</v>
      </c>
    </row>
    <row r="78" spans="1:7" x14ac:dyDescent="0.3">
      <c r="A78" t="s">
        <v>126</v>
      </c>
      <c r="B78" s="3">
        <v>0.05</v>
      </c>
      <c r="C78">
        <v>0</v>
      </c>
      <c r="D78">
        <f>C78*B78</f>
        <v>0</v>
      </c>
      <c r="G78" s="7" t="s">
        <v>254</v>
      </c>
    </row>
    <row r="79" spans="1:7" ht="15" thickBot="1" x14ac:dyDescent="0.35">
      <c r="B79" s="4">
        <f>SUM(B70:B78)</f>
        <v>1</v>
      </c>
      <c r="D79" s="6">
        <f>SUM(D70:D78)</f>
        <v>0.35000000000000003</v>
      </c>
    </row>
    <row r="80" spans="1:7" ht="15" thickTop="1" x14ac:dyDescent="0.3">
      <c r="G80" s="7" t="s">
        <v>108</v>
      </c>
    </row>
    <row r="81" spans="1:7" x14ac:dyDescent="0.3">
      <c r="A81" t="s">
        <v>155</v>
      </c>
      <c r="G81" s="7" t="s">
        <v>109</v>
      </c>
    </row>
    <row r="82" spans="1:7" x14ac:dyDescent="0.3">
      <c r="A82" s="1" t="s">
        <v>0</v>
      </c>
      <c r="B82" s="1" t="s">
        <v>1</v>
      </c>
      <c r="C82" s="1" t="s">
        <v>3</v>
      </c>
      <c r="D82" s="1" t="s">
        <v>4</v>
      </c>
      <c r="G82" s="7" t="s">
        <v>110</v>
      </c>
    </row>
    <row r="83" spans="1:7" x14ac:dyDescent="0.3">
      <c r="A83" t="s">
        <v>123</v>
      </c>
      <c r="B83" s="3">
        <v>0.2</v>
      </c>
      <c r="C83">
        <v>1</v>
      </c>
      <c r="D83">
        <f>C83*B83</f>
        <v>0.2</v>
      </c>
    </row>
    <row r="84" spans="1:7" x14ac:dyDescent="0.3">
      <c r="A84" t="s">
        <v>124</v>
      </c>
      <c r="B84" s="3">
        <v>0.1</v>
      </c>
      <c r="C84">
        <v>0</v>
      </c>
      <c r="D84">
        <f t="shared" ref="D84:D90" si="6">C84*B84</f>
        <v>0</v>
      </c>
    </row>
    <row r="85" spans="1:7" x14ac:dyDescent="0.3">
      <c r="A85" t="s">
        <v>125</v>
      </c>
      <c r="B85" s="3">
        <v>0.1</v>
      </c>
      <c r="C85">
        <v>1</v>
      </c>
      <c r="D85">
        <f t="shared" si="6"/>
        <v>0.1</v>
      </c>
    </row>
    <row r="86" spans="1:7" x14ac:dyDescent="0.3">
      <c r="A86" t="s">
        <v>131</v>
      </c>
      <c r="B86" s="3">
        <v>0.15</v>
      </c>
      <c r="C86">
        <v>0</v>
      </c>
      <c r="D86">
        <f t="shared" si="6"/>
        <v>0</v>
      </c>
    </row>
    <row r="87" spans="1:7" x14ac:dyDescent="0.3">
      <c r="A87" t="s">
        <v>130</v>
      </c>
      <c r="B87" s="3">
        <v>0.15</v>
      </c>
      <c r="C87">
        <v>0</v>
      </c>
      <c r="D87">
        <f t="shared" si="6"/>
        <v>0</v>
      </c>
    </row>
    <row r="88" spans="1:7" x14ac:dyDescent="0.3">
      <c r="A88" t="s">
        <v>129</v>
      </c>
      <c r="B88" s="3">
        <v>0.1</v>
      </c>
      <c r="C88">
        <v>0</v>
      </c>
      <c r="D88">
        <f t="shared" si="6"/>
        <v>0</v>
      </c>
    </row>
    <row r="89" spans="1:7" x14ac:dyDescent="0.3">
      <c r="A89" t="s">
        <v>128</v>
      </c>
      <c r="B89" s="3">
        <v>0.05</v>
      </c>
      <c r="C89">
        <v>0</v>
      </c>
      <c r="D89">
        <f t="shared" si="6"/>
        <v>0</v>
      </c>
    </row>
    <row r="90" spans="1:7" x14ac:dyDescent="0.3">
      <c r="A90" t="s">
        <v>127</v>
      </c>
      <c r="B90" s="3">
        <v>0.1</v>
      </c>
      <c r="C90">
        <v>0.5</v>
      </c>
      <c r="D90">
        <f t="shared" si="6"/>
        <v>0.05</v>
      </c>
    </row>
    <row r="91" spans="1:7" x14ac:dyDescent="0.3">
      <c r="A91" t="s">
        <v>126</v>
      </c>
      <c r="B91" s="3">
        <v>0.05</v>
      </c>
      <c r="C91">
        <v>0</v>
      </c>
      <c r="D91">
        <f>C91*B91</f>
        <v>0</v>
      </c>
    </row>
    <row r="92" spans="1:7" ht="15" thickBot="1" x14ac:dyDescent="0.35">
      <c r="B92" s="4">
        <f>SUM(B83:B91)</f>
        <v>1</v>
      </c>
      <c r="D92" s="6">
        <f>SUM(D83:D91)</f>
        <v>0.35000000000000003</v>
      </c>
    </row>
    <row r="93" spans="1:7" ht="15" thickTop="1" x14ac:dyDescent="0.3"/>
    <row r="94" spans="1:7" x14ac:dyDescent="0.3">
      <c r="A94" t="s">
        <v>156</v>
      </c>
    </row>
    <row r="95" spans="1:7" x14ac:dyDescent="0.3">
      <c r="A95" s="1" t="s">
        <v>0</v>
      </c>
      <c r="B95" s="1" t="s">
        <v>1</v>
      </c>
      <c r="C95" s="1" t="s">
        <v>3</v>
      </c>
      <c r="D95" s="1" t="s">
        <v>4</v>
      </c>
    </row>
    <row r="96" spans="1:7" x14ac:dyDescent="0.3">
      <c r="A96" t="s">
        <v>123</v>
      </c>
      <c r="B96" s="3">
        <v>0.2</v>
      </c>
      <c r="C96">
        <v>1</v>
      </c>
      <c r="D96">
        <f>C96*B96</f>
        <v>0.2</v>
      </c>
    </row>
    <row r="97" spans="1:4" x14ac:dyDescent="0.3">
      <c r="A97" t="s">
        <v>124</v>
      </c>
      <c r="B97" s="3">
        <v>0.1</v>
      </c>
      <c r="C97">
        <v>0</v>
      </c>
      <c r="D97">
        <f t="shared" ref="D97:D103" si="7">C97*B97</f>
        <v>0</v>
      </c>
    </row>
    <row r="98" spans="1:4" x14ac:dyDescent="0.3">
      <c r="A98" t="s">
        <v>125</v>
      </c>
      <c r="B98" s="3">
        <v>0.1</v>
      </c>
      <c r="C98">
        <v>1</v>
      </c>
      <c r="D98">
        <f t="shared" si="7"/>
        <v>0.1</v>
      </c>
    </row>
    <row r="99" spans="1:4" x14ac:dyDescent="0.3">
      <c r="A99" t="s">
        <v>131</v>
      </c>
      <c r="B99" s="3">
        <v>0.15</v>
      </c>
      <c r="C99">
        <v>0</v>
      </c>
      <c r="D99">
        <f t="shared" si="7"/>
        <v>0</v>
      </c>
    </row>
    <row r="100" spans="1:4" x14ac:dyDescent="0.3">
      <c r="A100" t="s">
        <v>130</v>
      </c>
      <c r="B100" s="3">
        <v>0.15</v>
      </c>
      <c r="C100">
        <v>0</v>
      </c>
      <c r="D100">
        <f t="shared" si="7"/>
        <v>0</v>
      </c>
    </row>
    <row r="101" spans="1:4" x14ac:dyDescent="0.3">
      <c r="A101" t="s">
        <v>129</v>
      </c>
      <c r="B101" s="3">
        <v>0.1</v>
      </c>
      <c r="C101">
        <v>0</v>
      </c>
      <c r="D101">
        <f t="shared" si="7"/>
        <v>0</v>
      </c>
    </row>
    <row r="102" spans="1:4" x14ac:dyDescent="0.3">
      <c r="A102" t="s">
        <v>128</v>
      </c>
      <c r="B102" s="3">
        <v>0.05</v>
      </c>
      <c r="C102">
        <v>0</v>
      </c>
      <c r="D102">
        <f t="shared" si="7"/>
        <v>0</v>
      </c>
    </row>
    <row r="103" spans="1:4" x14ac:dyDescent="0.3">
      <c r="A103" t="s">
        <v>127</v>
      </c>
      <c r="B103" s="3">
        <v>0.1</v>
      </c>
      <c r="C103">
        <v>0.5</v>
      </c>
      <c r="D103">
        <f t="shared" si="7"/>
        <v>0.05</v>
      </c>
    </row>
    <row r="104" spans="1:4" x14ac:dyDescent="0.3">
      <c r="A104" t="s">
        <v>126</v>
      </c>
      <c r="B104" s="3">
        <v>0.05</v>
      </c>
      <c r="C104">
        <v>0</v>
      </c>
      <c r="D104">
        <f>C104*B104</f>
        <v>0</v>
      </c>
    </row>
    <row r="105" spans="1:4" ht="15" thickBot="1" x14ac:dyDescent="0.35">
      <c r="B105" s="4">
        <f>SUM(B96:B104)</f>
        <v>1</v>
      </c>
      <c r="D105" s="6">
        <f>SUM(D96:D104)</f>
        <v>0.35000000000000003</v>
      </c>
    </row>
    <row r="106" spans="1:4" ht="15" thickTop="1" x14ac:dyDescent="0.3"/>
    <row r="107" spans="1:4" x14ac:dyDescent="0.3">
      <c r="A107" t="s">
        <v>157</v>
      </c>
    </row>
    <row r="108" spans="1:4" x14ac:dyDescent="0.3">
      <c r="A108" s="1" t="s">
        <v>0</v>
      </c>
      <c r="B108" s="1" t="s">
        <v>1</v>
      </c>
      <c r="C108" s="1" t="s">
        <v>3</v>
      </c>
      <c r="D108" s="1" t="s">
        <v>4</v>
      </c>
    </row>
    <row r="109" spans="1:4" x14ac:dyDescent="0.3">
      <c r="A109" t="s">
        <v>123</v>
      </c>
      <c r="B109" s="3">
        <v>0.2</v>
      </c>
      <c r="C109">
        <v>1</v>
      </c>
      <c r="D109">
        <f>C109*B109</f>
        <v>0.2</v>
      </c>
    </row>
    <row r="110" spans="1:4" x14ac:dyDescent="0.3">
      <c r="A110" t="s">
        <v>124</v>
      </c>
      <c r="B110" s="3">
        <v>0.1</v>
      </c>
      <c r="C110">
        <v>0</v>
      </c>
      <c r="D110">
        <f t="shared" ref="D110:D116" si="8">C110*B110</f>
        <v>0</v>
      </c>
    </row>
    <row r="111" spans="1:4" x14ac:dyDescent="0.3">
      <c r="A111" t="s">
        <v>125</v>
      </c>
      <c r="B111" s="3">
        <v>0.1</v>
      </c>
      <c r="C111">
        <v>1</v>
      </c>
      <c r="D111">
        <f t="shared" si="8"/>
        <v>0.1</v>
      </c>
    </row>
    <row r="112" spans="1:4" x14ac:dyDescent="0.3">
      <c r="A112" t="s">
        <v>131</v>
      </c>
      <c r="B112" s="3">
        <v>0.15</v>
      </c>
      <c r="C112">
        <v>0</v>
      </c>
      <c r="D112">
        <f t="shared" si="8"/>
        <v>0</v>
      </c>
    </row>
    <row r="113" spans="1:4" x14ac:dyDescent="0.3">
      <c r="A113" t="s">
        <v>130</v>
      </c>
      <c r="B113" s="3">
        <v>0.15</v>
      </c>
      <c r="C113">
        <v>0</v>
      </c>
      <c r="D113">
        <f t="shared" si="8"/>
        <v>0</v>
      </c>
    </row>
    <row r="114" spans="1:4" x14ac:dyDescent="0.3">
      <c r="A114" t="s">
        <v>129</v>
      </c>
      <c r="B114" s="3">
        <v>0.1</v>
      </c>
      <c r="C114">
        <v>0</v>
      </c>
      <c r="D114">
        <f t="shared" si="8"/>
        <v>0</v>
      </c>
    </row>
    <row r="115" spans="1:4" x14ac:dyDescent="0.3">
      <c r="A115" t="s">
        <v>128</v>
      </c>
      <c r="B115" s="3">
        <v>0.05</v>
      </c>
      <c r="C115">
        <v>0</v>
      </c>
      <c r="D115">
        <f t="shared" si="8"/>
        <v>0</v>
      </c>
    </row>
    <row r="116" spans="1:4" x14ac:dyDescent="0.3">
      <c r="A116" t="s">
        <v>127</v>
      </c>
      <c r="B116" s="3">
        <v>0.1</v>
      </c>
      <c r="C116">
        <v>0.5</v>
      </c>
      <c r="D116">
        <f t="shared" si="8"/>
        <v>0.05</v>
      </c>
    </row>
    <row r="117" spans="1:4" x14ac:dyDescent="0.3">
      <c r="A117" t="s">
        <v>126</v>
      </c>
      <c r="B117" s="3">
        <v>0.05</v>
      </c>
      <c r="C117">
        <v>0</v>
      </c>
      <c r="D117">
        <f>C117*B117</f>
        <v>0</v>
      </c>
    </row>
    <row r="118" spans="1:4" ht="15" thickBot="1" x14ac:dyDescent="0.35">
      <c r="B118" s="4">
        <f>SUM(B109:B117)</f>
        <v>1</v>
      </c>
      <c r="D118" s="6">
        <f>SUM(D109:D117)</f>
        <v>0.35000000000000003</v>
      </c>
    </row>
    <row r="119"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Evaluation Table</vt:lpstr>
      <vt:lpstr>d88 #1</vt:lpstr>
      <vt:lpstr>d131 #1</vt:lpstr>
      <vt:lpstr>d88 #2</vt:lpstr>
      <vt:lpstr>d131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2026-04-03T13:35:55Z</dcterms:modified>
</cp:coreProperties>
</file>