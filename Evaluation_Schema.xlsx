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Kim_W\Ekkono_Code\"/>
    </mc:Choice>
  </mc:AlternateContent>
  <xr:revisionPtr revIDLastSave="0" documentId="13_ncr:1_{7B5907D5-E44F-4EFE-A0F8-6479D936D7CE}" xr6:coauthVersionLast="47" xr6:coauthVersionMax="47" xr10:uidLastSave="{00000000-0000-0000-0000-000000000000}"/>
  <bookViews>
    <workbookView xWindow="11424" yWindow="0" windowWidth="11712" windowHeight="12336" activeTab="2" xr2:uid="{E8F4F112-DC9E-445D-AE6E-08B98EFB1B63}"/>
  </bookViews>
  <sheets>
    <sheet name="Evaluation Table" sheetId="3" r:id="rId1"/>
    <sheet name="d88 #1" sheetId="1" r:id="rId2"/>
    <sheet name="d131 #1" sheetId="4" r:id="rId3"/>
    <sheet name="d88 #2" sheetId="2" r:id="rId4"/>
    <sheet name="d131 #2" sheetId="5" r:id="rId5"/>
    <sheet name="d1383 #2" sheetId="6" r:id="rId6"/>
    <sheet name="d1456 #2" sheetId="7"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8" i="7" l="1"/>
  <c r="D117" i="7"/>
  <c r="D116" i="7"/>
  <c r="D115" i="7"/>
  <c r="D114" i="7"/>
  <c r="D113" i="7"/>
  <c r="D112" i="7"/>
  <c r="D111" i="7"/>
  <c r="D110" i="7"/>
  <c r="D109" i="7"/>
  <c r="D118" i="7" s="1"/>
  <c r="B105" i="7"/>
  <c r="D104" i="7"/>
  <c r="D103" i="7"/>
  <c r="D102" i="7"/>
  <c r="D101" i="7"/>
  <c r="D100" i="7"/>
  <c r="D99" i="7"/>
  <c r="D98" i="7"/>
  <c r="D105" i="7" s="1"/>
  <c r="D97" i="7"/>
  <c r="D96" i="7"/>
  <c r="B92" i="7"/>
  <c r="D91" i="7"/>
  <c r="D90" i="7"/>
  <c r="D89" i="7"/>
  <c r="D88" i="7"/>
  <c r="D87" i="7"/>
  <c r="D86" i="7"/>
  <c r="D85" i="7"/>
  <c r="D84" i="7"/>
  <c r="D83" i="7"/>
  <c r="D92" i="7" s="1"/>
  <c r="B79" i="7"/>
  <c r="D78" i="7"/>
  <c r="D77" i="7"/>
  <c r="D76" i="7"/>
  <c r="D75" i="7"/>
  <c r="D74" i="7"/>
  <c r="D79" i="7" s="1"/>
  <c r="D73" i="7"/>
  <c r="D72" i="7"/>
  <c r="D71" i="7"/>
  <c r="D70" i="7"/>
  <c r="B66" i="7"/>
  <c r="D65" i="7"/>
  <c r="D64" i="7"/>
  <c r="D63" i="7"/>
  <c r="D62" i="7"/>
  <c r="D61" i="7"/>
  <c r="D60" i="7"/>
  <c r="D59" i="7"/>
  <c r="D58" i="7"/>
  <c r="D57" i="7"/>
  <c r="D66" i="7" s="1"/>
  <c r="B53" i="7"/>
  <c r="D52" i="7"/>
  <c r="D51" i="7"/>
  <c r="D53" i="7" s="1"/>
  <c r="D50" i="7"/>
  <c r="D49" i="7"/>
  <c r="D48" i="7"/>
  <c r="D47" i="7"/>
  <c r="D46" i="7"/>
  <c r="D45" i="7"/>
  <c r="D44" i="7"/>
  <c r="B40" i="7"/>
  <c r="D39" i="7"/>
  <c r="D38" i="7"/>
  <c r="D37" i="7"/>
  <c r="D36" i="7"/>
  <c r="D35" i="7"/>
  <c r="D34" i="7"/>
  <c r="D33" i="7"/>
  <c r="D32" i="7"/>
  <c r="D31" i="7"/>
  <c r="D40" i="7" s="1"/>
  <c r="D27" i="7"/>
  <c r="B27" i="7"/>
  <c r="D26" i="7"/>
  <c r="D25" i="7"/>
  <c r="D24" i="7"/>
  <c r="D23" i="7"/>
  <c r="D22" i="7"/>
  <c r="D21" i="7"/>
  <c r="D20" i="7"/>
  <c r="D19" i="7"/>
  <c r="D18" i="7"/>
  <c r="B14" i="7"/>
  <c r="D13" i="7"/>
  <c r="D12" i="7"/>
  <c r="D11" i="7"/>
  <c r="D10" i="7"/>
  <c r="D9" i="7"/>
  <c r="D8" i="7"/>
  <c r="D7" i="7"/>
  <c r="D6" i="7"/>
  <c r="D5" i="7"/>
  <c r="D14" i="7" s="1"/>
  <c r="B1" i="7"/>
  <c r="B118" i="6"/>
  <c r="D117" i="6"/>
  <c r="D116" i="6"/>
  <c r="D115" i="6"/>
  <c r="D114" i="6"/>
  <c r="D118" i="6" s="1"/>
  <c r="D113" i="6"/>
  <c r="D112" i="6"/>
  <c r="D111" i="6"/>
  <c r="D110" i="6"/>
  <c r="D109" i="6"/>
  <c r="B105" i="6"/>
  <c r="D104" i="6"/>
  <c r="D103" i="6"/>
  <c r="D102" i="6"/>
  <c r="D101" i="6"/>
  <c r="D100" i="6"/>
  <c r="D99" i="6"/>
  <c r="D98" i="6"/>
  <c r="D97" i="6"/>
  <c r="D96" i="6"/>
  <c r="D105" i="6" s="1"/>
  <c r="B92" i="6"/>
  <c r="D91" i="6"/>
  <c r="D90" i="6"/>
  <c r="D92" i="6" s="1"/>
  <c r="D89" i="6"/>
  <c r="D88" i="6"/>
  <c r="D87" i="6"/>
  <c r="D86" i="6"/>
  <c r="D85" i="6"/>
  <c r="D84" i="6"/>
  <c r="D83" i="6"/>
  <c r="B79" i="6"/>
  <c r="D78" i="6"/>
  <c r="D77" i="6"/>
  <c r="D76" i="6"/>
  <c r="D75" i="6"/>
  <c r="D74" i="6"/>
  <c r="D73" i="6"/>
  <c r="D72" i="6"/>
  <c r="D71" i="6"/>
  <c r="D79" i="6" s="1"/>
  <c r="D70" i="6"/>
  <c r="B66" i="6"/>
  <c r="D65" i="6"/>
  <c r="D64" i="6"/>
  <c r="D63" i="6"/>
  <c r="D62" i="6"/>
  <c r="D61" i="6"/>
  <c r="D60" i="6"/>
  <c r="D59" i="6"/>
  <c r="D58" i="6"/>
  <c r="D57" i="6"/>
  <c r="D66" i="6" s="1"/>
  <c r="B53" i="6"/>
  <c r="D52" i="6"/>
  <c r="D51" i="6"/>
  <c r="D50" i="6"/>
  <c r="D49" i="6"/>
  <c r="D48" i="6"/>
  <c r="D47" i="6"/>
  <c r="D46" i="6"/>
  <c r="D45" i="6"/>
  <c r="D44" i="6"/>
  <c r="D53" i="6" s="1"/>
  <c r="B40" i="6"/>
  <c r="D39" i="6"/>
  <c r="D38" i="6"/>
  <c r="D37" i="6"/>
  <c r="D36" i="6"/>
  <c r="D35" i="6"/>
  <c r="D34" i="6"/>
  <c r="D33" i="6"/>
  <c r="D32" i="6"/>
  <c r="D31" i="6"/>
  <c r="D40" i="6" s="1"/>
  <c r="B27" i="6"/>
  <c r="D26" i="6"/>
  <c r="D25" i="6"/>
  <c r="D24" i="6"/>
  <c r="D23" i="6"/>
  <c r="D27" i="6" s="1"/>
  <c r="D22" i="6"/>
  <c r="D21" i="6"/>
  <c r="D20" i="6"/>
  <c r="D19" i="6"/>
  <c r="D18" i="6"/>
  <c r="B14" i="6"/>
  <c r="D13" i="6"/>
  <c r="D12" i="6"/>
  <c r="D11" i="6"/>
  <c r="D10" i="6"/>
  <c r="D9" i="6"/>
  <c r="D8" i="6"/>
  <c r="D7" i="6"/>
  <c r="D6" i="6"/>
  <c r="D5" i="6"/>
  <c r="D14" i="6" s="1"/>
  <c r="B1" i="6"/>
  <c r="B118" i="5" l="1"/>
  <c r="B105" i="5"/>
  <c r="B92" i="5"/>
  <c r="B79" i="5"/>
  <c r="B66" i="5"/>
  <c r="B53" i="5"/>
  <c r="B40" i="5"/>
  <c r="B27" i="5"/>
  <c r="B14" i="5"/>
  <c r="B1" i="5"/>
  <c r="B118" i="2"/>
  <c r="B105" i="2"/>
  <c r="B92" i="2"/>
  <c r="B79" i="2"/>
  <c r="B66" i="2"/>
  <c r="B53" i="2"/>
  <c r="B40" i="2"/>
  <c r="B27" i="2"/>
  <c r="B14" i="2"/>
  <c r="B1" i="2"/>
  <c r="B118" i="4"/>
  <c r="B105" i="4"/>
  <c r="B92" i="4"/>
  <c r="B79" i="4"/>
  <c r="B66" i="4"/>
  <c r="B53" i="4"/>
  <c r="B40" i="4"/>
  <c r="B27" i="4"/>
  <c r="B14" i="4"/>
  <c r="B1" i="4"/>
  <c r="B118" i="1"/>
  <c r="B105" i="1"/>
  <c r="B92" i="1"/>
  <c r="B79" i="1"/>
  <c r="B66" i="1"/>
  <c r="B53" i="1"/>
  <c r="B40" i="1"/>
  <c r="B27" i="1"/>
  <c r="B1" i="1"/>
  <c r="D117" i="5" l="1"/>
  <c r="D116" i="5"/>
  <c r="D115" i="5"/>
  <c r="D114" i="5"/>
  <c r="D113" i="5"/>
  <c r="D112" i="5"/>
  <c r="D111" i="5"/>
  <c r="D110" i="5"/>
  <c r="D109" i="5"/>
  <c r="D104" i="5"/>
  <c r="D103" i="5"/>
  <c r="D102" i="5"/>
  <c r="D101" i="5"/>
  <c r="D100" i="5"/>
  <c r="D99" i="5"/>
  <c r="D98" i="5"/>
  <c r="D97" i="5"/>
  <c r="D96" i="5"/>
  <c r="D91" i="5"/>
  <c r="D90" i="5"/>
  <c r="D89" i="5"/>
  <c r="D88" i="5"/>
  <c r="D87" i="5"/>
  <c r="D86" i="5"/>
  <c r="D85" i="5"/>
  <c r="D84" i="5"/>
  <c r="D83" i="5"/>
  <c r="D78" i="5"/>
  <c r="D77" i="5"/>
  <c r="D76" i="5"/>
  <c r="D75" i="5"/>
  <c r="D74" i="5"/>
  <c r="D73" i="5"/>
  <c r="D72" i="5"/>
  <c r="D71" i="5"/>
  <c r="D70" i="5"/>
  <c r="D65" i="5"/>
  <c r="D64" i="5"/>
  <c r="D63" i="5"/>
  <c r="D62" i="5"/>
  <c r="D61" i="5"/>
  <c r="D60" i="5"/>
  <c r="D59" i="5"/>
  <c r="D58" i="5"/>
  <c r="D57" i="5"/>
  <c r="D52" i="5"/>
  <c r="D51" i="5"/>
  <c r="D50" i="5"/>
  <c r="D49" i="5"/>
  <c r="D48" i="5"/>
  <c r="D47" i="5"/>
  <c r="D46" i="5"/>
  <c r="D45" i="5"/>
  <c r="D44" i="5"/>
  <c r="D39" i="5"/>
  <c r="D38" i="5"/>
  <c r="D37" i="5"/>
  <c r="D36" i="5"/>
  <c r="D35" i="5"/>
  <c r="D34" i="5"/>
  <c r="D33" i="5"/>
  <c r="D32" i="5"/>
  <c r="D31" i="5"/>
  <c r="D26" i="5"/>
  <c r="D25" i="5"/>
  <c r="D24" i="5"/>
  <c r="D23" i="5"/>
  <c r="D22" i="5"/>
  <c r="D21" i="5"/>
  <c r="D20" i="5"/>
  <c r="D19" i="5"/>
  <c r="D18" i="5"/>
  <c r="D13" i="5"/>
  <c r="D12" i="5"/>
  <c r="D11" i="5"/>
  <c r="D10" i="5"/>
  <c r="D9" i="5"/>
  <c r="D8" i="5"/>
  <c r="D7" i="5"/>
  <c r="D6" i="5"/>
  <c r="D5" i="5"/>
  <c r="D117" i="4"/>
  <c r="D116" i="4"/>
  <c r="D115" i="4"/>
  <c r="D114" i="4"/>
  <c r="D113" i="4"/>
  <c r="D112" i="4"/>
  <c r="D111" i="4"/>
  <c r="D110" i="4"/>
  <c r="D109" i="4"/>
  <c r="D104" i="4"/>
  <c r="D103" i="4"/>
  <c r="D102" i="4"/>
  <c r="D101" i="4"/>
  <c r="D100" i="4"/>
  <c r="D99" i="4"/>
  <c r="D98" i="4"/>
  <c r="D97" i="4"/>
  <c r="D96" i="4"/>
  <c r="D91" i="4"/>
  <c r="D90" i="4"/>
  <c r="D89" i="4"/>
  <c r="D88" i="4"/>
  <c r="D87" i="4"/>
  <c r="D86" i="4"/>
  <c r="D85" i="4"/>
  <c r="D84" i="4"/>
  <c r="D83" i="4"/>
  <c r="D78" i="4"/>
  <c r="D77" i="4"/>
  <c r="D76" i="4"/>
  <c r="D75" i="4"/>
  <c r="D74" i="4"/>
  <c r="D73" i="4"/>
  <c r="D72" i="4"/>
  <c r="D71" i="4"/>
  <c r="D70" i="4"/>
  <c r="D65" i="4"/>
  <c r="D64" i="4"/>
  <c r="D63" i="4"/>
  <c r="D62" i="4"/>
  <c r="D61" i="4"/>
  <c r="D60" i="4"/>
  <c r="D59" i="4"/>
  <c r="D58" i="4"/>
  <c r="D57" i="4"/>
  <c r="D52" i="4"/>
  <c r="D51" i="4"/>
  <c r="D50" i="4"/>
  <c r="D49" i="4"/>
  <c r="D48" i="4"/>
  <c r="D47" i="4"/>
  <c r="D46" i="4"/>
  <c r="D45" i="4"/>
  <c r="D44" i="4"/>
  <c r="D39" i="4"/>
  <c r="D38" i="4"/>
  <c r="D37" i="4"/>
  <c r="D36" i="4"/>
  <c r="D35" i="4"/>
  <c r="D34" i="4"/>
  <c r="D33" i="4"/>
  <c r="D32" i="4"/>
  <c r="D31" i="4"/>
  <c r="D26" i="4"/>
  <c r="D25" i="4"/>
  <c r="D24" i="4"/>
  <c r="D23" i="4"/>
  <c r="D22" i="4"/>
  <c r="D21" i="4"/>
  <c r="D20" i="4"/>
  <c r="D19" i="4"/>
  <c r="D18" i="4"/>
  <c r="D13" i="4"/>
  <c r="D12" i="4"/>
  <c r="D11" i="4"/>
  <c r="D10" i="4"/>
  <c r="D9" i="4"/>
  <c r="D8" i="4"/>
  <c r="D7" i="4"/>
  <c r="D6" i="4"/>
  <c r="D5" i="4"/>
  <c r="D117" i="2"/>
  <c r="D116" i="2"/>
  <c r="D115" i="2"/>
  <c r="D114" i="2"/>
  <c r="D113" i="2"/>
  <c r="D112" i="2"/>
  <c r="D111" i="2"/>
  <c r="D110" i="2"/>
  <c r="D109" i="2"/>
  <c r="D104" i="2"/>
  <c r="D103" i="2"/>
  <c r="D102" i="2"/>
  <c r="D101" i="2"/>
  <c r="D100" i="2"/>
  <c r="D99" i="2"/>
  <c r="D98" i="2"/>
  <c r="D97" i="2"/>
  <c r="D96" i="2"/>
  <c r="D91" i="2"/>
  <c r="D90" i="2"/>
  <c r="D89" i="2"/>
  <c r="D88" i="2"/>
  <c r="D87" i="2"/>
  <c r="D86" i="2"/>
  <c r="D85" i="2"/>
  <c r="D84" i="2"/>
  <c r="D83" i="2"/>
  <c r="D78" i="2"/>
  <c r="D77" i="2"/>
  <c r="D76" i="2"/>
  <c r="D75" i="2"/>
  <c r="D74" i="2"/>
  <c r="D73" i="2"/>
  <c r="D72" i="2"/>
  <c r="D71" i="2"/>
  <c r="D70" i="2"/>
  <c r="D65" i="2"/>
  <c r="D64" i="2"/>
  <c r="D63" i="2"/>
  <c r="D62" i="2"/>
  <c r="D61" i="2"/>
  <c r="D60" i="2"/>
  <c r="D59" i="2"/>
  <c r="D58" i="2"/>
  <c r="D57" i="2"/>
  <c r="D52" i="2"/>
  <c r="D51" i="2"/>
  <c r="D50" i="2"/>
  <c r="D49" i="2"/>
  <c r="D48" i="2"/>
  <c r="D47" i="2"/>
  <c r="D46" i="2"/>
  <c r="D45" i="2"/>
  <c r="D44" i="2"/>
  <c r="D39" i="2"/>
  <c r="D38" i="2"/>
  <c r="D37" i="2"/>
  <c r="D36" i="2"/>
  <c r="D35" i="2"/>
  <c r="D34" i="2"/>
  <c r="D33" i="2"/>
  <c r="D32" i="2"/>
  <c r="D31" i="2"/>
  <c r="D26" i="2"/>
  <c r="D25" i="2"/>
  <c r="D24" i="2"/>
  <c r="D23" i="2"/>
  <c r="D22" i="2"/>
  <c r="D21" i="2"/>
  <c r="D20" i="2"/>
  <c r="D19" i="2"/>
  <c r="D18" i="2"/>
  <c r="D13" i="2"/>
  <c r="D12" i="2"/>
  <c r="D11" i="2"/>
  <c r="D10" i="2"/>
  <c r="D9" i="2"/>
  <c r="D8" i="2"/>
  <c r="D7" i="2"/>
  <c r="D6" i="2"/>
  <c r="D5" i="2"/>
  <c r="D117" i="1"/>
  <c r="D116" i="1"/>
  <c r="D115" i="1"/>
  <c r="D114" i="1"/>
  <c r="D113" i="1"/>
  <c r="D112" i="1"/>
  <c r="D111" i="1"/>
  <c r="D110" i="1"/>
  <c r="D109" i="1"/>
  <c r="D104" i="1"/>
  <c r="D103" i="1"/>
  <c r="D102" i="1"/>
  <c r="D101" i="1"/>
  <c r="D100" i="1"/>
  <c r="D99" i="1"/>
  <c r="D98" i="1"/>
  <c r="D97" i="1"/>
  <c r="D96" i="1"/>
  <c r="D91" i="1"/>
  <c r="D90" i="1"/>
  <c r="D89" i="1"/>
  <c r="D88" i="1"/>
  <c r="D87" i="1"/>
  <c r="D86" i="1"/>
  <c r="D85" i="1"/>
  <c r="D84" i="1"/>
  <c r="D83" i="1"/>
  <c r="D78" i="1"/>
  <c r="D77" i="1"/>
  <c r="D76" i="1"/>
  <c r="D75" i="1"/>
  <c r="D74" i="1"/>
  <c r="D73" i="1"/>
  <c r="D72" i="1"/>
  <c r="D71" i="1"/>
  <c r="D70" i="1"/>
  <c r="D65" i="1"/>
  <c r="D64" i="1"/>
  <c r="D63" i="1"/>
  <c r="D62" i="1"/>
  <c r="D61" i="1"/>
  <c r="D60" i="1"/>
  <c r="D59" i="1"/>
  <c r="D58" i="1"/>
  <c r="D57" i="1"/>
  <c r="D52" i="1"/>
  <c r="D51" i="1"/>
  <c r="D50" i="1"/>
  <c r="D49" i="1"/>
  <c r="D48" i="1"/>
  <c r="D47" i="1"/>
  <c r="D46" i="1"/>
  <c r="D45" i="1"/>
  <c r="D44" i="1"/>
  <c r="D39" i="1"/>
  <c r="D38" i="1"/>
  <c r="D37" i="1"/>
  <c r="D36" i="1"/>
  <c r="D35" i="1"/>
  <c r="D34" i="1"/>
  <c r="D33" i="1"/>
  <c r="D32" i="1"/>
  <c r="D31" i="1"/>
  <c r="D26" i="1"/>
  <c r="D25" i="1"/>
  <c r="D24" i="1"/>
  <c r="D23" i="1"/>
  <c r="D22" i="1"/>
  <c r="D21" i="1"/>
  <c r="D20" i="1"/>
  <c r="D19" i="1"/>
  <c r="D18" i="1"/>
  <c r="D12" i="1"/>
  <c r="D11" i="1"/>
  <c r="B14" i="1"/>
  <c r="D8" i="1"/>
  <c r="D13" i="1"/>
  <c r="D6" i="1"/>
  <c r="D7" i="1"/>
  <c r="D9" i="1"/>
  <c r="D10" i="1"/>
  <c r="D5" i="1"/>
  <c r="D27" i="5" l="1"/>
  <c r="D118" i="2"/>
  <c r="D105" i="2"/>
  <c r="D53" i="2"/>
  <c r="D14" i="2"/>
  <c r="D27" i="1"/>
  <c r="D4" i="3" s="1"/>
  <c r="D14" i="4"/>
  <c r="E3" i="3" s="1"/>
  <c r="D40" i="4"/>
  <c r="E5" i="3" s="1"/>
  <c r="D27" i="4"/>
  <c r="E4" i="3" s="1"/>
  <c r="D79" i="1"/>
  <c r="D14" i="3" s="1"/>
  <c r="D105" i="5"/>
  <c r="D79" i="5"/>
  <c r="D118" i="5"/>
  <c r="D92" i="5"/>
  <c r="D53" i="5"/>
  <c r="D66" i="5"/>
  <c r="D14" i="5"/>
  <c r="D40" i="5"/>
  <c r="D79" i="2"/>
  <c r="D92" i="2"/>
  <c r="D27" i="2"/>
  <c r="D66" i="2"/>
  <c r="D40" i="2"/>
  <c r="D79" i="4"/>
  <c r="E14" i="3" s="1"/>
  <c r="D105" i="4"/>
  <c r="E22" i="3" s="1"/>
  <c r="D118" i="4"/>
  <c r="E23" i="3" s="1"/>
  <c r="D53" i="4"/>
  <c r="E12" i="3" s="1"/>
  <c r="D92" i="4"/>
  <c r="E21" i="3" s="1"/>
  <c r="D66" i="4"/>
  <c r="E13" i="3" s="1"/>
  <c r="D118" i="1"/>
  <c r="D23" i="3" s="1"/>
  <c r="D105" i="1"/>
  <c r="D22" i="3" s="1"/>
  <c r="D92" i="1"/>
  <c r="D21" i="3" s="1"/>
  <c r="D66" i="1"/>
  <c r="D13" i="3" s="1"/>
  <c r="D53" i="1"/>
  <c r="D12" i="3" s="1"/>
  <c r="D40" i="1"/>
  <c r="D5" i="3" s="1"/>
  <c r="D14" i="1"/>
  <c r="D3" i="3" s="1"/>
</calcChain>
</file>

<file path=xl/sharedStrings.xml><?xml version="1.0" encoding="utf-8"?>
<sst xmlns="http://schemas.openxmlformats.org/spreadsheetml/2006/main" count="1089" uniqueCount="197">
  <si>
    <t>Metric</t>
  </si>
  <si>
    <t>Weight</t>
  </si>
  <si>
    <t>Input Structure:</t>
  </si>
  <si>
    <t>Weighted Score</t>
  </si>
  <si>
    <t xml:space="preserve">Max Score: </t>
  </si>
  <si>
    <t>{</t>
  </si>
  <si>
    <t>  "Device Information": {</t>
  </si>
  <si>
    <t>    "tags": {</t>
  </si>
  <si>
    <t>      "name": "ASHGABAT",</t>
  </si>
  <si>
    <t>      "state": "Not applicable",</t>
  </si>
  <si>
    <t>      "tz": "UTC+5",</t>
  </si>
  <si>
    <t>      "city": "Ashgabat",</t>
  </si>
  <si>
    <t>      "urbanization": "unknown",</t>
  </si>
  <si>
    <t>      "country": "Turkmenistan",</t>
  </si>
  <si>
    <t>      "station_id": "TXI0000UTAA",</t>
  </si>
  <si>
    <t>      "terrain": "hill"</t>
  </si>
  <si>
    <t>    }</t>
  </si>
  <si>
    <t>  },</t>
  </si>
  <si>
    <t>  "Active Model Context": {</t>
  </si>
  <si>
    <t>    "version": 16,</t>
  </si>
  <si>
    <t>    "is_valid": 1,</t>
  </si>
  <si>
    <t>    "is_compatible": 1,</t>
  </si>
  <si>
    <t>    "model_age_days": 221,</t>
  </si>
  <si>
    <t>    "training_recency_bucket": "recent"</t>
  </si>
  <si>
    <t>  "Model Performance Context": {</t>
  </si>
  <si>
    <t>    "average metrics": {</t>
  </si>
  <si>
    <t>      "MAE": 9.151254452191866,</t>
  </si>
  <si>
    <t>      "RMSE": 0.35316544647018117,</t>
  </si>
  <si>
    <t>      "MAPE": 9.989967272831844</t>
  </si>
  <si>
    <t>    },</t>
  </si>
  <si>
    <t>    "overall_error_score": 7.133781451477988,</t>
  </si>
  <si>
    <t>    "trend": "degrading",</t>
  </si>
  <si>
    <t>    "worst_performance_error_score": 3.06753407135631,</t>
  </si>
  <si>
    <t>    "worst_time_stamp": "2025-01-30 11:11:29"</t>
  </si>
  <si>
    <t>  "Model Version History": {</t>
  </si>
  <si>
    <t>    "versions_available": 15,</t>
  </si>
  <si>
    <t>    "average_performance": {</t>
  </si>
  <si>
    <t>      "MAE": 7.670857318242391,</t>
  </si>
  <si>
    <t>      "MAPE": 9.008195066452027,</t>
  </si>
  <si>
    <t>      "RMSE": null</t>
  </si>
  <si>
    <t>  "Feature Sensitivity": {</t>
  </si>
  <si>
    <t>    "top_3_features": {</t>
  </si>
  <si>
    <t>      "temperature": 1.3362564251022722,</t>
  </si>
  <si>
    <t>      "dew_point_temperature": 0.5444265831001174,</t>
  </si>
  <si>
    <t>      "wind_direction": 0.3337700273948302</t>
  </si>
  <si>
    <t>    "average_historical_model_contribution": {</t>
  </si>
  <si>
    <t>      "temperature": 0.9178090962886913,</t>
  </si>
  <si>
    <t>      "dew_point_temperature": 0.5532316446581149,</t>
  </si>
  <si>
    <t>      "wind_direction-yesterday": 0.3475051080924656</t>
  </si>
  <si>
    <t>  "Tag Diagnostics": {</t>
  </si>
  <si>
    <t>    "All": {</t>
  </si>
  <si>
    <t>      "performance": 3.049878240826069,</t>
  </si>
  <si>
    <t>      "outlier_score_value": -2.5388256166528373,</t>
  </si>
  <si>
    <t>      "outlier_score": "strong",</t>
  </si>
  <si>
    <t>      "analytics_time": "2024-06-22 22:00:00.000000"</t>
  </si>
  <si>
    <t>    "hill": {</t>
  </si>
  <si>
    <t>      "performance": 2.97908942636802,</t>
  </si>
  <si>
    <t>      "outlier_score_value": -2.5662987072732455,</t>
  </si>
  <si>
    <t>    "unknown": {</t>
  </si>
  <si>
    <t>      "performance": 2.351593301436202,</t>
  </si>
  <si>
    <t>      "outlier_score_value": -2.857532528069188,</t>
  </si>
  <si>
    <t>    "Not applicable": {</t>
  </si>
  <si>
    <t>      "performance": 2.3250050390752772,</t>
  </si>
  <si>
    <t>      "outlier_score_value": -2.459153200875744,</t>
  </si>
  <si>
    <t>    "UTC+5": {</t>
  </si>
  <si>
    <t>      "performance": 1.9498522722749594,</t>
  </si>
  <si>
    <t>      "outlier_score_value": -1.0493857839148462,</t>
  </si>
  <si>
    <t>      "outlier_score": "moderate",</t>
  </si>
  <si>
    <t>    "Worst Tag": [</t>
  </si>
  <si>
    <t>      "All"</t>
  </si>
  <si>
    <t>    ]</t>
  </si>
  <si>
    <t>  "Cross Tag Context": {</t>
  </si>
  <si>
    <t>    "worst_performance_tag": "All",</t>
  </si>
  <si>
    <t>    "worst_outlier_tag": "unknown",</t>
  </si>
  <si>
    <t>    "problem_pattern": "device_specific",</t>
  </si>
  <si>
    <t>    "extreme_outlier_ratio": 0.8</t>
  </si>
  <si>
    <t>  }</t>
  </si>
  <si>
    <t>}</t>
  </si>
  <si>
    <t>      "terrain": "lowland",</t>
  </si>
  <si>
    <t>      "tz": "UTC-5",</t>
  </si>
  <si>
    <t>      "urbanization": "rural",</t>
  </si>
  <si>
    <t>    "rural": {</t>
  </si>
  <si>
    <t>    "UTC-5": {</t>
  </si>
  <si>
    <t>    "lowland": {</t>
  </si>
  <si>
    <t>    "problem_pattern": "tag_specific",</t>
  </si>
  <si>
    <t>Schema:</t>
  </si>
  <si>
    <t xml:space="preserve">Does it help the decision-making and provide actionability? </t>
  </si>
  <si>
    <t>Is it clear and easy to understand for non-experts?</t>
  </si>
  <si>
    <t>Is external or domain knowledge integrated into reasoning?</t>
  </si>
  <si>
    <t>Is there a correct interpretation of relationships?</t>
  </si>
  <si>
    <t>d88</t>
  </si>
  <si>
    <t>AM</t>
  </si>
  <si>
    <t>WS</t>
  </si>
  <si>
    <t>FI</t>
  </si>
  <si>
    <t>P</t>
  </si>
  <si>
    <t>FI + P</t>
  </si>
  <si>
    <t>gwen3.5</t>
  </si>
  <si>
    <t>deepseek-v3.2</t>
  </si>
  <si>
    <t>kimi-k2.5</t>
  </si>
  <si>
    <t>SA</t>
  </si>
  <si>
    <t>gwen3.5 | FI</t>
  </si>
  <si>
    <t>gwen3.5 | P</t>
  </si>
  <si>
    <t>gwen3.5 | FI + P</t>
  </si>
  <si>
    <t>deepseek-v3.2 | FI</t>
  </si>
  <si>
    <t>deepseek-v3.2 | P</t>
  </si>
  <si>
    <t>deepseek-v3.2 | FI + P</t>
  </si>
  <si>
    <t>kimi-k2.5 | FI</t>
  </si>
  <si>
    <t>kimi-k2.5 | P</t>
  </si>
  <si>
    <t>kimi-k2.5 | FI + P</t>
  </si>
  <si>
    <t>d131</t>
  </si>
  <si>
    <t>      "name": "OGOKI POST A",</t>
  </si>
  <si>
    <t>      "country": "Canada",</t>
  </si>
  <si>
    <t>      "station_id": "CAN06075786",</t>
  </si>
  <si>
    <t>      "city": "Greenstone",</t>
  </si>
  <si>
    <t>      "state": "Ontario"</t>
  </si>
  <si>
    <t>    "version": 8,</t>
  </si>
  <si>
    <t>    "model_age_days": 1547,</t>
  </si>
  <si>
    <t>    "training_recency_bucket": "outdated"</t>
  </si>
  <si>
    <t>      "MAE": 16.670150637626648,</t>
  </si>
  <si>
    <t>      "RMSE": 4.384457421302796,</t>
  </si>
  <si>
    <t>      "MAPE": 17.724907338619232</t>
  </si>
  <si>
    <t>    "overall_error_score": 12.977009995000667,</t>
  </si>
  <si>
    <t>    "worst_performance_error_score": 8.035996518007464,</t>
  </si>
  <si>
    <t>    "worst_time_stamp": "2025-01-30 11:10:05"</t>
  </si>
  <si>
    <t>    "versions_available": 7,</t>
  </si>
  <si>
    <t>      "MAE": 9.934088706970215,</t>
  </si>
  <si>
    <t>      "MAPE": 11.332808494567871,</t>
  </si>
  <si>
    <t>      "temperature": 1.1146011545138748,</t>
  </si>
  <si>
    <t>      "temperature-yesterday": 0.4962712226487427,</t>
  </si>
  <si>
    <t>      "wind_direction-yesterday": 0.40130767566484826</t>
  </si>
  <si>
    <t>      "temperature": 1.02739787517374,</t>
  </si>
  <si>
    <t>      "temperature-yesterday": 0.4735450398292181,</t>
  </si>
  <si>
    <t>      "wind_direction-yesterday": 0.39752670587760425</t>
  </si>
  <si>
    <t>    "Ontario": {</t>
  </si>
  <si>
    <t>      "performance": 17.98217862877089,</t>
  </si>
  <si>
    <t>      "outlier_score_value": -1.366132667701791,</t>
  </si>
  <si>
    <t>      "performance": 7.640220805374328,</t>
  </si>
  <si>
    <t>      "outlier_score_value": -1.0190773503365347,</t>
  </si>
  <si>
    <t>      "performance": 7.53930731207449,</t>
  </si>
  <si>
    <t>      "outlier_score_value": -1.0337059444528445,</t>
  </si>
  <si>
    <t>      "performance": 7.3411128988871,</t>
  </si>
  <si>
    <t>      "outlier_score_value": -1.0640332777780408,</t>
  </si>
  <si>
    <t>      "performance": 6.598249308290366,</t>
  </si>
  <si>
    <t>      "outlier_score_value": -1.0575524354781733,</t>
  </si>
  <si>
    <t>    "Canada": {</t>
  </si>
  <si>
    <t>      "performance": 4.863609290113009,</t>
  </si>
  <si>
    <t>      "outlier_score_value": -1.2802194401780667,</t>
  </si>
  <si>
    <t>      "Ontario"</t>
  </si>
  <si>
    <t>    "worst_performance_tag": "Ontario",</t>
  </si>
  <si>
    <t>    "worst_outlier_tag": "Ontario",</t>
  </si>
  <si>
    <t>    "extreme_outlier_ratio": 0.0</t>
  </si>
  <si>
    <t>Score [1,5]</t>
  </si>
  <si>
    <t>Is all the available information used for the reasoning? (Performance/Feature Importance)</t>
  </si>
  <si>
    <t>Does it provide a clear and concise explanation? (writing style)</t>
  </si>
  <si>
    <t>Does it avoid irrelevant or excessive information? (information provided)</t>
  </si>
  <si>
    <t>Does it answer the question of why this is an anomaly or performs bad?</t>
  </si>
  <si>
    <t>Is there a coherent argumentation and reasoning provided for the interpretation?</t>
  </si>
  <si>
    <r>
      <t xml:space="preserve">Experiment 1 </t>
    </r>
    <r>
      <rPr>
        <sz val="11"/>
        <color theme="5"/>
        <rFont val="Calibri"/>
        <family val="2"/>
        <scheme val="minor"/>
      </rPr>
      <t>(mainly num)</t>
    </r>
  </si>
  <si>
    <r>
      <t xml:space="preserve">Experiment 2 </t>
    </r>
    <r>
      <rPr>
        <sz val="11"/>
        <color theme="5"/>
        <rFont val="Calibri"/>
        <family val="2"/>
        <scheme val="minor"/>
      </rPr>
      <t>(mainly text)</t>
    </r>
  </si>
  <si>
    <r>
      <t xml:space="preserve">Experiment 4 </t>
    </r>
    <r>
      <rPr>
        <sz val="11"/>
        <color theme="5"/>
        <rFont val="Calibri"/>
        <family val="2"/>
        <scheme val="minor"/>
      </rPr>
      <t>(mainly visual)</t>
    </r>
  </si>
  <si>
    <r>
      <t xml:space="preserve">Experiment 5 </t>
    </r>
    <r>
      <rPr>
        <sz val="11"/>
        <color theme="5"/>
        <rFont val="Calibri"/>
        <family val="2"/>
        <scheme val="minor"/>
      </rPr>
      <t>(Combination)</t>
    </r>
  </si>
  <si>
    <r>
      <t xml:space="preserve">Experiment 6 </t>
    </r>
    <r>
      <rPr>
        <sz val="11"/>
        <color theme="5"/>
        <rFont val="Calibri"/>
        <family val="2"/>
        <scheme val="minor"/>
      </rPr>
      <t>(Combinaiton)</t>
    </r>
  </si>
  <si>
    <t>qwen3.5</t>
  </si>
  <si>
    <t>d1456</t>
  </si>
  <si>
    <t>d1383</t>
  </si>
  <si>
    <r>
      <t xml:space="preserve">Experiment 3 </t>
    </r>
    <r>
      <rPr>
        <sz val="11"/>
        <color theme="5"/>
        <rFont val="Calibri"/>
        <family val="2"/>
        <scheme val="minor"/>
      </rPr>
      <t>(mainly text + other models)</t>
    </r>
  </si>
  <si>
    <t>You are helping users understand the behaviour of a machine learning model. Based on the information provided in the schema and additional information that helps to provide a good answer, provide an easy to understand interpretation for why the weather station 88 is an anomaly. What does that mean for future predictions of the weather station?</t>
  </si>
  <si>
    <t>Important information regarding the data in the schema at hand:</t>
  </si>
  <si>
    <t>The data has entries up until July 2024 treat the data as if today is the 1st July 2024.</t>
  </si>
  <si>
    <t>The data consists of multiple local models that are running on the weather station to predict the temperature.</t>
  </si>
  <si>
    <t>The local model on each weather station is continuously updated using federated learning.</t>
  </si>
  <si>
    <t>Every weather station has multiple tags that show the attributes of the device.  For each of these tags an outlier score exists that signalizes how different the weather station performance is compared to weather stations with the same tag.</t>
  </si>
  <si>
    <t>Chain of thought instructions:</t>
  </si>
  <si>
    <t>Step 1: Read and understand the schema carefully.</t>
  </si>
  <si>
    <t>Step 2: Identify the most important signals and determine which parts of the schema are most relevant for explaining the unusual behaviour.</t>
  </si>
  <si>
    <t>Step 3: Analyze relationships between the different pieces of information and think about how the different inputs relate to each other.</t>
  </si>
  <si>
    <t>Step 4: Put the weather station 88 into context (interpret the station not in isolation).</t>
  </si>
  <si>
    <t>Step 5: Use additional background knowledge when helpful (domain knowledge, environmental conditions etc.).</t>
  </si>
  <si>
    <t>Step 6: Generate possible reasons for the unusual behaviour.</t>
  </si>
  <si>
    <t>Step 7: Check your reasoning critically.</t>
  </si>
  <si>
    <t>Step 8: Create practical recommendations.</t>
  </si>
  <si>
    <t>Step 9: Write the final explanation for a non-expert industrial user based on the previous steps.</t>
  </si>
  <si>
    <t>Output Instructions:</t>
  </si>
  <si>
    <t>The answer has to be provided in an easy language that a user without a data background can understand. Make sure to provide short and concise answers that answer the questions at hand without unnecessary information. </t>
  </si>
  <si>
    <t>What is important:</t>
  </si>
  <si>
    <t>Clarity: Deliver straightforward and easily comprehensible summaries. </t>
  </si>
  <si>
    <t>Relevance: Ensure insights are directly applicable to the end user. </t>
  </si>
  <si>
    <t>Actionability: Focus on providing practical suggestions or conclusions. </t>
  </si>
  <si>
    <t>Do not include obvious elements (numbers, text) from the given input unless needed.</t>
  </si>
  <si>
    <t>The output should have the following structure:</t>
  </si>
  <si>
    <t>1. Interpretation: Why is this weather station 88 behaving unusually? Explain to the engineer why the weather station is showcasing this unusual behaviour!</t>
  </si>
  <si>
    <t>2. Future Predictions: What does this mean for future predictions of the weather station 88? Give recommendations on what the engineer should do!</t>
  </si>
  <si>
    <t>3. Reasoning: Provide a short statement of reasoning to justify your answer, but keep it concise and non-technical.</t>
  </si>
  <si>
    <t>You are helping users understand the behaviour of a machine learning model. Based on the information provided in the schema and additional information that helps to provide a good answer, provide an easy to understand interpretation for why the weather station 131 is an anomaly. What does that mean for future predictions of the weather station?</t>
  </si>
  <si>
    <t>Step 4: Put the weather station 131 into context (interpret the station not in isolation).</t>
  </si>
  <si>
    <t>1. Interpretation: Why is this weather station 131 behaving unusually? Explain to the engineer why the weather station is showcasing this unusual behaviour!</t>
  </si>
  <si>
    <t>2. Future Predictions: What does this mean for future predictions of the weather station 131? Give recommendations on what the engineer should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</si>
</sst>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Arial"/>
      <family val="2"/>
    </font>
    <font>
      <sz val="8"/>
      <name val="Calibri"/>
      <family val="2"/>
      <scheme val="minor"/>
    </font>
    <font>
      <b/>
      <sz val="11"/>
      <color theme="8"/>
      <name val="Calibri"/>
      <family val="2"/>
      <scheme val="minor"/>
    </font>
    <font>
      <b/>
      <sz val="11"/>
      <color theme="5"/>
      <name val="Calibri"/>
      <family val="2"/>
      <scheme val="minor"/>
    </font>
    <font>
      <sz val="11"/>
      <color theme="5"/>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8" tint="0.79998168889431442"/>
        <bgColor indexed="64"/>
      </patternFill>
    </fill>
    <fill>
      <patternFill patternType="solid">
        <fgColor theme="5" tint="0.79998168889431442"/>
        <bgColor indexed="64"/>
      </patternFill>
    </fill>
  </fills>
  <borders count="2">
    <border>
      <left/>
      <right/>
      <top/>
      <bottom/>
      <diagonal/>
    </border>
    <border>
      <left/>
      <right/>
      <top style="thin">
        <color indexed="64"/>
      </top>
      <bottom style="double">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2" borderId="0" xfId="0" applyFill="1"/>
    <xf numFmtId="0" fontId="0" fillId="0" borderId="0" xfId="0" applyAlignment="1">
      <alignment horizontal="right"/>
    </xf>
    <xf numFmtId="9" fontId="0" fillId="0" borderId="0" xfId="1" applyFont="1"/>
    <xf numFmtId="9" fontId="0" fillId="0" borderId="1" xfId="0" applyNumberFormat="1" applyBorder="1"/>
    <xf numFmtId="0" fontId="2" fillId="0" borderId="0" xfId="0" applyFont="1"/>
    <xf numFmtId="0" fontId="2" fillId="0" borderId="1" xfId="0" applyFont="1" applyBorder="1"/>
    <xf numFmtId="0" fontId="3" fillId="0" borderId="0" xfId="0" applyFont="1" applyAlignment="1">
      <alignment vertical="center"/>
    </xf>
    <xf numFmtId="0" fontId="5" fillId="0" borderId="0" xfId="0" applyFont="1"/>
    <xf numFmtId="0" fontId="6" fillId="0" borderId="0" xfId="0" applyFont="1"/>
    <xf numFmtId="0" fontId="0" fillId="3" borderId="0" xfId="0" applyFill="1"/>
    <xf numFmtId="0" fontId="0" fillId="4" borderId="0" xfId="0" applyFill="1"/>
    <xf numFmtId="0" fontId="0" fillId="0" borderId="0" xfId="0" applyAlignment="1">
      <alignment horizontal="center"/>
    </xf>
    <xf numFmtId="0" fontId="3" fillId="0" borderId="0" xfId="0" applyFont="1" applyAlignment="1">
      <alignment horizontal="left" vertical="center" indent="1"/>
    </xf>
    <xf numFmtId="0" fontId="0" fillId="0" borderId="0" xfId="0" applyAlignment="1">
      <alignment horizontal="center"/>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F850D-99CD-4307-BFB4-690876BCFF53}">
  <dimension ref="A1:Y37"/>
  <sheetViews>
    <sheetView workbookViewId="0">
      <selection activeCell="O18" sqref="O18"/>
    </sheetView>
  </sheetViews>
  <sheetFormatPr defaultRowHeight="14.4" x14ac:dyDescent="0.3"/>
  <cols>
    <col min="1" max="1" width="13.33203125" bestFit="1" customWidth="1"/>
    <col min="2" max="2" width="3.77734375" bestFit="1" customWidth="1"/>
    <col min="3" max="3" width="5.33203125" bestFit="1" customWidth="1"/>
    <col min="4" max="4" width="10.33203125" customWidth="1"/>
    <col min="5" max="6" width="11.6640625" bestFit="1" customWidth="1"/>
    <col min="9" max="9" width="11.6640625" bestFit="1" customWidth="1"/>
  </cols>
  <sheetData>
    <row r="1" spans="1:25" x14ac:dyDescent="0.3">
      <c r="D1" s="14" t="s">
        <v>157</v>
      </c>
      <c r="E1" s="14"/>
      <c r="F1" s="14" t="s">
        <v>158</v>
      </c>
      <c r="G1" s="14"/>
      <c r="H1" s="14"/>
      <c r="I1" s="14"/>
      <c r="J1" s="14" t="s">
        <v>165</v>
      </c>
      <c r="K1" s="14"/>
      <c r="L1" s="14"/>
      <c r="M1" s="14"/>
      <c r="N1" s="14" t="s">
        <v>159</v>
      </c>
      <c r="O1" s="14"/>
      <c r="P1" s="14"/>
      <c r="Q1" s="14"/>
      <c r="R1" s="14" t="s">
        <v>160</v>
      </c>
      <c r="S1" s="14"/>
      <c r="T1" s="14"/>
      <c r="U1" s="14"/>
      <c r="V1" s="14" t="s">
        <v>161</v>
      </c>
      <c r="W1" s="14"/>
      <c r="X1" s="14"/>
      <c r="Y1" s="14"/>
    </row>
    <row r="2" spans="1:25" x14ac:dyDescent="0.3">
      <c r="D2" s="12" t="s">
        <v>90</v>
      </c>
      <c r="E2" s="12" t="s">
        <v>109</v>
      </c>
      <c r="F2" s="12" t="s">
        <v>90</v>
      </c>
      <c r="G2" s="12" t="s">
        <v>109</v>
      </c>
      <c r="H2" s="12" t="s">
        <v>164</v>
      </c>
      <c r="I2" s="12" t="s">
        <v>163</v>
      </c>
      <c r="J2" s="12" t="s">
        <v>90</v>
      </c>
      <c r="K2" s="12" t="s">
        <v>109</v>
      </c>
      <c r="L2" s="12" t="s">
        <v>164</v>
      </c>
      <c r="M2" s="12" t="s">
        <v>163</v>
      </c>
      <c r="N2" s="12" t="s">
        <v>90</v>
      </c>
      <c r="O2" s="12" t="s">
        <v>109</v>
      </c>
      <c r="P2" s="12" t="s">
        <v>164</v>
      </c>
      <c r="Q2" s="12" t="s">
        <v>163</v>
      </c>
      <c r="R2" s="12" t="s">
        <v>90</v>
      </c>
      <c r="S2" s="12" t="s">
        <v>109</v>
      </c>
      <c r="T2" s="12" t="s">
        <v>164</v>
      </c>
      <c r="U2" s="12" t="s">
        <v>163</v>
      </c>
      <c r="V2" s="12" t="s">
        <v>90</v>
      </c>
      <c r="W2" s="12" t="s">
        <v>109</v>
      </c>
      <c r="X2" s="12" t="s">
        <v>164</v>
      </c>
      <c r="Y2" s="12" t="s">
        <v>163</v>
      </c>
    </row>
    <row r="3" spans="1:25" x14ac:dyDescent="0.3">
      <c r="A3" s="5" t="s">
        <v>162</v>
      </c>
      <c r="B3" s="8" t="s">
        <v>92</v>
      </c>
      <c r="C3" t="s">
        <v>93</v>
      </c>
      <c r="D3" s="10">
        <f>'d88 #1'!D14</f>
        <v>2.7</v>
      </c>
      <c r="E3" s="10">
        <f>'d131 #1'!D14</f>
        <v>2.5</v>
      </c>
      <c r="F3" s="10"/>
      <c r="G3" s="10"/>
      <c r="H3" s="10"/>
      <c r="I3" s="10"/>
      <c r="J3" s="10"/>
      <c r="K3" s="10"/>
      <c r="L3" s="10"/>
      <c r="M3" s="10"/>
      <c r="N3" s="10"/>
      <c r="O3" s="10"/>
      <c r="P3" s="10"/>
      <c r="Q3" s="10"/>
      <c r="R3" s="10"/>
      <c r="S3" s="10"/>
      <c r="T3" s="10"/>
      <c r="U3" s="10"/>
      <c r="V3" s="10"/>
      <c r="W3" s="10"/>
      <c r="X3" s="10"/>
      <c r="Y3" s="10"/>
    </row>
    <row r="4" spans="1:25" x14ac:dyDescent="0.3">
      <c r="C4" t="s">
        <v>94</v>
      </c>
      <c r="D4" s="10">
        <f>'d88 #1'!D27</f>
        <v>2.9000000000000004</v>
      </c>
      <c r="E4" s="10">
        <f>'d131 #1'!D27</f>
        <v>2.75</v>
      </c>
      <c r="F4" s="10"/>
      <c r="G4" s="10"/>
      <c r="H4" s="10"/>
      <c r="I4" s="10"/>
      <c r="J4" s="10"/>
      <c r="K4" s="10"/>
      <c r="L4" s="10"/>
      <c r="M4" s="10"/>
      <c r="N4" s="10"/>
      <c r="O4" s="10"/>
      <c r="P4" s="10"/>
      <c r="Q4" s="10"/>
      <c r="R4" s="10"/>
      <c r="S4" s="10"/>
      <c r="T4" s="10"/>
      <c r="U4" s="10"/>
      <c r="V4" s="10"/>
      <c r="W4" s="10"/>
      <c r="X4" s="10"/>
      <c r="Y4" s="10"/>
    </row>
    <row r="5" spans="1:25" x14ac:dyDescent="0.3">
      <c r="C5" t="s">
        <v>95</v>
      </c>
      <c r="D5" s="10">
        <f>'d88 #1'!D40</f>
        <v>2.8999999999999995</v>
      </c>
      <c r="E5" s="10">
        <f>'d131 #1'!D40</f>
        <v>2.5499999999999998</v>
      </c>
      <c r="F5" s="10"/>
      <c r="G5" s="10"/>
      <c r="H5" s="10"/>
      <c r="I5" s="10"/>
      <c r="J5" s="10"/>
      <c r="K5" s="10"/>
      <c r="L5" s="10"/>
      <c r="M5" s="10"/>
      <c r="N5" s="10"/>
      <c r="O5" s="10"/>
      <c r="P5" s="10"/>
      <c r="Q5" s="10"/>
      <c r="R5" s="10"/>
      <c r="S5" s="10"/>
      <c r="T5" s="10"/>
      <c r="U5" s="10"/>
      <c r="V5" s="10"/>
      <c r="W5" s="10"/>
      <c r="X5" s="10"/>
      <c r="Y5" s="10"/>
    </row>
    <row r="6" spans="1:25" x14ac:dyDescent="0.3">
      <c r="B6" s="9" t="s">
        <v>91</v>
      </c>
      <c r="C6" t="s">
        <v>93</v>
      </c>
      <c r="D6" s="11"/>
      <c r="E6" s="11"/>
      <c r="F6" s="11"/>
      <c r="G6" s="11"/>
      <c r="H6" s="11"/>
      <c r="I6" s="11"/>
      <c r="J6" s="11"/>
      <c r="K6" s="11"/>
      <c r="L6" s="11"/>
      <c r="M6" s="11"/>
      <c r="N6" s="11"/>
      <c r="O6" s="11"/>
      <c r="P6" s="11"/>
      <c r="Q6" s="11"/>
      <c r="R6" s="11"/>
      <c r="S6" s="11"/>
      <c r="T6" s="11"/>
      <c r="U6" s="11"/>
      <c r="V6" s="11"/>
      <c r="W6" s="11"/>
      <c r="X6" s="11"/>
      <c r="Y6" s="11"/>
    </row>
    <row r="7" spans="1:25" x14ac:dyDescent="0.3">
      <c r="C7" t="s">
        <v>94</v>
      </c>
      <c r="D7" s="11"/>
      <c r="E7" s="11"/>
      <c r="F7" s="11"/>
      <c r="G7" s="11"/>
      <c r="H7" s="11"/>
      <c r="I7" s="11"/>
      <c r="J7" s="11"/>
      <c r="K7" s="11"/>
      <c r="L7" s="11"/>
      <c r="M7" s="11"/>
      <c r="N7" s="11"/>
      <c r="O7" s="11"/>
      <c r="P7" s="11"/>
      <c r="Q7" s="11"/>
      <c r="R7" s="11"/>
      <c r="S7" s="11"/>
      <c r="T7" s="11"/>
      <c r="U7" s="11"/>
      <c r="V7" s="11"/>
      <c r="W7" s="11"/>
      <c r="X7" s="11"/>
      <c r="Y7" s="11"/>
    </row>
    <row r="8" spans="1:25" x14ac:dyDescent="0.3">
      <c r="C8" t="s">
        <v>95</v>
      </c>
      <c r="D8" s="11"/>
      <c r="E8" s="11"/>
      <c r="F8" s="11"/>
      <c r="G8" s="11"/>
      <c r="H8" s="11"/>
      <c r="I8" s="11"/>
      <c r="J8" s="11"/>
      <c r="K8" s="11"/>
      <c r="L8" s="11"/>
      <c r="M8" s="11"/>
      <c r="N8" s="11"/>
      <c r="O8" s="11"/>
      <c r="P8" s="11"/>
      <c r="Q8" s="11"/>
      <c r="R8" s="11"/>
      <c r="S8" s="11"/>
      <c r="T8" s="11"/>
      <c r="U8" s="11"/>
      <c r="V8" s="11"/>
      <c r="W8" s="11"/>
      <c r="X8" s="11"/>
      <c r="Y8" s="11"/>
    </row>
    <row r="9" spans="1:25" x14ac:dyDescent="0.3">
      <c r="B9" t="s">
        <v>99</v>
      </c>
      <c r="C9" t="s">
        <v>93</v>
      </c>
    </row>
    <row r="10" spans="1:25" x14ac:dyDescent="0.3">
      <c r="C10" t="s">
        <v>94</v>
      </c>
    </row>
    <row r="11" spans="1:25" x14ac:dyDescent="0.3">
      <c r="C11" t="s">
        <v>95</v>
      </c>
    </row>
    <row r="12" spans="1:25" x14ac:dyDescent="0.3">
      <c r="A12" s="5" t="s">
        <v>97</v>
      </c>
      <c r="B12" s="8" t="s">
        <v>92</v>
      </c>
      <c r="C12" t="s">
        <v>93</v>
      </c>
      <c r="D12" s="10">
        <f>'d88 #1'!D53</f>
        <v>3.2500000000000009</v>
      </c>
      <c r="E12" s="10">
        <f>'d131 #1'!D53</f>
        <v>3.25</v>
      </c>
      <c r="F12" s="10"/>
      <c r="G12" s="10"/>
      <c r="H12" s="10"/>
      <c r="I12" s="10"/>
      <c r="J12" s="10"/>
      <c r="K12" s="10"/>
      <c r="L12" s="10"/>
      <c r="M12" s="10"/>
      <c r="R12" s="10"/>
      <c r="S12" s="10"/>
      <c r="T12" s="10"/>
      <c r="U12" s="10"/>
      <c r="V12" s="10"/>
      <c r="W12" s="10"/>
      <c r="X12" s="10"/>
      <c r="Y12" s="10"/>
    </row>
    <row r="13" spans="1:25" x14ac:dyDescent="0.3">
      <c r="C13" t="s">
        <v>94</v>
      </c>
      <c r="D13" s="10">
        <f>'d88 #1'!D66</f>
        <v>3</v>
      </c>
      <c r="E13" s="10">
        <f>'d131 #1'!D66</f>
        <v>3.1500000000000004</v>
      </c>
      <c r="F13" s="10"/>
      <c r="G13" s="10"/>
      <c r="H13" s="10"/>
      <c r="I13" s="10"/>
      <c r="J13" s="10"/>
      <c r="K13" s="10"/>
      <c r="L13" s="10"/>
      <c r="M13" s="10"/>
      <c r="R13" s="10"/>
      <c r="S13" s="10"/>
      <c r="T13" s="10"/>
      <c r="U13" s="10"/>
      <c r="V13" s="10"/>
      <c r="W13" s="10"/>
      <c r="X13" s="10"/>
      <c r="Y13" s="10"/>
    </row>
    <row r="14" spans="1:25" x14ac:dyDescent="0.3">
      <c r="C14" t="s">
        <v>95</v>
      </c>
      <c r="D14" s="10">
        <f>'d88 #1'!D79</f>
        <v>3.1</v>
      </c>
      <c r="E14" s="10">
        <f>'d131 #1'!D79</f>
        <v>3.3</v>
      </c>
      <c r="F14" s="10"/>
      <c r="G14" s="10"/>
      <c r="H14" s="10"/>
      <c r="I14" s="10"/>
      <c r="J14" s="10"/>
      <c r="K14" s="10"/>
      <c r="L14" s="10"/>
      <c r="M14" s="10"/>
      <c r="R14" s="10"/>
      <c r="S14" s="10"/>
      <c r="T14" s="10"/>
      <c r="U14" s="10"/>
      <c r="V14" s="10"/>
      <c r="W14" s="10"/>
      <c r="X14" s="10"/>
      <c r="Y14" s="10"/>
    </row>
    <row r="15" spans="1:25" x14ac:dyDescent="0.3">
      <c r="B15" s="9" t="s">
        <v>91</v>
      </c>
      <c r="C15" t="s">
        <v>93</v>
      </c>
      <c r="D15" s="11"/>
      <c r="E15" s="11"/>
      <c r="F15" s="11"/>
      <c r="G15" s="11"/>
      <c r="H15" s="11"/>
      <c r="I15" s="11"/>
      <c r="J15" s="11"/>
      <c r="K15" s="11"/>
      <c r="L15" s="11"/>
      <c r="M15" s="11"/>
      <c r="R15" s="11"/>
      <c r="S15" s="11"/>
      <c r="T15" s="11"/>
      <c r="U15" s="11"/>
      <c r="V15" s="11"/>
      <c r="W15" s="11"/>
      <c r="X15" s="11"/>
      <c r="Y15" s="11"/>
    </row>
    <row r="16" spans="1:25" x14ac:dyDescent="0.3">
      <c r="C16" t="s">
        <v>94</v>
      </c>
      <c r="D16" s="11"/>
      <c r="E16" s="11"/>
      <c r="F16" s="11"/>
      <c r="G16" s="11"/>
      <c r="H16" s="11"/>
      <c r="I16" s="11"/>
      <c r="J16" s="11"/>
      <c r="K16" s="11"/>
      <c r="L16" s="11"/>
      <c r="M16" s="11"/>
      <c r="R16" s="11"/>
      <c r="S16" s="11"/>
      <c r="T16" s="11"/>
      <c r="U16" s="11"/>
      <c r="V16" s="11"/>
      <c r="W16" s="11"/>
      <c r="X16" s="11"/>
      <c r="Y16" s="11"/>
    </row>
    <row r="17" spans="1:25" x14ac:dyDescent="0.3">
      <c r="C17" t="s">
        <v>95</v>
      </c>
      <c r="D17" s="11"/>
      <c r="E17" s="11"/>
      <c r="F17" s="11"/>
      <c r="G17" s="11"/>
      <c r="H17" s="11"/>
      <c r="I17" s="11"/>
      <c r="J17" s="11"/>
      <c r="K17" s="11"/>
      <c r="L17" s="11"/>
      <c r="M17" s="11"/>
      <c r="R17" s="11"/>
      <c r="S17" s="11"/>
      <c r="T17" s="11"/>
      <c r="U17" s="11"/>
      <c r="V17" s="11"/>
      <c r="W17" s="11"/>
      <c r="X17" s="11"/>
      <c r="Y17" s="11"/>
    </row>
    <row r="18" spans="1:25" x14ac:dyDescent="0.3">
      <c r="B18" t="s">
        <v>99</v>
      </c>
      <c r="C18" t="s">
        <v>93</v>
      </c>
    </row>
    <row r="19" spans="1:25" x14ac:dyDescent="0.3">
      <c r="C19" t="s">
        <v>94</v>
      </c>
    </row>
    <row r="20" spans="1:25" x14ac:dyDescent="0.3">
      <c r="C20" t="s">
        <v>95</v>
      </c>
    </row>
    <row r="21" spans="1:25" x14ac:dyDescent="0.3">
      <c r="A21" s="5" t="s">
        <v>98</v>
      </c>
      <c r="B21" s="8" t="s">
        <v>92</v>
      </c>
      <c r="C21" t="s">
        <v>93</v>
      </c>
      <c r="D21" s="10">
        <f>'d88 #1'!D92</f>
        <v>3.0999999999999996</v>
      </c>
      <c r="E21" s="10">
        <f>'d131 #1'!D92</f>
        <v>3</v>
      </c>
      <c r="F21" s="10"/>
      <c r="G21" s="10"/>
      <c r="H21" s="10"/>
      <c r="I21" s="10"/>
      <c r="J21" s="10"/>
      <c r="K21" s="10"/>
      <c r="L21" s="10"/>
      <c r="M21" s="10"/>
      <c r="N21" s="10"/>
      <c r="O21" s="10"/>
      <c r="P21" s="10"/>
      <c r="Q21" s="10"/>
      <c r="R21" s="10"/>
      <c r="S21" s="10"/>
      <c r="T21" s="10"/>
      <c r="U21" s="10"/>
      <c r="V21" s="10"/>
      <c r="W21" s="10"/>
      <c r="X21" s="10"/>
      <c r="Y21" s="10"/>
    </row>
    <row r="22" spans="1:25" x14ac:dyDescent="0.3">
      <c r="C22" t="s">
        <v>94</v>
      </c>
      <c r="D22" s="10">
        <f>'d88 #1'!D105</f>
        <v>3.0999999999999996</v>
      </c>
      <c r="E22" s="10">
        <f>'d131 #1'!D105</f>
        <v>3.1</v>
      </c>
      <c r="F22" s="10"/>
      <c r="G22" s="10"/>
      <c r="H22" s="10"/>
      <c r="I22" s="10"/>
      <c r="J22" s="10"/>
      <c r="K22" s="10"/>
      <c r="L22" s="10"/>
      <c r="M22" s="10"/>
      <c r="N22" s="10"/>
      <c r="O22" s="10"/>
      <c r="P22" s="10"/>
      <c r="Q22" s="10"/>
      <c r="R22" s="10"/>
      <c r="S22" s="10"/>
      <c r="T22" s="10"/>
      <c r="U22" s="10"/>
      <c r="V22" s="10"/>
      <c r="W22" s="10"/>
      <c r="X22" s="10"/>
      <c r="Y22" s="10"/>
    </row>
    <row r="23" spans="1:25" x14ac:dyDescent="0.3">
      <c r="C23" t="s">
        <v>95</v>
      </c>
      <c r="D23" s="10">
        <f>'d88 #1'!D118</f>
        <v>3.05</v>
      </c>
      <c r="E23" s="10">
        <f>'d131 #1'!D118</f>
        <v>3.0999999999999996</v>
      </c>
      <c r="F23" s="10"/>
      <c r="G23" s="10"/>
      <c r="H23" s="10"/>
      <c r="I23" s="10"/>
      <c r="J23" s="10"/>
      <c r="K23" s="10"/>
      <c r="L23" s="10"/>
      <c r="M23" s="10"/>
      <c r="N23" s="10"/>
      <c r="O23" s="10"/>
      <c r="P23" s="10"/>
      <c r="Q23" s="10"/>
      <c r="R23" s="10"/>
      <c r="S23" s="10"/>
      <c r="T23" s="10"/>
      <c r="U23" s="10"/>
      <c r="V23" s="10"/>
      <c r="W23" s="10"/>
      <c r="X23" s="10"/>
      <c r="Y23" s="10"/>
    </row>
    <row r="24" spans="1:25" x14ac:dyDescent="0.3">
      <c r="B24" s="9" t="s">
        <v>91</v>
      </c>
      <c r="C24" t="s">
        <v>93</v>
      </c>
      <c r="D24" s="11"/>
      <c r="E24" s="11"/>
      <c r="F24" s="11"/>
      <c r="G24" s="11"/>
      <c r="H24" s="11"/>
      <c r="I24" s="11"/>
      <c r="J24" s="11"/>
      <c r="K24" s="11"/>
      <c r="L24" s="11"/>
      <c r="M24" s="11"/>
      <c r="N24" s="11"/>
      <c r="O24" s="11"/>
      <c r="P24" s="11"/>
      <c r="Q24" s="11"/>
      <c r="R24" s="11"/>
      <c r="S24" s="11"/>
      <c r="T24" s="11"/>
      <c r="U24" s="11"/>
      <c r="V24" s="11"/>
      <c r="W24" s="11"/>
      <c r="X24" s="11"/>
      <c r="Y24" s="11"/>
    </row>
    <row r="25" spans="1:25" x14ac:dyDescent="0.3">
      <c r="C25" t="s">
        <v>94</v>
      </c>
      <c r="D25" s="11"/>
      <c r="E25" s="11"/>
      <c r="F25" s="11"/>
      <c r="G25" s="11"/>
      <c r="H25" s="11"/>
      <c r="I25" s="11"/>
      <c r="J25" s="11"/>
      <c r="K25" s="11"/>
      <c r="L25" s="11"/>
      <c r="M25" s="11"/>
      <c r="N25" s="11"/>
      <c r="O25" s="11"/>
      <c r="P25" s="11"/>
      <c r="Q25" s="11"/>
      <c r="R25" s="11"/>
      <c r="S25" s="11"/>
      <c r="T25" s="11"/>
      <c r="U25" s="11"/>
      <c r="V25" s="11"/>
      <c r="W25" s="11"/>
      <c r="X25" s="11"/>
      <c r="Y25" s="11"/>
    </row>
    <row r="26" spans="1:25" x14ac:dyDescent="0.3">
      <c r="C26" t="s">
        <v>95</v>
      </c>
      <c r="D26" s="11"/>
      <c r="E26" s="11"/>
      <c r="F26" s="11"/>
      <c r="G26" s="11"/>
      <c r="H26" s="11"/>
      <c r="I26" s="11"/>
      <c r="J26" s="11"/>
      <c r="K26" s="11"/>
      <c r="L26" s="11"/>
      <c r="M26" s="11"/>
      <c r="N26" s="11"/>
      <c r="O26" s="11"/>
      <c r="P26" s="11"/>
      <c r="Q26" s="11"/>
      <c r="R26" s="11"/>
      <c r="S26" s="11"/>
      <c r="T26" s="11"/>
      <c r="U26" s="11"/>
      <c r="V26" s="11"/>
      <c r="W26" s="11"/>
      <c r="X26" s="11"/>
      <c r="Y26" s="11"/>
    </row>
    <row r="27" spans="1:25" x14ac:dyDescent="0.3">
      <c r="B27" t="s">
        <v>99</v>
      </c>
      <c r="C27" t="s">
        <v>93</v>
      </c>
    </row>
    <row r="28" spans="1:25" x14ac:dyDescent="0.3">
      <c r="C28" t="s">
        <v>94</v>
      </c>
    </row>
    <row r="29" spans="1:25" x14ac:dyDescent="0.3">
      <c r="C29" t="s">
        <v>95</v>
      </c>
    </row>
    <row r="31" spans="1:25" x14ac:dyDescent="0.3">
      <c r="A31" t="s">
        <v>96</v>
      </c>
    </row>
    <row r="32" spans="1:25" x14ac:dyDescent="0.3">
      <c r="A32" t="s">
        <v>97</v>
      </c>
    </row>
    <row r="33" spans="1:1" x14ac:dyDescent="0.3">
      <c r="A33" t="s">
        <v>98</v>
      </c>
    </row>
    <row r="35" spans="1:1" x14ac:dyDescent="0.3">
      <c r="A35" t="s">
        <v>93</v>
      </c>
    </row>
    <row r="36" spans="1:1" x14ac:dyDescent="0.3">
      <c r="A36" t="s">
        <v>94</v>
      </c>
    </row>
    <row r="37" spans="1:1" x14ac:dyDescent="0.3">
      <c r="A37" t="s">
        <v>95</v>
      </c>
    </row>
  </sheetData>
  <mergeCells count="6">
    <mergeCell ref="V1:Y1"/>
    <mergeCell ref="D1:E1"/>
    <mergeCell ref="F1:I1"/>
    <mergeCell ref="J1:M1"/>
    <mergeCell ref="N1:Q1"/>
    <mergeCell ref="R1:U1"/>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0AAA2-2247-4D64-B955-D76F2C3D2B75}">
  <dimension ref="A1:G130"/>
  <sheetViews>
    <sheetView zoomScale="90" zoomScaleNormal="90" workbookViewId="0">
      <selection activeCell="A51" sqref="A51"/>
    </sheetView>
  </sheetViews>
  <sheetFormatPr defaultRowHeight="14.4" x14ac:dyDescent="0.3"/>
  <cols>
    <col min="1" max="1" width="75.77734375" bestFit="1" customWidth="1"/>
    <col min="2" max="2" width="6.77734375" bestFit="1" customWidth="1"/>
    <col min="3" max="3" width="10.21875" bestFit="1" customWidth="1"/>
    <col min="4" max="4" width="13.88671875" bestFit="1" customWidth="1"/>
  </cols>
  <sheetData>
    <row r="1" spans="1:7" x14ac:dyDescent="0.3">
      <c r="A1" s="2" t="s">
        <v>4</v>
      </c>
      <c r="B1" s="5">
        <f>B5*5 + B6*5 +B7*5+B8*5+B9*5+B10*5+B11*5+B12*5+B13*5</f>
        <v>5</v>
      </c>
    </row>
    <row r="2" spans="1:7" x14ac:dyDescent="0.3">
      <c r="F2" s="2" t="s">
        <v>2</v>
      </c>
      <c r="G2" s="7" t="s">
        <v>85</v>
      </c>
    </row>
    <row r="3" spans="1:7" x14ac:dyDescent="0.3">
      <c r="A3" t="s">
        <v>100</v>
      </c>
      <c r="G3" s="7" t="s">
        <v>5</v>
      </c>
    </row>
    <row r="4" spans="1:7" x14ac:dyDescent="0.3">
      <c r="A4" s="1" t="s">
        <v>0</v>
      </c>
      <c r="B4" s="1" t="s">
        <v>1</v>
      </c>
      <c r="C4" s="1" t="s">
        <v>151</v>
      </c>
      <c r="D4" s="1" t="s">
        <v>3</v>
      </c>
      <c r="G4" s="7" t="s">
        <v>6</v>
      </c>
    </row>
    <row r="5" spans="1:7" x14ac:dyDescent="0.3">
      <c r="A5" t="s">
        <v>155</v>
      </c>
      <c r="B5" s="3">
        <v>0.15</v>
      </c>
      <c r="C5">
        <v>3</v>
      </c>
      <c r="D5">
        <f>C5*B5</f>
        <v>0.44999999999999996</v>
      </c>
      <c r="G5" s="7" t="s">
        <v>7</v>
      </c>
    </row>
    <row r="6" spans="1:7" x14ac:dyDescent="0.3">
      <c r="A6" t="s">
        <v>152</v>
      </c>
      <c r="B6" s="3">
        <v>0.1</v>
      </c>
      <c r="C6">
        <v>2</v>
      </c>
      <c r="D6">
        <f t="shared" ref="D6:D12" si="0">C6*B6</f>
        <v>0.2</v>
      </c>
      <c r="G6" s="7" t="s">
        <v>8</v>
      </c>
    </row>
    <row r="7" spans="1:7" x14ac:dyDescent="0.3">
      <c r="A7" t="s">
        <v>156</v>
      </c>
      <c r="B7" s="3">
        <v>0.1</v>
      </c>
      <c r="C7">
        <v>3</v>
      </c>
      <c r="D7">
        <f t="shared" si="0"/>
        <v>0.30000000000000004</v>
      </c>
      <c r="G7" s="7" t="s">
        <v>9</v>
      </c>
    </row>
    <row r="8" spans="1:7" x14ac:dyDescent="0.3">
      <c r="A8" t="s">
        <v>89</v>
      </c>
      <c r="B8" s="3">
        <v>0.15</v>
      </c>
      <c r="C8">
        <v>2</v>
      </c>
      <c r="D8">
        <f t="shared" si="0"/>
        <v>0.3</v>
      </c>
      <c r="G8" s="7" t="s">
        <v>10</v>
      </c>
    </row>
    <row r="9" spans="1:7" x14ac:dyDescent="0.3">
      <c r="A9" t="s">
        <v>88</v>
      </c>
      <c r="B9" s="3">
        <v>0.15</v>
      </c>
      <c r="C9">
        <v>2</v>
      </c>
      <c r="D9">
        <f t="shared" si="0"/>
        <v>0.3</v>
      </c>
      <c r="G9" s="7" t="s">
        <v>11</v>
      </c>
    </row>
    <row r="10" spans="1:7" x14ac:dyDescent="0.3">
      <c r="A10" t="s">
        <v>153</v>
      </c>
      <c r="B10" s="3">
        <v>0.05</v>
      </c>
      <c r="C10">
        <v>4</v>
      </c>
      <c r="D10">
        <f t="shared" si="0"/>
        <v>0.2</v>
      </c>
      <c r="G10" s="7" t="s">
        <v>12</v>
      </c>
    </row>
    <row r="11" spans="1:7" x14ac:dyDescent="0.3">
      <c r="A11" t="s">
        <v>154</v>
      </c>
      <c r="B11" s="3">
        <v>0.05</v>
      </c>
      <c r="C11">
        <v>4</v>
      </c>
      <c r="D11">
        <f t="shared" si="0"/>
        <v>0.2</v>
      </c>
      <c r="G11" s="7" t="s">
        <v>13</v>
      </c>
    </row>
    <row r="12" spans="1:7" x14ac:dyDescent="0.3">
      <c r="A12" t="s">
        <v>87</v>
      </c>
      <c r="B12" s="3">
        <v>0.1</v>
      </c>
      <c r="C12">
        <v>3</v>
      </c>
      <c r="D12">
        <f t="shared" si="0"/>
        <v>0.30000000000000004</v>
      </c>
      <c r="G12" s="7" t="s">
        <v>14</v>
      </c>
    </row>
    <row r="13" spans="1:7" x14ac:dyDescent="0.3">
      <c r="A13" t="s">
        <v>86</v>
      </c>
      <c r="B13" s="3">
        <v>0.15</v>
      </c>
      <c r="C13">
        <v>3</v>
      </c>
      <c r="D13">
        <f>C13*B13</f>
        <v>0.44999999999999996</v>
      </c>
    </row>
    <row r="14" spans="1:7" ht="15" thickBot="1" x14ac:dyDescent="0.35">
      <c r="B14" s="4">
        <f>SUM(B5:B13)</f>
        <v>1</v>
      </c>
      <c r="D14" s="6">
        <f>SUM(D5:D13)</f>
        <v>2.7</v>
      </c>
      <c r="G14" s="7" t="s">
        <v>15</v>
      </c>
    </row>
    <row r="15" spans="1:7" ht="15" thickTop="1" x14ac:dyDescent="0.3">
      <c r="G15" s="7" t="s">
        <v>16</v>
      </c>
    </row>
    <row r="16" spans="1:7" x14ac:dyDescent="0.3">
      <c r="A16" t="s">
        <v>101</v>
      </c>
      <c r="G16" s="7" t="s">
        <v>17</v>
      </c>
    </row>
    <row r="17" spans="1:7" x14ac:dyDescent="0.3">
      <c r="A17" s="1" t="s">
        <v>0</v>
      </c>
      <c r="B17" s="1" t="s">
        <v>1</v>
      </c>
      <c r="C17" s="1" t="s">
        <v>151</v>
      </c>
      <c r="D17" s="1" t="s">
        <v>3</v>
      </c>
      <c r="G17" s="7" t="s">
        <v>18</v>
      </c>
    </row>
    <row r="18" spans="1:7" x14ac:dyDescent="0.3">
      <c r="A18" t="s">
        <v>155</v>
      </c>
      <c r="B18" s="3">
        <v>0.15</v>
      </c>
      <c r="C18">
        <v>3</v>
      </c>
      <c r="D18">
        <f>C18*B18</f>
        <v>0.44999999999999996</v>
      </c>
      <c r="G18" s="7" t="s">
        <v>19</v>
      </c>
    </row>
    <row r="19" spans="1:7" x14ac:dyDescent="0.3">
      <c r="A19" t="s">
        <v>152</v>
      </c>
      <c r="B19" s="3">
        <v>0.1</v>
      </c>
      <c r="C19">
        <v>3</v>
      </c>
      <c r="D19">
        <f t="shared" ref="D19:D25" si="1">C19*B19</f>
        <v>0.30000000000000004</v>
      </c>
      <c r="G19" s="7" t="s">
        <v>20</v>
      </c>
    </row>
    <row r="20" spans="1:7" x14ac:dyDescent="0.3">
      <c r="A20" t="s">
        <v>156</v>
      </c>
      <c r="B20" s="3">
        <v>0.1</v>
      </c>
      <c r="C20">
        <v>3</v>
      </c>
      <c r="D20">
        <f t="shared" si="1"/>
        <v>0.30000000000000004</v>
      </c>
      <c r="G20" s="7" t="s">
        <v>21</v>
      </c>
    </row>
    <row r="21" spans="1:7" x14ac:dyDescent="0.3">
      <c r="A21" t="s">
        <v>89</v>
      </c>
      <c r="B21" s="3">
        <v>0.15</v>
      </c>
      <c r="C21">
        <v>2</v>
      </c>
      <c r="D21">
        <f t="shared" si="1"/>
        <v>0.3</v>
      </c>
      <c r="G21" s="7" t="s">
        <v>22</v>
      </c>
    </row>
    <row r="22" spans="1:7" x14ac:dyDescent="0.3">
      <c r="A22" t="s">
        <v>88</v>
      </c>
      <c r="B22" s="3">
        <v>0.15</v>
      </c>
      <c r="C22">
        <v>2</v>
      </c>
      <c r="D22">
        <f t="shared" si="1"/>
        <v>0.3</v>
      </c>
      <c r="G22" s="7" t="s">
        <v>23</v>
      </c>
    </row>
    <row r="23" spans="1:7" x14ac:dyDescent="0.3">
      <c r="A23" t="s">
        <v>153</v>
      </c>
      <c r="B23" s="3">
        <v>0.05</v>
      </c>
      <c r="C23">
        <v>4</v>
      </c>
      <c r="D23">
        <f t="shared" si="1"/>
        <v>0.2</v>
      </c>
      <c r="G23" s="7" t="s">
        <v>17</v>
      </c>
    </row>
    <row r="24" spans="1:7" x14ac:dyDescent="0.3">
      <c r="A24" t="s">
        <v>154</v>
      </c>
      <c r="B24" s="3">
        <v>0.05</v>
      </c>
      <c r="C24">
        <v>4</v>
      </c>
      <c r="D24">
        <f t="shared" si="1"/>
        <v>0.2</v>
      </c>
      <c r="G24" s="7" t="s">
        <v>24</v>
      </c>
    </row>
    <row r="25" spans="1:7" x14ac:dyDescent="0.3">
      <c r="A25" t="s">
        <v>87</v>
      </c>
      <c r="B25" s="3">
        <v>0.1</v>
      </c>
      <c r="C25">
        <v>4</v>
      </c>
      <c r="D25">
        <f t="shared" si="1"/>
        <v>0.4</v>
      </c>
      <c r="G25" s="7" t="s">
        <v>25</v>
      </c>
    </row>
    <row r="26" spans="1:7" x14ac:dyDescent="0.3">
      <c r="A26" t="s">
        <v>86</v>
      </c>
      <c r="B26" s="3">
        <v>0.15</v>
      </c>
      <c r="C26">
        <v>3</v>
      </c>
      <c r="D26">
        <f>C26*B26</f>
        <v>0.44999999999999996</v>
      </c>
      <c r="G26" s="7" t="s">
        <v>26</v>
      </c>
    </row>
    <row r="27" spans="1:7" ht="15" thickBot="1" x14ac:dyDescent="0.35">
      <c r="B27" s="4">
        <f>SUM(B18:B26)</f>
        <v>1</v>
      </c>
      <c r="D27" s="6">
        <f>SUM(D18:D26)</f>
        <v>2.9000000000000004</v>
      </c>
      <c r="G27" s="7" t="s">
        <v>27</v>
      </c>
    </row>
    <row r="28" spans="1:7" ht="15" thickTop="1" x14ac:dyDescent="0.3">
      <c r="G28" s="7" t="s">
        <v>28</v>
      </c>
    </row>
    <row r="29" spans="1:7" x14ac:dyDescent="0.3">
      <c r="A29" t="s">
        <v>102</v>
      </c>
      <c r="G29" s="7" t="s">
        <v>29</v>
      </c>
    </row>
    <row r="30" spans="1:7" x14ac:dyDescent="0.3">
      <c r="A30" s="1" t="s">
        <v>0</v>
      </c>
      <c r="B30" s="1" t="s">
        <v>1</v>
      </c>
      <c r="C30" s="1" t="s">
        <v>151</v>
      </c>
      <c r="D30" s="1" t="s">
        <v>3</v>
      </c>
      <c r="G30" s="7" t="s">
        <v>30</v>
      </c>
    </row>
    <row r="31" spans="1:7" x14ac:dyDescent="0.3">
      <c r="A31" t="s">
        <v>155</v>
      </c>
      <c r="B31" s="3">
        <v>0.15</v>
      </c>
      <c r="C31">
        <v>3</v>
      </c>
      <c r="D31">
        <f>C31*B31</f>
        <v>0.44999999999999996</v>
      </c>
      <c r="G31" s="7" t="s">
        <v>31</v>
      </c>
    </row>
    <row r="32" spans="1:7" x14ac:dyDescent="0.3">
      <c r="A32" t="s">
        <v>152</v>
      </c>
      <c r="B32" s="3">
        <v>0.1</v>
      </c>
      <c r="C32">
        <v>2</v>
      </c>
      <c r="D32">
        <f t="shared" ref="D32:D38" si="2">C32*B32</f>
        <v>0.2</v>
      </c>
      <c r="G32" s="7" t="s">
        <v>32</v>
      </c>
    </row>
    <row r="33" spans="1:7" x14ac:dyDescent="0.3">
      <c r="A33" t="s">
        <v>156</v>
      </c>
      <c r="B33" s="3">
        <v>0.1</v>
      </c>
      <c r="C33">
        <v>3</v>
      </c>
      <c r="D33">
        <f t="shared" si="2"/>
        <v>0.30000000000000004</v>
      </c>
      <c r="G33" s="7" t="s">
        <v>33</v>
      </c>
    </row>
    <row r="34" spans="1:7" x14ac:dyDescent="0.3">
      <c r="A34" t="s">
        <v>89</v>
      </c>
      <c r="B34" s="3">
        <v>0.15</v>
      </c>
      <c r="C34">
        <v>3</v>
      </c>
      <c r="D34">
        <f t="shared" si="2"/>
        <v>0.44999999999999996</v>
      </c>
      <c r="G34" s="7" t="s">
        <v>17</v>
      </c>
    </row>
    <row r="35" spans="1:7" x14ac:dyDescent="0.3">
      <c r="A35" t="s">
        <v>88</v>
      </c>
      <c r="B35" s="3">
        <v>0.15</v>
      </c>
      <c r="C35">
        <v>2</v>
      </c>
      <c r="D35">
        <f t="shared" si="2"/>
        <v>0.3</v>
      </c>
      <c r="G35" s="7" t="s">
        <v>34</v>
      </c>
    </row>
    <row r="36" spans="1:7" x14ac:dyDescent="0.3">
      <c r="A36" t="s">
        <v>153</v>
      </c>
      <c r="B36" s="3">
        <v>0.05</v>
      </c>
      <c r="C36">
        <v>4</v>
      </c>
      <c r="D36">
        <f t="shared" si="2"/>
        <v>0.2</v>
      </c>
      <c r="G36" s="7" t="s">
        <v>35</v>
      </c>
    </row>
    <row r="37" spans="1:7" x14ac:dyDescent="0.3">
      <c r="A37" t="s">
        <v>154</v>
      </c>
      <c r="B37" s="3">
        <v>0.05</v>
      </c>
      <c r="C37">
        <v>3</v>
      </c>
      <c r="D37">
        <f t="shared" si="2"/>
        <v>0.15000000000000002</v>
      </c>
      <c r="G37" s="7" t="s">
        <v>36</v>
      </c>
    </row>
    <row r="38" spans="1:7" x14ac:dyDescent="0.3">
      <c r="A38" t="s">
        <v>87</v>
      </c>
      <c r="B38" s="3">
        <v>0.1</v>
      </c>
      <c r="C38">
        <v>4</v>
      </c>
      <c r="D38">
        <f t="shared" si="2"/>
        <v>0.4</v>
      </c>
      <c r="G38" s="7" t="s">
        <v>37</v>
      </c>
    </row>
    <row r="39" spans="1:7" x14ac:dyDescent="0.3">
      <c r="A39" t="s">
        <v>86</v>
      </c>
      <c r="B39" s="3">
        <v>0.15</v>
      </c>
      <c r="C39">
        <v>3</v>
      </c>
      <c r="D39">
        <f>C39*B39</f>
        <v>0.44999999999999996</v>
      </c>
      <c r="G39" s="7" t="s">
        <v>38</v>
      </c>
    </row>
    <row r="40" spans="1:7" ht="15" thickBot="1" x14ac:dyDescent="0.35">
      <c r="B40" s="4">
        <f>SUM(B31:B39)</f>
        <v>1</v>
      </c>
      <c r="D40" s="6">
        <f>SUM(D31:D39)</f>
        <v>2.8999999999999995</v>
      </c>
      <c r="G40" s="7" t="s">
        <v>39</v>
      </c>
    </row>
    <row r="41" spans="1:7" ht="15" thickTop="1" x14ac:dyDescent="0.3">
      <c r="G41" s="7" t="s">
        <v>16</v>
      </c>
    </row>
    <row r="42" spans="1:7" x14ac:dyDescent="0.3">
      <c r="A42" t="s">
        <v>103</v>
      </c>
      <c r="G42" s="7" t="s">
        <v>17</v>
      </c>
    </row>
    <row r="43" spans="1:7" x14ac:dyDescent="0.3">
      <c r="A43" s="1" t="s">
        <v>0</v>
      </c>
      <c r="B43" s="1" t="s">
        <v>1</v>
      </c>
      <c r="C43" s="1" t="s">
        <v>151</v>
      </c>
      <c r="D43" s="1" t="s">
        <v>3</v>
      </c>
      <c r="G43" s="7" t="s">
        <v>40</v>
      </c>
    </row>
    <row r="44" spans="1:7" x14ac:dyDescent="0.3">
      <c r="A44" t="s">
        <v>155</v>
      </c>
      <c r="B44" s="3">
        <v>0.15</v>
      </c>
      <c r="C44">
        <v>3</v>
      </c>
      <c r="D44">
        <f>C44*B44</f>
        <v>0.44999999999999996</v>
      </c>
      <c r="G44" s="7" t="s">
        <v>41</v>
      </c>
    </row>
    <row r="45" spans="1:7" x14ac:dyDescent="0.3">
      <c r="A45" t="s">
        <v>152</v>
      </c>
      <c r="B45" s="3">
        <v>0.1</v>
      </c>
      <c r="C45">
        <v>3</v>
      </c>
      <c r="D45">
        <f t="shared" ref="D45:D51" si="3">C45*B45</f>
        <v>0.30000000000000004</v>
      </c>
      <c r="G45" s="7" t="s">
        <v>42</v>
      </c>
    </row>
    <row r="46" spans="1:7" x14ac:dyDescent="0.3">
      <c r="A46" t="s">
        <v>156</v>
      </c>
      <c r="B46" s="3">
        <v>0.1</v>
      </c>
      <c r="C46">
        <v>3</v>
      </c>
      <c r="D46">
        <f t="shared" si="3"/>
        <v>0.30000000000000004</v>
      </c>
      <c r="G46" s="7" t="s">
        <v>43</v>
      </c>
    </row>
    <row r="47" spans="1:7" x14ac:dyDescent="0.3">
      <c r="A47" t="s">
        <v>89</v>
      </c>
      <c r="B47" s="3">
        <v>0.15</v>
      </c>
      <c r="C47">
        <v>3</v>
      </c>
      <c r="D47">
        <f t="shared" si="3"/>
        <v>0.44999999999999996</v>
      </c>
      <c r="G47" s="7" t="s">
        <v>44</v>
      </c>
    </row>
    <row r="48" spans="1:7" x14ac:dyDescent="0.3">
      <c r="A48" t="s">
        <v>88</v>
      </c>
      <c r="B48" s="3">
        <v>0.15</v>
      </c>
      <c r="C48">
        <v>4</v>
      </c>
      <c r="D48">
        <f t="shared" si="3"/>
        <v>0.6</v>
      </c>
      <c r="G48" s="7" t="s">
        <v>29</v>
      </c>
    </row>
    <row r="49" spans="1:7" x14ac:dyDescent="0.3">
      <c r="A49" t="s">
        <v>153</v>
      </c>
      <c r="B49" s="3">
        <v>0.05</v>
      </c>
      <c r="C49">
        <v>4</v>
      </c>
      <c r="D49">
        <f t="shared" si="3"/>
        <v>0.2</v>
      </c>
      <c r="G49" s="7" t="s">
        <v>45</v>
      </c>
    </row>
    <row r="50" spans="1:7" x14ac:dyDescent="0.3">
      <c r="A50" t="s">
        <v>154</v>
      </c>
      <c r="B50" s="3">
        <v>0.05</v>
      </c>
      <c r="C50">
        <v>4</v>
      </c>
      <c r="D50">
        <f t="shared" si="3"/>
        <v>0.2</v>
      </c>
      <c r="G50" s="7" t="s">
        <v>46</v>
      </c>
    </row>
    <row r="51" spans="1:7" x14ac:dyDescent="0.3">
      <c r="A51" t="s">
        <v>87</v>
      </c>
      <c r="B51" s="3">
        <v>0.1</v>
      </c>
      <c r="C51">
        <v>3</v>
      </c>
      <c r="D51">
        <f t="shared" si="3"/>
        <v>0.30000000000000004</v>
      </c>
      <c r="G51" s="7" t="s">
        <v>47</v>
      </c>
    </row>
    <row r="52" spans="1:7" x14ac:dyDescent="0.3">
      <c r="A52" t="s">
        <v>86</v>
      </c>
      <c r="B52" s="3">
        <v>0.15</v>
      </c>
      <c r="C52">
        <v>3</v>
      </c>
      <c r="D52">
        <f>C52*B52</f>
        <v>0.44999999999999996</v>
      </c>
      <c r="G52" s="7" t="s">
        <v>48</v>
      </c>
    </row>
    <row r="53" spans="1:7" ht="15" thickBot="1" x14ac:dyDescent="0.35">
      <c r="B53" s="4">
        <f>SUM(B44:B52)</f>
        <v>1</v>
      </c>
      <c r="D53" s="6">
        <f>SUM(D44:D52)</f>
        <v>3.2500000000000009</v>
      </c>
      <c r="G53" s="7" t="s">
        <v>16</v>
      </c>
    </row>
    <row r="54" spans="1:7" ht="15" thickTop="1" x14ac:dyDescent="0.3">
      <c r="G54" s="7" t="s">
        <v>17</v>
      </c>
    </row>
    <row r="55" spans="1:7" x14ac:dyDescent="0.3">
      <c r="A55" t="s">
        <v>104</v>
      </c>
      <c r="G55" s="7" t="s">
        <v>49</v>
      </c>
    </row>
    <row r="56" spans="1:7" x14ac:dyDescent="0.3">
      <c r="A56" s="1" t="s">
        <v>0</v>
      </c>
      <c r="B56" s="1" t="s">
        <v>1</v>
      </c>
      <c r="C56" s="1" t="s">
        <v>151</v>
      </c>
      <c r="D56" s="1" t="s">
        <v>3</v>
      </c>
      <c r="G56" s="7" t="s">
        <v>50</v>
      </c>
    </row>
    <row r="57" spans="1:7" x14ac:dyDescent="0.3">
      <c r="A57" t="s">
        <v>155</v>
      </c>
      <c r="B57" s="3">
        <v>0.15</v>
      </c>
      <c r="C57">
        <v>3</v>
      </c>
      <c r="D57">
        <f>C57*B57</f>
        <v>0.44999999999999996</v>
      </c>
      <c r="G57" s="7" t="s">
        <v>51</v>
      </c>
    </row>
    <row r="58" spans="1:7" x14ac:dyDescent="0.3">
      <c r="A58" t="s">
        <v>152</v>
      </c>
      <c r="B58" s="3">
        <v>0.1</v>
      </c>
      <c r="C58">
        <v>3</v>
      </c>
      <c r="D58">
        <f>C58*B58</f>
        <v>0.30000000000000004</v>
      </c>
      <c r="G58" s="7" t="s">
        <v>52</v>
      </c>
    </row>
    <row r="59" spans="1:7" x14ac:dyDescent="0.3">
      <c r="A59" t="s">
        <v>156</v>
      </c>
      <c r="B59" s="3">
        <v>0.1</v>
      </c>
      <c r="C59">
        <v>3</v>
      </c>
      <c r="D59">
        <f>C59*B59</f>
        <v>0.30000000000000004</v>
      </c>
      <c r="G59" s="7" t="s">
        <v>53</v>
      </c>
    </row>
    <row r="60" spans="1:7" x14ac:dyDescent="0.3">
      <c r="A60" t="s">
        <v>89</v>
      </c>
      <c r="B60" s="3">
        <v>0.15</v>
      </c>
      <c r="C60">
        <v>3</v>
      </c>
      <c r="D60">
        <f>C60*B60</f>
        <v>0.44999999999999996</v>
      </c>
      <c r="G60" s="7" t="s">
        <v>54</v>
      </c>
    </row>
    <row r="61" spans="1:7" x14ac:dyDescent="0.3">
      <c r="A61" t="s">
        <v>88</v>
      </c>
      <c r="B61" s="3">
        <v>0.15</v>
      </c>
      <c r="C61">
        <v>2</v>
      </c>
      <c r="D61">
        <f>C61*B61</f>
        <v>0.3</v>
      </c>
      <c r="G61" s="7" t="s">
        <v>29</v>
      </c>
    </row>
    <row r="62" spans="1:7" x14ac:dyDescent="0.3">
      <c r="A62" t="s">
        <v>153</v>
      </c>
      <c r="B62" s="3">
        <v>0.05</v>
      </c>
      <c r="C62">
        <v>4</v>
      </c>
      <c r="D62">
        <f>C62*B62</f>
        <v>0.2</v>
      </c>
      <c r="G62" s="7" t="s">
        <v>55</v>
      </c>
    </row>
    <row r="63" spans="1:7" x14ac:dyDescent="0.3">
      <c r="A63" t="s">
        <v>154</v>
      </c>
      <c r="B63" s="3">
        <v>0.05</v>
      </c>
      <c r="C63">
        <v>3</v>
      </c>
      <c r="D63">
        <f>C63*B63</f>
        <v>0.15000000000000002</v>
      </c>
      <c r="G63" s="7" t="s">
        <v>56</v>
      </c>
    </row>
    <row r="64" spans="1:7" x14ac:dyDescent="0.3">
      <c r="A64" t="s">
        <v>87</v>
      </c>
      <c r="B64" s="3">
        <v>0.1</v>
      </c>
      <c r="C64">
        <v>4</v>
      </c>
      <c r="D64">
        <f>C64*B64</f>
        <v>0.4</v>
      </c>
      <c r="G64" s="7" t="s">
        <v>57</v>
      </c>
    </row>
    <row r="65" spans="1:7" x14ac:dyDescent="0.3">
      <c r="A65" t="s">
        <v>86</v>
      </c>
      <c r="B65" s="3">
        <v>0.15</v>
      </c>
      <c r="C65">
        <v>3</v>
      </c>
      <c r="D65">
        <f>C65*B65</f>
        <v>0.44999999999999996</v>
      </c>
      <c r="G65" s="7" t="s">
        <v>53</v>
      </c>
    </row>
    <row r="66" spans="1:7" ht="15" thickBot="1" x14ac:dyDescent="0.35">
      <c r="B66" s="4">
        <f>SUM(B57:B65)</f>
        <v>1</v>
      </c>
      <c r="D66" s="6">
        <f>SUM(D57:D65)</f>
        <v>3</v>
      </c>
      <c r="G66" s="7" t="s">
        <v>54</v>
      </c>
    </row>
    <row r="67" spans="1:7" ht="15" thickTop="1" x14ac:dyDescent="0.3">
      <c r="G67" s="7" t="s">
        <v>29</v>
      </c>
    </row>
    <row r="68" spans="1:7" x14ac:dyDescent="0.3">
      <c r="A68" t="s">
        <v>105</v>
      </c>
      <c r="G68" s="7" t="s">
        <v>58</v>
      </c>
    </row>
    <row r="69" spans="1:7" x14ac:dyDescent="0.3">
      <c r="A69" s="1" t="s">
        <v>0</v>
      </c>
      <c r="B69" s="1" t="s">
        <v>1</v>
      </c>
      <c r="C69" s="1" t="s">
        <v>151</v>
      </c>
      <c r="D69" s="1" t="s">
        <v>3</v>
      </c>
      <c r="G69" s="7" t="s">
        <v>59</v>
      </c>
    </row>
    <row r="70" spans="1:7" x14ac:dyDescent="0.3">
      <c r="A70" t="s">
        <v>155</v>
      </c>
      <c r="B70" s="3">
        <v>0.15</v>
      </c>
      <c r="C70">
        <v>3</v>
      </c>
      <c r="D70">
        <f>C70*B70</f>
        <v>0.44999999999999996</v>
      </c>
      <c r="G70" s="7" t="s">
        <v>60</v>
      </c>
    </row>
    <row r="71" spans="1:7" x14ac:dyDescent="0.3">
      <c r="A71" t="s">
        <v>152</v>
      </c>
      <c r="B71" s="3">
        <v>0.1</v>
      </c>
      <c r="C71">
        <v>2</v>
      </c>
      <c r="D71">
        <f>C71*B71</f>
        <v>0.2</v>
      </c>
      <c r="G71" s="7" t="s">
        <v>53</v>
      </c>
    </row>
    <row r="72" spans="1:7" x14ac:dyDescent="0.3">
      <c r="A72" t="s">
        <v>156</v>
      </c>
      <c r="B72" s="3">
        <v>0.1</v>
      </c>
      <c r="C72">
        <v>3</v>
      </c>
      <c r="D72">
        <f>C72*B72</f>
        <v>0.30000000000000004</v>
      </c>
      <c r="G72" s="7" t="s">
        <v>54</v>
      </c>
    </row>
    <row r="73" spans="1:7" x14ac:dyDescent="0.3">
      <c r="A73" t="s">
        <v>89</v>
      </c>
      <c r="B73" s="3">
        <v>0.15</v>
      </c>
      <c r="C73">
        <v>3</v>
      </c>
      <c r="D73">
        <f>C73*B73</f>
        <v>0.44999999999999996</v>
      </c>
      <c r="G73" s="7" t="s">
        <v>29</v>
      </c>
    </row>
    <row r="74" spans="1:7" x14ac:dyDescent="0.3">
      <c r="A74" t="s">
        <v>88</v>
      </c>
      <c r="B74" s="3">
        <v>0.15</v>
      </c>
      <c r="C74">
        <v>2</v>
      </c>
      <c r="D74">
        <f>C74*B74</f>
        <v>0.3</v>
      </c>
      <c r="G74" s="7" t="s">
        <v>61</v>
      </c>
    </row>
    <row r="75" spans="1:7" x14ac:dyDescent="0.3">
      <c r="A75" t="s">
        <v>153</v>
      </c>
      <c r="B75" s="3">
        <v>0.05</v>
      </c>
      <c r="C75">
        <v>4</v>
      </c>
      <c r="D75">
        <f>C75*B75</f>
        <v>0.2</v>
      </c>
      <c r="G75" s="7" t="s">
        <v>62</v>
      </c>
    </row>
    <row r="76" spans="1:7" x14ac:dyDescent="0.3">
      <c r="A76" t="s">
        <v>154</v>
      </c>
      <c r="B76" s="3">
        <v>0.05</v>
      </c>
      <c r="C76">
        <v>4</v>
      </c>
      <c r="D76">
        <f>C76*B76</f>
        <v>0.2</v>
      </c>
      <c r="G76" s="7" t="s">
        <v>63</v>
      </c>
    </row>
    <row r="77" spans="1:7" x14ac:dyDescent="0.3">
      <c r="A77" t="s">
        <v>87</v>
      </c>
      <c r="B77" s="3">
        <v>0.1</v>
      </c>
      <c r="C77">
        <v>4</v>
      </c>
      <c r="D77">
        <f>C77*B77</f>
        <v>0.4</v>
      </c>
      <c r="G77" s="7" t="s">
        <v>53</v>
      </c>
    </row>
    <row r="78" spans="1:7" x14ac:dyDescent="0.3">
      <c r="A78" t="s">
        <v>86</v>
      </c>
      <c r="B78" s="3">
        <v>0.15</v>
      </c>
      <c r="C78">
        <v>4</v>
      </c>
      <c r="D78">
        <f>C78*B78</f>
        <v>0.6</v>
      </c>
      <c r="G78" s="7" t="s">
        <v>54</v>
      </c>
    </row>
    <row r="79" spans="1:7" ht="15" thickBot="1" x14ac:dyDescent="0.35">
      <c r="B79" s="4">
        <f>SUM(B70:B78)</f>
        <v>1</v>
      </c>
      <c r="D79" s="6">
        <f>SUM(D70:D78)</f>
        <v>3.1</v>
      </c>
      <c r="G79" s="7" t="s">
        <v>29</v>
      </c>
    </row>
    <row r="80" spans="1:7" ht="15" thickTop="1" x14ac:dyDescent="0.3">
      <c r="G80" s="7" t="s">
        <v>64</v>
      </c>
    </row>
    <row r="81" spans="1:7" x14ac:dyDescent="0.3">
      <c r="A81" t="s">
        <v>106</v>
      </c>
      <c r="G81" s="7" t="s">
        <v>65</v>
      </c>
    </row>
    <row r="82" spans="1:7" x14ac:dyDescent="0.3">
      <c r="A82" s="1" t="s">
        <v>0</v>
      </c>
      <c r="B82" s="1" t="s">
        <v>1</v>
      </c>
      <c r="C82" s="1" t="s">
        <v>151</v>
      </c>
      <c r="D82" s="1" t="s">
        <v>3</v>
      </c>
      <c r="G82" s="7" t="s">
        <v>66</v>
      </c>
    </row>
    <row r="83" spans="1:7" x14ac:dyDescent="0.3">
      <c r="A83" t="s">
        <v>155</v>
      </c>
      <c r="B83" s="3">
        <v>0.15</v>
      </c>
      <c r="C83">
        <v>3</v>
      </c>
      <c r="D83">
        <f>C83*B83</f>
        <v>0.44999999999999996</v>
      </c>
      <c r="G83" s="7" t="s">
        <v>67</v>
      </c>
    </row>
    <row r="84" spans="1:7" x14ac:dyDescent="0.3">
      <c r="A84" t="s">
        <v>152</v>
      </c>
      <c r="B84" s="3">
        <v>0.1</v>
      </c>
      <c r="C84">
        <v>4</v>
      </c>
      <c r="D84">
        <f t="shared" ref="D84:D90" si="4">C84*B84</f>
        <v>0.4</v>
      </c>
      <c r="G84" s="7" t="s">
        <v>54</v>
      </c>
    </row>
    <row r="85" spans="1:7" x14ac:dyDescent="0.3">
      <c r="A85" t="s">
        <v>156</v>
      </c>
      <c r="B85" s="3">
        <v>0.1</v>
      </c>
      <c r="C85">
        <v>3</v>
      </c>
      <c r="D85">
        <f t="shared" si="4"/>
        <v>0.30000000000000004</v>
      </c>
      <c r="G85" s="7" t="s">
        <v>29</v>
      </c>
    </row>
    <row r="86" spans="1:7" x14ac:dyDescent="0.3">
      <c r="A86" t="s">
        <v>89</v>
      </c>
      <c r="B86" s="3">
        <v>0.15</v>
      </c>
      <c r="C86">
        <v>2</v>
      </c>
      <c r="D86">
        <f t="shared" si="4"/>
        <v>0.3</v>
      </c>
      <c r="G86" s="7" t="s">
        <v>68</v>
      </c>
    </row>
    <row r="87" spans="1:7" x14ac:dyDescent="0.3">
      <c r="A87" t="s">
        <v>88</v>
      </c>
      <c r="B87" s="3">
        <v>0.15</v>
      </c>
      <c r="C87">
        <v>3</v>
      </c>
      <c r="D87">
        <f t="shared" si="4"/>
        <v>0.44999999999999996</v>
      </c>
      <c r="G87" s="7" t="s">
        <v>69</v>
      </c>
    </row>
    <row r="88" spans="1:7" x14ac:dyDescent="0.3">
      <c r="A88" t="s">
        <v>153</v>
      </c>
      <c r="B88" s="3">
        <v>0.05</v>
      </c>
      <c r="C88">
        <v>4</v>
      </c>
      <c r="D88">
        <f t="shared" si="4"/>
        <v>0.2</v>
      </c>
      <c r="G88" s="7" t="s">
        <v>70</v>
      </c>
    </row>
    <row r="89" spans="1:7" x14ac:dyDescent="0.3">
      <c r="A89" t="s">
        <v>154</v>
      </c>
      <c r="B89" s="3">
        <v>0.05</v>
      </c>
      <c r="C89">
        <v>3</v>
      </c>
      <c r="D89">
        <f t="shared" si="4"/>
        <v>0.15000000000000002</v>
      </c>
      <c r="G89" s="7" t="s">
        <v>17</v>
      </c>
    </row>
    <row r="90" spans="1:7" x14ac:dyDescent="0.3">
      <c r="A90" t="s">
        <v>87</v>
      </c>
      <c r="B90" s="3">
        <v>0.1</v>
      </c>
      <c r="C90">
        <v>4</v>
      </c>
      <c r="D90">
        <f t="shared" si="4"/>
        <v>0.4</v>
      </c>
      <c r="G90" s="7" t="s">
        <v>71</v>
      </c>
    </row>
    <row r="91" spans="1:7" x14ac:dyDescent="0.3">
      <c r="A91" t="s">
        <v>86</v>
      </c>
      <c r="B91" s="3">
        <v>0.15</v>
      </c>
      <c r="C91">
        <v>3</v>
      </c>
      <c r="D91">
        <f>C91*B91</f>
        <v>0.44999999999999996</v>
      </c>
      <c r="G91" s="7" t="s">
        <v>72</v>
      </c>
    </row>
    <row r="92" spans="1:7" ht="15" thickBot="1" x14ac:dyDescent="0.35">
      <c r="B92" s="4">
        <f>SUM(B83:B91)</f>
        <v>1</v>
      </c>
      <c r="D92" s="6">
        <f>SUM(D83:D91)</f>
        <v>3.0999999999999996</v>
      </c>
      <c r="G92" s="7" t="s">
        <v>73</v>
      </c>
    </row>
    <row r="93" spans="1:7" ht="15" thickTop="1" x14ac:dyDescent="0.3">
      <c r="G93" s="7" t="s">
        <v>74</v>
      </c>
    </row>
    <row r="94" spans="1:7" x14ac:dyDescent="0.3">
      <c r="A94" t="s">
        <v>107</v>
      </c>
      <c r="G94" s="7" t="s">
        <v>75</v>
      </c>
    </row>
    <row r="95" spans="1:7" x14ac:dyDescent="0.3">
      <c r="A95" s="1" t="s">
        <v>0</v>
      </c>
      <c r="B95" s="1" t="s">
        <v>1</v>
      </c>
      <c r="C95" s="1" t="s">
        <v>151</v>
      </c>
      <c r="D95" s="1" t="s">
        <v>3</v>
      </c>
      <c r="G95" s="7" t="s">
        <v>76</v>
      </c>
    </row>
    <row r="96" spans="1:7" x14ac:dyDescent="0.3">
      <c r="A96" t="s">
        <v>155</v>
      </c>
      <c r="B96" s="3">
        <v>0.15</v>
      </c>
      <c r="C96">
        <v>3</v>
      </c>
      <c r="D96">
        <f>C96*B96</f>
        <v>0.44999999999999996</v>
      </c>
      <c r="G96" s="7" t="s">
        <v>77</v>
      </c>
    </row>
    <row r="97" spans="1:7" x14ac:dyDescent="0.3">
      <c r="A97" t="s">
        <v>152</v>
      </c>
      <c r="B97" s="3">
        <v>0.1</v>
      </c>
      <c r="C97">
        <v>4</v>
      </c>
      <c r="D97">
        <f t="shared" ref="D97:D103" si="5">C97*B97</f>
        <v>0.4</v>
      </c>
    </row>
    <row r="98" spans="1:7" x14ac:dyDescent="0.3">
      <c r="A98" t="s">
        <v>156</v>
      </c>
      <c r="B98" s="3">
        <v>0.1</v>
      </c>
      <c r="C98">
        <v>3</v>
      </c>
      <c r="D98">
        <f t="shared" si="5"/>
        <v>0.30000000000000004</v>
      </c>
      <c r="G98" s="7" t="s">
        <v>166</v>
      </c>
    </row>
    <row r="99" spans="1:7" x14ac:dyDescent="0.3">
      <c r="A99" t="s">
        <v>89</v>
      </c>
      <c r="B99" s="3">
        <v>0.15</v>
      </c>
      <c r="C99">
        <v>3</v>
      </c>
      <c r="D99">
        <f t="shared" si="5"/>
        <v>0.44999999999999996</v>
      </c>
    </row>
    <row r="100" spans="1:7" x14ac:dyDescent="0.3">
      <c r="A100" t="s">
        <v>88</v>
      </c>
      <c r="B100" s="3">
        <v>0.15</v>
      </c>
      <c r="C100">
        <v>3</v>
      </c>
      <c r="D100">
        <f t="shared" si="5"/>
        <v>0.44999999999999996</v>
      </c>
      <c r="G100" s="7" t="s">
        <v>167</v>
      </c>
    </row>
    <row r="101" spans="1:7" x14ac:dyDescent="0.3">
      <c r="A101" t="s">
        <v>153</v>
      </c>
      <c r="B101" s="3">
        <v>0.05</v>
      </c>
      <c r="C101">
        <v>3</v>
      </c>
      <c r="D101">
        <f t="shared" si="5"/>
        <v>0.15000000000000002</v>
      </c>
      <c r="G101" s="13" t="s">
        <v>168</v>
      </c>
    </row>
    <row r="102" spans="1:7" x14ac:dyDescent="0.3">
      <c r="A102" t="s">
        <v>154</v>
      </c>
      <c r="B102" s="3">
        <v>0.05</v>
      </c>
      <c r="C102">
        <v>3</v>
      </c>
      <c r="D102">
        <f t="shared" si="5"/>
        <v>0.15000000000000002</v>
      </c>
      <c r="G102" s="13" t="s">
        <v>169</v>
      </c>
    </row>
    <row r="103" spans="1:7" x14ac:dyDescent="0.3">
      <c r="A103" t="s">
        <v>87</v>
      </c>
      <c r="B103" s="3">
        <v>0.1</v>
      </c>
      <c r="C103">
        <v>3</v>
      </c>
      <c r="D103">
        <f t="shared" si="5"/>
        <v>0.30000000000000004</v>
      </c>
      <c r="G103" s="13" t="s">
        <v>170</v>
      </c>
    </row>
    <row r="104" spans="1:7" x14ac:dyDescent="0.3">
      <c r="A104" t="s">
        <v>86</v>
      </c>
      <c r="B104" s="3">
        <v>0.15</v>
      </c>
      <c r="C104">
        <v>3</v>
      </c>
      <c r="D104">
        <f>C104*B104</f>
        <v>0.44999999999999996</v>
      </c>
      <c r="G104" s="13" t="s">
        <v>171</v>
      </c>
    </row>
    <row r="105" spans="1:7" ht="15" thickBot="1" x14ac:dyDescent="0.35">
      <c r="B105" s="4">
        <f>SUM(B96:B104)</f>
        <v>1</v>
      </c>
      <c r="D105" s="6">
        <f>SUM(D96:D104)</f>
        <v>3.0999999999999996</v>
      </c>
    </row>
    <row r="106" spans="1:7" ht="15" thickTop="1" x14ac:dyDescent="0.3">
      <c r="G106" s="7" t="s">
        <v>172</v>
      </c>
    </row>
    <row r="107" spans="1:7" x14ac:dyDescent="0.3">
      <c r="A107" t="s">
        <v>108</v>
      </c>
      <c r="G107" s="13" t="s">
        <v>173</v>
      </c>
    </row>
    <row r="108" spans="1:7" x14ac:dyDescent="0.3">
      <c r="A108" s="1" t="s">
        <v>0</v>
      </c>
      <c r="B108" s="1" t="s">
        <v>1</v>
      </c>
      <c r="C108" s="1" t="s">
        <v>151</v>
      </c>
      <c r="D108" s="1" t="s">
        <v>3</v>
      </c>
      <c r="G108" s="13" t="s">
        <v>174</v>
      </c>
    </row>
    <row r="109" spans="1:7" x14ac:dyDescent="0.3">
      <c r="A109" t="s">
        <v>155</v>
      </c>
      <c r="B109" s="3">
        <v>0.15</v>
      </c>
      <c r="C109">
        <v>3</v>
      </c>
      <c r="D109">
        <f>C109*B109</f>
        <v>0.44999999999999996</v>
      </c>
      <c r="G109" s="13" t="s">
        <v>175</v>
      </c>
    </row>
    <row r="110" spans="1:7" x14ac:dyDescent="0.3">
      <c r="A110" t="s">
        <v>152</v>
      </c>
      <c r="B110" s="3">
        <v>0.1</v>
      </c>
      <c r="C110">
        <v>2</v>
      </c>
      <c r="D110">
        <f t="shared" ref="D110:D116" si="6">C110*B110</f>
        <v>0.2</v>
      </c>
      <c r="G110" s="13" t="s">
        <v>176</v>
      </c>
    </row>
    <row r="111" spans="1:7" x14ac:dyDescent="0.3">
      <c r="A111" t="s">
        <v>156</v>
      </c>
      <c r="B111" s="3">
        <v>0.1</v>
      </c>
      <c r="C111">
        <v>3</v>
      </c>
      <c r="D111">
        <f t="shared" si="6"/>
        <v>0.30000000000000004</v>
      </c>
      <c r="G111" s="13" t="s">
        <v>177</v>
      </c>
    </row>
    <row r="112" spans="1:7" x14ac:dyDescent="0.3">
      <c r="A112" t="s">
        <v>89</v>
      </c>
      <c r="B112" s="3">
        <v>0.15</v>
      </c>
      <c r="C112">
        <v>3</v>
      </c>
      <c r="D112">
        <f t="shared" si="6"/>
        <v>0.44999999999999996</v>
      </c>
      <c r="G112" s="13" t="s">
        <v>178</v>
      </c>
    </row>
    <row r="113" spans="1:7" x14ac:dyDescent="0.3">
      <c r="A113" t="s">
        <v>88</v>
      </c>
      <c r="B113" s="3">
        <v>0.15</v>
      </c>
      <c r="C113">
        <v>3</v>
      </c>
      <c r="D113">
        <f t="shared" si="6"/>
        <v>0.44999999999999996</v>
      </c>
      <c r="G113" s="13" t="s">
        <v>179</v>
      </c>
    </row>
    <row r="114" spans="1:7" x14ac:dyDescent="0.3">
      <c r="A114" t="s">
        <v>153</v>
      </c>
      <c r="B114" s="3">
        <v>0.05</v>
      </c>
      <c r="C114">
        <v>4</v>
      </c>
      <c r="D114">
        <f t="shared" si="6"/>
        <v>0.2</v>
      </c>
      <c r="G114" s="13" t="s">
        <v>180</v>
      </c>
    </row>
    <row r="115" spans="1:7" x14ac:dyDescent="0.3">
      <c r="A115" t="s">
        <v>154</v>
      </c>
      <c r="B115" s="3">
        <v>0.05</v>
      </c>
      <c r="C115">
        <v>3</v>
      </c>
      <c r="D115">
        <f t="shared" si="6"/>
        <v>0.15000000000000002</v>
      </c>
      <c r="G115" s="13" t="s">
        <v>181</v>
      </c>
    </row>
    <row r="116" spans="1:7" x14ac:dyDescent="0.3">
      <c r="A116" t="s">
        <v>87</v>
      </c>
      <c r="B116" s="3">
        <v>0.1</v>
      </c>
      <c r="C116">
        <v>4</v>
      </c>
      <c r="D116">
        <f t="shared" si="6"/>
        <v>0.4</v>
      </c>
    </row>
    <row r="117" spans="1:7" x14ac:dyDescent="0.3">
      <c r="A117" t="s">
        <v>86</v>
      </c>
      <c r="B117" s="3">
        <v>0.15</v>
      </c>
      <c r="C117">
        <v>3</v>
      </c>
      <c r="D117">
        <f>C117*B117</f>
        <v>0.44999999999999996</v>
      </c>
      <c r="G117" s="7" t="s">
        <v>182</v>
      </c>
    </row>
    <row r="118" spans="1:7" ht="15" thickBot="1" x14ac:dyDescent="0.35">
      <c r="B118" s="4">
        <f>SUM(B109:B117)</f>
        <v>1</v>
      </c>
      <c r="D118" s="6">
        <f>SUM(D109:D117)</f>
        <v>3.05</v>
      </c>
      <c r="G118" s="7" t="s">
        <v>183</v>
      </c>
    </row>
    <row r="119" spans="1:7" ht="15" thickTop="1" x14ac:dyDescent="0.3"/>
    <row r="120" spans="1:7" x14ac:dyDescent="0.3">
      <c r="G120" s="7" t="s">
        <v>184</v>
      </c>
    </row>
    <row r="121" spans="1:7" x14ac:dyDescent="0.3">
      <c r="G121" s="13" t="s">
        <v>185</v>
      </c>
    </row>
    <row r="122" spans="1:7" x14ac:dyDescent="0.3">
      <c r="G122" s="13" t="s">
        <v>186</v>
      </c>
    </row>
    <row r="123" spans="1:7" x14ac:dyDescent="0.3">
      <c r="G123" s="13" t="s">
        <v>187</v>
      </c>
    </row>
    <row r="125" spans="1:7" x14ac:dyDescent="0.3">
      <c r="G125" s="7" t="s">
        <v>188</v>
      </c>
    </row>
    <row r="127" spans="1:7" x14ac:dyDescent="0.3">
      <c r="G127" s="7" t="s">
        <v>189</v>
      </c>
    </row>
    <row r="128" spans="1:7" x14ac:dyDescent="0.3">
      <c r="G128" s="13" t="s">
        <v>190</v>
      </c>
    </row>
    <row r="129" spans="7:7" x14ac:dyDescent="0.3">
      <c r="G129" s="13" t="s">
        <v>191</v>
      </c>
    </row>
    <row r="130" spans="7:7" x14ac:dyDescent="0.3">
      <c r="G130" s="13" t="s">
        <v>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BC0AD-197E-4D10-AF87-015CB58E32B7}">
  <dimension ref="A1:G135"/>
  <sheetViews>
    <sheetView tabSelected="1" topLeftCell="A104" workbookViewId="0">
      <selection activeCell="C118" sqref="C118"/>
    </sheetView>
  </sheetViews>
  <sheetFormatPr defaultRowHeight="14.4" x14ac:dyDescent="0.3"/>
  <cols>
    <col min="1" max="1" width="59.44140625" bestFit="1" customWidth="1"/>
    <col min="2" max="2" width="6.77734375" bestFit="1" customWidth="1"/>
    <col min="3" max="3" width="10.21875" bestFit="1" customWidth="1"/>
    <col min="4" max="4" width="13.88671875" bestFit="1" customWidth="1"/>
  </cols>
  <sheetData>
    <row r="1" spans="1:7" x14ac:dyDescent="0.3">
      <c r="A1" s="2" t="s">
        <v>4</v>
      </c>
      <c r="B1" s="5">
        <f>B5*5 + B6*5 +B7*5+B8*5+B9*5+B10*5+B11*5+B12*5+B13*5</f>
        <v>5</v>
      </c>
    </row>
    <row r="2" spans="1:7" x14ac:dyDescent="0.3">
      <c r="F2" s="2" t="s">
        <v>2</v>
      </c>
      <c r="G2" s="7" t="s">
        <v>85</v>
      </c>
    </row>
    <row r="3" spans="1:7" x14ac:dyDescent="0.3">
      <c r="A3" t="s">
        <v>100</v>
      </c>
      <c r="G3" s="7" t="s">
        <v>5</v>
      </c>
    </row>
    <row r="4" spans="1:7" x14ac:dyDescent="0.3">
      <c r="A4" s="1" t="s">
        <v>0</v>
      </c>
      <c r="B4" s="1" t="s">
        <v>1</v>
      </c>
      <c r="C4" s="1" t="s">
        <v>151</v>
      </c>
      <c r="D4" s="1" t="s">
        <v>3</v>
      </c>
      <c r="G4" s="7" t="s">
        <v>6</v>
      </c>
    </row>
    <row r="5" spans="1:7" x14ac:dyDescent="0.3">
      <c r="A5" t="s">
        <v>155</v>
      </c>
      <c r="B5" s="3">
        <v>0.15</v>
      </c>
      <c r="C5">
        <v>2</v>
      </c>
      <c r="D5">
        <f>C5*B5</f>
        <v>0.3</v>
      </c>
      <c r="G5" s="7" t="s">
        <v>7</v>
      </c>
    </row>
    <row r="6" spans="1:7" x14ac:dyDescent="0.3">
      <c r="A6" t="s">
        <v>152</v>
      </c>
      <c r="B6" s="3">
        <v>0.1</v>
      </c>
      <c r="C6">
        <v>2</v>
      </c>
      <c r="D6">
        <f t="shared" ref="D6:D12" si="0">C6*B6</f>
        <v>0.2</v>
      </c>
      <c r="G6" s="7" t="s">
        <v>78</v>
      </c>
    </row>
    <row r="7" spans="1:7" x14ac:dyDescent="0.3">
      <c r="A7" t="s">
        <v>156</v>
      </c>
      <c r="B7" s="3">
        <v>0.1</v>
      </c>
      <c r="C7">
        <v>2</v>
      </c>
      <c r="D7">
        <f t="shared" si="0"/>
        <v>0.2</v>
      </c>
      <c r="G7" s="7" t="s">
        <v>110</v>
      </c>
    </row>
    <row r="8" spans="1:7" x14ac:dyDescent="0.3">
      <c r="A8" t="s">
        <v>89</v>
      </c>
      <c r="B8" s="3">
        <v>0.15</v>
      </c>
      <c r="C8">
        <v>2</v>
      </c>
      <c r="D8">
        <f t="shared" si="0"/>
        <v>0.3</v>
      </c>
      <c r="G8" s="7" t="s">
        <v>79</v>
      </c>
    </row>
    <row r="9" spans="1:7" x14ac:dyDescent="0.3">
      <c r="A9" t="s">
        <v>88</v>
      </c>
      <c r="B9" s="3">
        <v>0.15</v>
      </c>
      <c r="C9">
        <v>2</v>
      </c>
      <c r="D9">
        <f t="shared" si="0"/>
        <v>0.3</v>
      </c>
      <c r="G9" s="7" t="s">
        <v>111</v>
      </c>
    </row>
    <row r="10" spans="1:7" x14ac:dyDescent="0.3">
      <c r="A10" t="s">
        <v>153</v>
      </c>
      <c r="B10" s="3">
        <v>0.05</v>
      </c>
      <c r="C10">
        <v>4</v>
      </c>
      <c r="D10">
        <f t="shared" si="0"/>
        <v>0.2</v>
      </c>
      <c r="G10" s="7" t="s">
        <v>112</v>
      </c>
    </row>
    <row r="11" spans="1:7" x14ac:dyDescent="0.3">
      <c r="A11" t="s">
        <v>154</v>
      </c>
      <c r="B11" s="3">
        <v>0.05</v>
      </c>
      <c r="C11">
        <v>3</v>
      </c>
      <c r="D11">
        <f t="shared" si="0"/>
        <v>0.15000000000000002</v>
      </c>
      <c r="G11" s="7" t="s">
        <v>80</v>
      </c>
    </row>
    <row r="12" spans="1:7" x14ac:dyDescent="0.3">
      <c r="A12" t="s">
        <v>87</v>
      </c>
      <c r="B12" s="3">
        <v>0.1</v>
      </c>
      <c r="C12">
        <v>4</v>
      </c>
      <c r="D12">
        <f t="shared" si="0"/>
        <v>0.4</v>
      </c>
      <c r="G12" s="7" t="s">
        <v>113</v>
      </c>
    </row>
    <row r="13" spans="1:7" x14ac:dyDescent="0.3">
      <c r="A13" t="s">
        <v>86</v>
      </c>
      <c r="B13" s="3">
        <v>0.15</v>
      </c>
      <c r="C13">
        <v>3</v>
      </c>
      <c r="D13">
        <f>C13*B13</f>
        <v>0.44999999999999996</v>
      </c>
      <c r="G13" s="7" t="s">
        <v>114</v>
      </c>
    </row>
    <row r="14" spans="1:7" ht="15" thickBot="1" x14ac:dyDescent="0.35">
      <c r="B14" s="4">
        <f>SUM(B5:B13)</f>
        <v>1</v>
      </c>
      <c r="D14" s="6">
        <f>SUM(D5:D13)</f>
        <v>2.5</v>
      </c>
      <c r="G14" s="7" t="s">
        <v>16</v>
      </c>
    </row>
    <row r="15" spans="1:7" ht="15" thickTop="1" x14ac:dyDescent="0.3">
      <c r="G15" s="7" t="s">
        <v>17</v>
      </c>
    </row>
    <row r="16" spans="1:7" x14ac:dyDescent="0.3">
      <c r="A16" t="s">
        <v>101</v>
      </c>
      <c r="G16" s="7" t="s">
        <v>18</v>
      </c>
    </row>
    <row r="17" spans="1:7" x14ac:dyDescent="0.3">
      <c r="A17" s="1" t="s">
        <v>0</v>
      </c>
      <c r="B17" s="1" t="s">
        <v>1</v>
      </c>
      <c r="C17" s="1" t="s">
        <v>151</v>
      </c>
      <c r="D17" s="1" t="s">
        <v>3</v>
      </c>
      <c r="G17" s="7" t="s">
        <v>115</v>
      </c>
    </row>
    <row r="18" spans="1:7" x14ac:dyDescent="0.3">
      <c r="A18" t="s">
        <v>155</v>
      </c>
      <c r="B18" s="3">
        <v>0.15</v>
      </c>
      <c r="C18">
        <v>3</v>
      </c>
      <c r="D18">
        <f>C18*B18</f>
        <v>0.44999999999999996</v>
      </c>
      <c r="G18" s="7" t="s">
        <v>20</v>
      </c>
    </row>
    <row r="19" spans="1:7" x14ac:dyDescent="0.3">
      <c r="A19" t="s">
        <v>152</v>
      </c>
      <c r="B19" s="3">
        <v>0.1</v>
      </c>
      <c r="C19">
        <v>3</v>
      </c>
      <c r="D19">
        <f t="shared" ref="D19:D25" si="1">C19*B19</f>
        <v>0.30000000000000004</v>
      </c>
      <c r="G19" s="7" t="s">
        <v>21</v>
      </c>
    </row>
    <row r="20" spans="1:7" x14ac:dyDescent="0.3">
      <c r="A20" t="s">
        <v>156</v>
      </c>
      <c r="B20" s="3">
        <v>0.1</v>
      </c>
      <c r="C20">
        <v>2</v>
      </c>
      <c r="D20">
        <f t="shared" si="1"/>
        <v>0.2</v>
      </c>
      <c r="G20" s="7" t="s">
        <v>116</v>
      </c>
    </row>
    <row r="21" spans="1:7" x14ac:dyDescent="0.3">
      <c r="A21" t="s">
        <v>89</v>
      </c>
      <c r="B21" s="3">
        <v>0.15</v>
      </c>
      <c r="C21">
        <v>2</v>
      </c>
      <c r="D21">
        <f t="shared" si="1"/>
        <v>0.3</v>
      </c>
      <c r="G21" s="7" t="s">
        <v>117</v>
      </c>
    </row>
    <row r="22" spans="1:7" x14ac:dyDescent="0.3">
      <c r="A22" t="s">
        <v>88</v>
      </c>
      <c r="B22" s="3">
        <v>0.15</v>
      </c>
      <c r="C22">
        <v>2</v>
      </c>
      <c r="D22">
        <f t="shared" si="1"/>
        <v>0.3</v>
      </c>
      <c r="G22" s="7" t="s">
        <v>17</v>
      </c>
    </row>
    <row r="23" spans="1:7" x14ac:dyDescent="0.3">
      <c r="A23" t="s">
        <v>153</v>
      </c>
      <c r="B23" s="3">
        <v>0.05</v>
      </c>
      <c r="C23">
        <v>4</v>
      </c>
      <c r="D23">
        <f t="shared" si="1"/>
        <v>0.2</v>
      </c>
      <c r="G23" s="7" t="s">
        <v>24</v>
      </c>
    </row>
    <row r="24" spans="1:7" x14ac:dyDescent="0.3">
      <c r="A24" t="s">
        <v>154</v>
      </c>
      <c r="B24" s="3">
        <v>0.05</v>
      </c>
      <c r="C24">
        <v>3</v>
      </c>
      <c r="D24">
        <f t="shared" si="1"/>
        <v>0.15000000000000002</v>
      </c>
      <c r="G24" s="7" t="s">
        <v>25</v>
      </c>
    </row>
    <row r="25" spans="1:7" x14ac:dyDescent="0.3">
      <c r="A25" t="s">
        <v>87</v>
      </c>
      <c r="B25" s="3">
        <v>0.1</v>
      </c>
      <c r="C25">
        <v>4</v>
      </c>
      <c r="D25">
        <f t="shared" si="1"/>
        <v>0.4</v>
      </c>
      <c r="G25" s="7" t="s">
        <v>118</v>
      </c>
    </row>
    <row r="26" spans="1:7" x14ac:dyDescent="0.3">
      <c r="A26" t="s">
        <v>86</v>
      </c>
      <c r="B26" s="3">
        <v>0.15</v>
      </c>
      <c r="C26">
        <v>3</v>
      </c>
      <c r="D26">
        <f>C26*B26</f>
        <v>0.44999999999999996</v>
      </c>
      <c r="G26" s="7" t="s">
        <v>119</v>
      </c>
    </row>
    <row r="27" spans="1:7" ht="15" thickBot="1" x14ac:dyDescent="0.35">
      <c r="B27" s="4">
        <f>SUM(B18:B26)</f>
        <v>1</v>
      </c>
      <c r="D27" s="6">
        <f>SUM(D18:D26)</f>
        <v>2.75</v>
      </c>
      <c r="G27" s="7" t="s">
        <v>120</v>
      </c>
    </row>
    <row r="28" spans="1:7" ht="15" thickTop="1" x14ac:dyDescent="0.3">
      <c r="G28" s="7" t="s">
        <v>29</v>
      </c>
    </row>
    <row r="29" spans="1:7" x14ac:dyDescent="0.3">
      <c r="A29" t="s">
        <v>102</v>
      </c>
      <c r="G29" s="7" t="s">
        <v>121</v>
      </c>
    </row>
    <row r="30" spans="1:7" x14ac:dyDescent="0.3">
      <c r="A30" s="1" t="s">
        <v>0</v>
      </c>
      <c r="B30" s="1" t="s">
        <v>1</v>
      </c>
      <c r="C30" s="1" t="s">
        <v>151</v>
      </c>
      <c r="D30" s="1" t="s">
        <v>3</v>
      </c>
      <c r="G30" s="7" t="s">
        <v>31</v>
      </c>
    </row>
    <row r="31" spans="1:7" x14ac:dyDescent="0.3">
      <c r="A31" t="s">
        <v>155</v>
      </c>
      <c r="B31" s="3">
        <v>0.15</v>
      </c>
      <c r="C31">
        <v>2</v>
      </c>
      <c r="D31">
        <f>C31*B31</f>
        <v>0.3</v>
      </c>
      <c r="G31" s="7" t="s">
        <v>122</v>
      </c>
    </row>
    <row r="32" spans="1:7" x14ac:dyDescent="0.3">
      <c r="A32" t="s">
        <v>152</v>
      </c>
      <c r="B32" s="3">
        <v>0.1</v>
      </c>
      <c r="C32">
        <v>2</v>
      </c>
      <c r="D32">
        <f t="shared" ref="D32:D38" si="2">C32*B32</f>
        <v>0.2</v>
      </c>
      <c r="G32" s="7" t="s">
        <v>123</v>
      </c>
    </row>
    <row r="33" spans="1:7" x14ac:dyDescent="0.3">
      <c r="A33" t="s">
        <v>156</v>
      </c>
      <c r="B33" s="3">
        <v>0.1</v>
      </c>
      <c r="C33">
        <v>3</v>
      </c>
      <c r="D33">
        <f t="shared" si="2"/>
        <v>0.30000000000000004</v>
      </c>
      <c r="G33" s="7" t="s">
        <v>17</v>
      </c>
    </row>
    <row r="34" spans="1:7" x14ac:dyDescent="0.3">
      <c r="A34" t="s">
        <v>89</v>
      </c>
      <c r="B34" s="3">
        <v>0.15</v>
      </c>
      <c r="C34">
        <v>3</v>
      </c>
      <c r="D34">
        <f t="shared" si="2"/>
        <v>0.44999999999999996</v>
      </c>
      <c r="G34" s="7" t="s">
        <v>34</v>
      </c>
    </row>
    <row r="35" spans="1:7" x14ac:dyDescent="0.3">
      <c r="A35" t="s">
        <v>88</v>
      </c>
      <c r="B35" s="3">
        <v>0.15</v>
      </c>
      <c r="C35">
        <v>2</v>
      </c>
      <c r="D35">
        <f t="shared" si="2"/>
        <v>0.3</v>
      </c>
      <c r="G35" s="7" t="s">
        <v>124</v>
      </c>
    </row>
    <row r="36" spans="1:7" x14ac:dyDescent="0.3">
      <c r="A36" t="s">
        <v>153</v>
      </c>
      <c r="B36" s="3">
        <v>0.05</v>
      </c>
      <c r="C36">
        <v>4</v>
      </c>
      <c r="D36">
        <f t="shared" si="2"/>
        <v>0.2</v>
      </c>
      <c r="G36" s="7" t="s">
        <v>36</v>
      </c>
    </row>
    <row r="37" spans="1:7" x14ac:dyDescent="0.3">
      <c r="A37" t="s">
        <v>154</v>
      </c>
      <c r="B37" s="3">
        <v>0.05</v>
      </c>
      <c r="C37">
        <v>4</v>
      </c>
      <c r="D37">
        <f t="shared" si="2"/>
        <v>0.2</v>
      </c>
      <c r="G37" s="7" t="s">
        <v>125</v>
      </c>
    </row>
    <row r="38" spans="1:7" x14ac:dyDescent="0.3">
      <c r="A38" t="s">
        <v>87</v>
      </c>
      <c r="B38" s="3">
        <v>0.1</v>
      </c>
      <c r="C38">
        <v>3</v>
      </c>
      <c r="D38">
        <f t="shared" si="2"/>
        <v>0.30000000000000004</v>
      </c>
      <c r="G38" s="7" t="s">
        <v>126</v>
      </c>
    </row>
    <row r="39" spans="1:7" x14ac:dyDescent="0.3">
      <c r="A39" t="s">
        <v>86</v>
      </c>
      <c r="B39" s="3">
        <v>0.15</v>
      </c>
      <c r="C39">
        <v>2</v>
      </c>
      <c r="D39">
        <f>C39*B39</f>
        <v>0.3</v>
      </c>
      <c r="G39" s="7" t="s">
        <v>39</v>
      </c>
    </row>
    <row r="40" spans="1:7" ht="15" thickBot="1" x14ac:dyDescent="0.35">
      <c r="B40" s="4">
        <f>SUM(B31:B39)</f>
        <v>1</v>
      </c>
      <c r="D40" s="6">
        <f>SUM(D31:D39)</f>
        <v>2.5499999999999998</v>
      </c>
      <c r="G40" s="7" t="s">
        <v>16</v>
      </c>
    </row>
    <row r="41" spans="1:7" ht="15" thickTop="1" x14ac:dyDescent="0.3">
      <c r="G41" s="7" t="s">
        <v>17</v>
      </c>
    </row>
    <row r="42" spans="1:7" x14ac:dyDescent="0.3">
      <c r="A42" t="s">
        <v>103</v>
      </c>
      <c r="G42" s="7" t="s">
        <v>40</v>
      </c>
    </row>
    <row r="43" spans="1:7" x14ac:dyDescent="0.3">
      <c r="A43" s="1" t="s">
        <v>0</v>
      </c>
      <c r="B43" s="1" t="s">
        <v>1</v>
      </c>
      <c r="C43" s="1" t="s">
        <v>151</v>
      </c>
      <c r="D43" s="1" t="s">
        <v>3</v>
      </c>
      <c r="G43" s="7" t="s">
        <v>41</v>
      </c>
    </row>
    <row r="44" spans="1:7" x14ac:dyDescent="0.3">
      <c r="A44" t="s">
        <v>155</v>
      </c>
      <c r="B44" s="3">
        <v>0.15</v>
      </c>
      <c r="C44">
        <v>3</v>
      </c>
      <c r="D44">
        <f>C44*B44</f>
        <v>0.44999999999999996</v>
      </c>
      <c r="G44" s="7" t="s">
        <v>127</v>
      </c>
    </row>
    <row r="45" spans="1:7" x14ac:dyDescent="0.3">
      <c r="A45" t="s">
        <v>152</v>
      </c>
      <c r="B45" s="3">
        <v>0.1</v>
      </c>
      <c r="C45">
        <v>4</v>
      </c>
      <c r="D45">
        <f t="shared" ref="D45:D51" si="3">C45*B45</f>
        <v>0.4</v>
      </c>
      <c r="G45" s="7" t="s">
        <v>128</v>
      </c>
    </row>
    <row r="46" spans="1:7" x14ac:dyDescent="0.3">
      <c r="A46" t="s">
        <v>156</v>
      </c>
      <c r="B46" s="3">
        <v>0.1</v>
      </c>
      <c r="C46">
        <v>3</v>
      </c>
      <c r="D46">
        <f t="shared" si="3"/>
        <v>0.30000000000000004</v>
      </c>
      <c r="G46" s="7" t="s">
        <v>129</v>
      </c>
    </row>
    <row r="47" spans="1:7" x14ac:dyDescent="0.3">
      <c r="A47" t="s">
        <v>89</v>
      </c>
      <c r="B47" s="3">
        <v>0.15</v>
      </c>
      <c r="C47">
        <v>3</v>
      </c>
      <c r="D47">
        <f t="shared" si="3"/>
        <v>0.44999999999999996</v>
      </c>
      <c r="G47" s="7" t="s">
        <v>29</v>
      </c>
    </row>
    <row r="48" spans="1:7" x14ac:dyDescent="0.3">
      <c r="A48" t="s">
        <v>88</v>
      </c>
      <c r="B48" s="3">
        <v>0.15</v>
      </c>
      <c r="C48">
        <v>2</v>
      </c>
      <c r="D48">
        <f t="shared" si="3"/>
        <v>0.3</v>
      </c>
      <c r="G48" s="7" t="s">
        <v>45</v>
      </c>
    </row>
    <row r="49" spans="1:7" x14ac:dyDescent="0.3">
      <c r="A49" t="s">
        <v>153</v>
      </c>
      <c r="B49" s="3">
        <v>0.05</v>
      </c>
      <c r="C49">
        <v>4</v>
      </c>
      <c r="D49">
        <f t="shared" si="3"/>
        <v>0.2</v>
      </c>
      <c r="G49" s="7" t="s">
        <v>130</v>
      </c>
    </row>
    <row r="50" spans="1:7" x14ac:dyDescent="0.3">
      <c r="A50" t="s">
        <v>154</v>
      </c>
      <c r="B50" s="3">
        <v>0.05</v>
      </c>
      <c r="C50">
        <v>3</v>
      </c>
      <c r="D50">
        <f t="shared" si="3"/>
        <v>0.15000000000000002</v>
      </c>
      <c r="G50" s="7" t="s">
        <v>131</v>
      </c>
    </row>
    <row r="51" spans="1:7" x14ac:dyDescent="0.3">
      <c r="A51" t="s">
        <v>87</v>
      </c>
      <c r="B51" s="3">
        <v>0.1</v>
      </c>
      <c r="C51">
        <v>4</v>
      </c>
      <c r="D51">
        <f t="shared" si="3"/>
        <v>0.4</v>
      </c>
      <c r="G51" s="7" t="s">
        <v>132</v>
      </c>
    </row>
    <row r="52" spans="1:7" x14ac:dyDescent="0.3">
      <c r="A52" t="s">
        <v>86</v>
      </c>
      <c r="B52" s="3">
        <v>0.15</v>
      </c>
      <c r="C52">
        <v>4</v>
      </c>
      <c r="D52">
        <f>C52*B52</f>
        <v>0.6</v>
      </c>
      <c r="G52" s="7" t="s">
        <v>16</v>
      </c>
    </row>
    <row r="53" spans="1:7" ht="15" thickBot="1" x14ac:dyDescent="0.35">
      <c r="B53" s="4">
        <f>SUM(B44:B52)</f>
        <v>1</v>
      </c>
      <c r="D53" s="6">
        <f>SUM(D44:D52)</f>
        <v>3.25</v>
      </c>
      <c r="G53" s="7" t="s">
        <v>17</v>
      </c>
    </row>
    <row r="54" spans="1:7" ht="15" thickTop="1" x14ac:dyDescent="0.3">
      <c r="G54" s="7" t="s">
        <v>49</v>
      </c>
    </row>
    <row r="55" spans="1:7" x14ac:dyDescent="0.3">
      <c r="A55" t="s">
        <v>104</v>
      </c>
      <c r="G55" s="7" t="s">
        <v>133</v>
      </c>
    </row>
    <row r="56" spans="1:7" x14ac:dyDescent="0.3">
      <c r="A56" s="1" t="s">
        <v>0</v>
      </c>
      <c r="B56" s="1" t="s">
        <v>1</v>
      </c>
      <c r="C56" s="1" t="s">
        <v>151</v>
      </c>
      <c r="D56" s="1" t="s">
        <v>3</v>
      </c>
      <c r="G56" s="7" t="s">
        <v>134</v>
      </c>
    </row>
    <row r="57" spans="1:7" x14ac:dyDescent="0.3">
      <c r="A57" t="s">
        <v>155</v>
      </c>
      <c r="B57" s="3">
        <v>0.15</v>
      </c>
      <c r="C57">
        <v>4</v>
      </c>
      <c r="D57">
        <f>C57*B57</f>
        <v>0.6</v>
      </c>
      <c r="G57" s="7" t="s">
        <v>135</v>
      </c>
    </row>
    <row r="58" spans="1:7" x14ac:dyDescent="0.3">
      <c r="A58" t="s">
        <v>152</v>
      </c>
      <c r="B58" s="3">
        <v>0.1</v>
      </c>
      <c r="C58">
        <v>3</v>
      </c>
      <c r="D58">
        <f t="shared" ref="D58:D64" si="4">C58*B58</f>
        <v>0.30000000000000004</v>
      </c>
      <c r="G58" s="7" t="s">
        <v>67</v>
      </c>
    </row>
    <row r="59" spans="1:7" x14ac:dyDescent="0.3">
      <c r="A59" t="s">
        <v>156</v>
      </c>
      <c r="B59" s="3">
        <v>0.1</v>
      </c>
      <c r="C59">
        <v>3</v>
      </c>
      <c r="D59">
        <f t="shared" si="4"/>
        <v>0.30000000000000004</v>
      </c>
      <c r="G59" s="7" t="s">
        <v>54</v>
      </c>
    </row>
    <row r="60" spans="1:7" x14ac:dyDescent="0.3">
      <c r="A60" t="s">
        <v>89</v>
      </c>
      <c r="B60" s="3">
        <v>0.15</v>
      </c>
      <c r="C60">
        <v>3</v>
      </c>
      <c r="D60">
        <f t="shared" si="4"/>
        <v>0.44999999999999996</v>
      </c>
      <c r="G60" s="7" t="s">
        <v>29</v>
      </c>
    </row>
    <row r="61" spans="1:7" x14ac:dyDescent="0.3">
      <c r="A61" t="s">
        <v>88</v>
      </c>
      <c r="B61" s="3">
        <v>0.15</v>
      </c>
      <c r="C61">
        <v>2</v>
      </c>
      <c r="D61">
        <f t="shared" si="4"/>
        <v>0.3</v>
      </c>
      <c r="G61" s="7" t="s">
        <v>83</v>
      </c>
    </row>
    <row r="62" spans="1:7" x14ac:dyDescent="0.3">
      <c r="A62" t="s">
        <v>153</v>
      </c>
      <c r="B62" s="3">
        <v>0.05</v>
      </c>
      <c r="C62">
        <v>4</v>
      </c>
      <c r="D62">
        <f t="shared" si="4"/>
        <v>0.2</v>
      </c>
      <c r="G62" s="7" t="s">
        <v>136</v>
      </c>
    </row>
    <row r="63" spans="1:7" x14ac:dyDescent="0.3">
      <c r="A63" t="s">
        <v>154</v>
      </c>
      <c r="B63" s="3">
        <v>0.05</v>
      </c>
      <c r="C63">
        <v>3</v>
      </c>
      <c r="D63">
        <f t="shared" si="4"/>
        <v>0.15000000000000002</v>
      </c>
      <c r="G63" s="7" t="s">
        <v>137</v>
      </c>
    </row>
    <row r="64" spans="1:7" x14ac:dyDescent="0.3">
      <c r="A64" t="s">
        <v>87</v>
      </c>
      <c r="B64" s="3">
        <v>0.1</v>
      </c>
      <c r="C64">
        <v>4</v>
      </c>
      <c r="D64">
        <f t="shared" si="4"/>
        <v>0.4</v>
      </c>
      <c r="G64" s="7" t="s">
        <v>67</v>
      </c>
    </row>
    <row r="65" spans="1:7" x14ac:dyDescent="0.3">
      <c r="A65" t="s">
        <v>86</v>
      </c>
      <c r="B65" s="3">
        <v>0.15</v>
      </c>
      <c r="C65">
        <v>3</v>
      </c>
      <c r="D65">
        <f>C65*B65</f>
        <v>0.44999999999999996</v>
      </c>
      <c r="G65" s="7" t="s">
        <v>54</v>
      </c>
    </row>
    <row r="66" spans="1:7" ht="15" thickBot="1" x14ac:dyDescent="0.35">
      <c r="B66" s="4">
        <f>SUM(B57:B65)</f>
        <v>1</v>
      </c>
      <c r="D66" s="6">
        <f>SUM(D57:D65)</f>
        <v>3.1500000000000004</v>
      </c>
      <c r="G66" s="7" t="s">
        <v>29</v>
      </c>
    </row>
    <row r="67" spans="1:7" ht="15" thickTop="1" x14ac:dyDescent="0.3">
      <c r="G67" s="7" t="s">
        <v>81</v>
      </c>
    </row>
    <row r="68" spans="1:7" x14ac:dyDescent="0.3">
      <c r="A68" t="s">
        <v>105</v>
      </c>
      <c r="G68" s="7" t="s">
        <v>138</v>
      </c>
    </row>
    <row r="69" spans="1:7" x14ac:dyDescent="0.3">
      <c r="A69" s="1" t="s">
        <v>0</v>
      </c>
      <c r="B69" s="1" t="s">
        <v>1</v>
      </c>
      <c r="C69" s="1" t="s">
        <v>151</v>
      </c>
      <c r="D69" s="1" t="s">
        <v>3</v>
      </c>
      <c r="G69" s="7" t="s">
        <v>139</v>
      </c>
    </row>
    <row r="70" spans="1:7" x14ac:dyDescent="0.3">
      <c r="A70" t="s">
        <v>155</v>
      </c>
      <c r="B70" s="3">
        <v>0.15</v>
      </c>
      <c r="C70">
        <v>3</v>
      </c>
      <c r="D70">
        <f>C70*B70</f>
        <v>0.44999999999999996</v>
      </c>
      <c r="G70" s="7" t="s">
        <v>67</v>
      </c>
    </row>
    <row r="71" spans="1:7" x14ac:dyDescent="0.3">
      <c r="A71" t="s">
        <v>152</v>
      </c>
      <c r="B71" s="3">
        <v>0.1</v>
      </c>
      <c r="C71">
        <v>2</v>
      </c>
      <c r="D71">
        <f t="shared" ref="D71:D77" si="5">C71*B71</f>
        <v>0.2</v>
      </c>
      <c r="G71" s="7" t="s">
        <v>54</v>
      </c>
    </row>
    <row r="72" spans="1:7" x14ac:dyDescent="0.3">
      <c r="A72" t="s">
        <v>156</v>
      </c>
      <c r="B72" s="3">
        <v>0.1</v>
      </c>
      <c r="C72">
        <v>4</v>
      </c>
      <c r="D72">
        <f t="shared" si="5"/>
        <v>0.4</v>
      </c>
      <c r="G72" s="7" t="s">
        <v>29</v>
      </c>
    </row>
    <row r="73" spans="1:7" x14ac:dyDescent="0.3">
      <c r="A73" t="s">
        <v>89</v>
      </c>
      <c r="B73" s="3">
        <v>0.15</v>
      </c>
      <c r="C73">
        <v>4</v>
      </c>
      <c r="D73">
        <f t="shared" si="5"/>
        <v>0.6</v>
      </c>
      <c r="G73" s="7" t="s">
        <v>50</v>
      </c>
    </row>
    <row r="74" spans="1:7" x14ac:dyDescent="0.3">
      <c r="A74" t="s">
        <v>88</v>
      </c>
      <c r="B74" s="3">
        <v>0.15</v>
      </c>
      <c r="C74">
        <v>3</v>
      </c>
      <c r="D74">
        <f t="shared" si="5"/>
        <v>0.44999999999999996</v>
      </c>
      <c r="G74" s="7" t="s">
        <v>140</v>
      </c>
    </row>
    <row r="75" spans="1:7" x14ac:dyDescent="0.3">
      <c r="A75" t="s">
        <v>153</v>
      </c>
      <c r="B75" s="3">
        <v>0.05</v>
      </c>
      <c r="C75">
        <v>3</v>
      </c>
      <c r="D75">
        <f t="shared" si="5"/>
        <v>0.15000000000000002</v>
      </c>
      <c r="G75" s="7" t="s">
        <v>141</v>
      </c>
    </row>
    <row r="76" spans="1:7" x14ac:dyDescent="0.3">
      <c r="A76" t="s">
        <v>154</v>
      </c>
      <c r="B76" s="3">
        <v>0.05</v>
      </c>
      <c r="C76">
        <v>4</v>
      </c>
      <c r="D76">
        <f t="shared" si="5"/>
        <v>0.2</v>
      </c>
      <c r="G76" s="7" t="s">
        <v>67</v>
      </c>
    </row>
    <row r="77" spans="1:7" x14ac:dyDescent="0.3">
      <c r="A77" t="s">
        <v>87</v>
      </c>
      <c r="B77" s="3">
        <v>0.1</v>
      </c>
      <c r="C77">
        <v>4</v>
      </c>
      <c r="D77">
        <f t="shared" si="5"/>
        <v>0.4</v>
      </c>
      <c r="G77" s="7" t="s">
        <v>54</v>
      </c>
    </row>
    <row r="78" spans="1:7" x14ac:dyDescent="0.3">
      <c r="A78" t="s">
        <v>86</v>
      </c>
      <c r="B78" s="3">
        <v>0.15</v>
      </c>
      <c r="C78">
        <v>3</v>
      </c>
      <c r="D78">
        <f>C78*B78</f>
        <v>0.44999999999999996</v>
      </c>
      <c r="G78" s="7" t="s">
        <v>29</v>
      </c>
    </row>
    <row r="79" spans="1:7" ht="15" thickBot="1" x14ac:dyDescent="0.35">
      <c r="B79" s="4">
        <f>SUM(B70:B78)</f>
        <v>1</v>
      </c>
      <c r="D79" s="6">
        <f>SUM(D70:D78)</f>
        <v>3.3</v>
      </c>
      <c r="G79" s="7" t="s">
        <v>82</v>
      </c>
    </row>
    <row r="80" spans="1:7" ht="15" thickTop="1" x14ac:dyDescent="0.3">
      <c r="G80" s="7" t="s">
        <v>142</v>
      </c>
    </row>
    <row r="81" spans="1:7" x14ac:dyDescent="0.3">
      <c r="A81" t="s">
        <v>106</v>
      </c>
      <c r="G81" s="7" t="s">
        <v>143</v>
      </c>
    </row>
    <row r="82" spans="1:7" x14ac:dyDescent="0.3">
      <c r="A82" s="1" t="s">
        <v>0</v>
      </c>
      <c r="B82" s="1" t="s">
        <v>1</v>
      </c>
      <c r="C82" s="1" t="s">
        <v>151</v>
      </c>
      <c r="D82" s="1" t="s">
        <v>3</v>
      </c>
      <c r="G82" s="7" t="s">
        <v>67</v>
      </c>
    </row>
    <row r="83" spans="1:7" x14ac:dyDescent="0.3">
      <c r="A83" t="s">
        <v>155</v>
      </c>
      <c r="B83" s="3">
        <v>0.15</v>
      </c>
      <c r="C83">
        <v>3</v>
      </c>
      <c r="D83">
        <f>C83*B83</f>
        <v>0.44999999999999996</v>
      </c>
      <c r="G83" s="7" t="s">
        <v>54</v>
      </c>
    </row>
    <row r="84" spans="1:7" x14ac:dyDescent="0.3">
      <c r="A84" t="s">
        <v>152</v>
      </c>
      <c r="B84" s="3">
        <v>0.1</v>
      </c>
      <c r="C84">
        <v>2</v>
      </c>
      <c r="D84">
        <f t="shared" ref="D84:D90" si="6">C84*B84</f>
        <v>0.2</v>
      </c>
      <c r="G84" s="7" t="s">
        <v>29</v>
      </c>
    </row>
    <row r="85" spans="1:7" x14ac:dyDescent="0.3">
      <c r="A85" t="s">
        <v>156</v>
      </c>
      <c r="B85" s="3">
        <v>0.1</v>
      </c>
      <c r="C85">
        <v>3</v>
      </c>
      <c r="D85">
        <f t="shared" si="6"/>
        <v>0.30000000000000004</v>
      </c>
      <c r="G85" s="7" t="s">
        <v>144</v>
      </c>
    </row>
    <row r="86" spans="1:7" x14ac:dyDescent="0.3">
      <c r="A86" t="s">
        <v>89</v>
      </c>
      <c r="B86" s="3">
        <v>0.15</v>
      </c>
      <c r="C86">
        <v>3</v>
      </c>
      <c r="D86">
        <f t="shared" si="6"/>
        <v>0.44999999999999996</v>
      </c>
      <c r="G86" s="7" t="s">
        <v>145</v>
      </c>
    </row>
    <row r="87" spans="1:7" x14ac:dyDescent="0.3">
      <c r="A87" t="s">
        <v>88</v>
      </c>
      <c r="B87" s="3">
        <v>0.15</v>
      </c>
      <c r="C87">
        <v>3</v>
      </c>
      <c r="D87">
        <f t="shared" si="6"/>
        <v>0.44999999999999996</v>
      </c>
      <c r="G87" s="7" t="s">
        <v>146</v>
      </c>
    </row>
    <row r="88" spans="1:7" x14ac:dyDescent="0.3">
      <c r="A88" t="s">
        <v>153</v>
      </c>
      <c r="B88" s="3">
        <v>0.05</v>
      </c>
      <c r="C88">
        <v>4</v>
      </c>
      <c r="D88">
        <f t="shared" si="6"/>
        <v>0.2</v>
      </c>
      <c r="G88" s="7" t="s">
        <v>67</v>
      </c>
    </row>
    <row r="89" spans="1:7" x14ac:dyDescent="0.3">
      <c r="A89" t="s">
        <v>154</v>
      </c>
      <c r="B89" s="3">
        <v>0.05</v>
      </c>
      <c r="C89">
        <v>4</v>
      </c>
      <c r="D89">
        <f t="shared" si="6"/>
        <v>0.2</v>
      </c>
      <c r="G89" s="7" t="s">
        <v>54</v>
      </c>
    </row>
    <row r="90" spans="1:7" x14ac:dyDescent="0.3">
      <c r="A90" t="s">
        <v>87</v>
      </c>
      <c r="B90" s="3">
        <v>0.1</v>
      </c>
      <c r="C90">
        <v>3</v>
      </c>
      <c r="D90">
        <f t="shared" si="6"/>
        <v>0.30000000000000004</v>
      </c>
      <c r="G90" s="7" t="s">
        <v>29</v>
      </c>
    </row>
    <row r="91" spans="1:7" x14ac:dyDescent="0.3">
      <c r="A91" t="s">
        <v>86</v>
      </c>
      <c r="B91" s="3">
        <v>0.15</v>
      </c>
      <c r="C91">
        <v>3</v>
      </c>
      <c r="D91">
        <f>C91*B91</f>
        <v>0.44999999999999996</v>
      </c>
      <c r="G91" s="7" t="s">
        <v>68</v>
      </c>
    </row>
    <row r="92" spans="1:7" ht="15" thickBot="1" x14ac:dyDescent="0.35">
      <c r="B92" s="4">
        <f>SUM(B83:B91)</f>
        <v>1</v>
      </c>
      <c r="D92" s="6">
        <f>SUM(D83:D91)</f>
        <v>3</v>
      </c>
      <c r="G92" s="7" t="s">
        <v>147</v>
      </c>
    </row>
    <row r="93" spans="1:7" ht="15" thickTop="1" x14ac:dyDescent="0.3">
      <c r="G93" s="7" t="s">
        <v>70</v>
      </c>
    </row>
    <row r="94" spans="1:7" x14ac:dyDescent="0.3">
      <c r="A94" t="s">
        <v>107</v>
      </c>
      <c r="G94" s="7" t="s">
        <v>17</v>
      </c>
    </row>
    <row r="95" spans="1:7" x14ac:dyDescent="0.3">
      <c r="A95" s="1" t="s">
        <v>0</v>
      </c>
      <c r="B95" s="1" t="s">
        <v>1</v>
      </c>
      <c r="C95" s="1" t="s">
        <v>151</v>
      </c>
      <c r="D95" s="1" t="s">
        <v>3</v>
      </c>
      <c r="G95" s="7" t="s">
        <v>71</v>
      </c>
    </row>
    <row r="96" spans="1:7" x14ac:dyDescent="0.3">
      <c r="A96" t="s">
        <v>155</v>
      </c>
      <c r="B96" s="3">
        <v>0.15</v>
      </c>
      <c r="C96">
        <v>3</v>
      </c>
      <c r="D96">
        <f>C96*B96</f>
        <v>0.44999999999999996</v>
      </c>
      <c r="G96" s="7" t="s">
        <v>148</v>
      </c>
    </row>
    <row r="97" spans="1:7" x14ac:dyDescent="0.3">
      <c r="A97" t="s">
        <v>152</v>
      </c>
      <c r="B97" s="3">
        <v>0.1</v>
      </c>
      <c r="C97">
        <v>3</v>
      </c>
      <c r="D97">
        <f t="shared" ref="D97:D103" si="7">C97*B97</f>
        <v>0.30000000000000004</v>
      </c>
      <c r="G97" s="7" t="s">
        <v>149</v>
      </c>
    </row>
    <row r="98" spans="1:7" x14ac:dyDescent="0.3">
      <c r="A98" t="s">
        <v>156</v>
      </c>
      <c r="B98" s="3">
        <v>0.1</v>
      </c>
      <c r="C98">
        <v>2</v>
      </c>
      <c r="D98">
        <f t="shared" si="7"/>
        <v>0.2</v>
      </c>
      <c r="G98" s="7" t="s">
        <v>84</v>
      </c>
    </row>
    <row r="99" spans="1:7" x14ac:dyDescent="0.3">
      <c r="A99" t="s">
        <v>89</v>
      </c>
      <c r="B99" s="3">
        <v>0.15</v>
      </c>
      <c r="C99">
        <v>3</v>
      </c>
      <c r="D99">
        <f t="shared" si="7"/>
        <v>0.44999999999999996</v>
      </c>
      <c r="G99" s="7" t="s">
        <v>150</v>
      </c>
    </row>
    <row r="100" spans="1:7" x14ac:dyDescent="0.3">
      <c r="A100" t="s">
        <v>88</v>
      </c>
      <c r="B100" s="3">
        <v>0.15</v>
      </c>
      <c r="C100">
        <v>3</v>
      </c>
      <c r="D100">
        <f t="shared" si="7"/>
        <v>0.44999999999999996</v>
      </c>
      <c r="G100" s="7" t="s">
        <v>76</v>
      </c>
    </row>
    <row r="101" spans="1:7" x14ac:dyDescent="0.3">
      <c r="A101" t="s">
        <v>153</v>
      </c>
      <c r="B101" s="3">
        <v>0.05</v>
      </c>
      <c r="C101">
        <v>3</v>
      </c>
      <c r="D101">
        <f t="shared" si="7"/>
        <v>0.15000000000000002</v>
      </c>
      <c r="G101" s="7" t="s">
        <v>77</v>
      </c>
    </row>
    <row r="102" spans="1:7" x14ac:dyDescent="0.3">
      <c r="A102" t="s">
        <v>154</v>
      </c>
      <c r="B102" s="3">
        <v>0.05</v>
      </c>
      <c r="C102">
        <v>2</v>
      </c>
      <c r="D102">
        <f t="shared" si="7"/>
        <v>0.1</v>
      </c>
    </row>
    <row r="103" spans="1:7" x14ac:dyDescent="0.3">
      <c r="A103" t="s">
        <v>87</v>
      </c>
      <c r="B103" s="3">
        <v>0.1</v>
      </c>
      <c r="C103">
        <v>4</v>
      </c>
      <c r="D103">
        <f t="shared" si="7"/>
        <v>0.4</v>
      </c>
      <c r="G103" s="7" t="s">
        <v>193</v>
      </c>
    </row>
    <row r="104" spans="1:7" x14ac:dyDescent="0.3">
      <c r="A104" t="s">
        <v>86</v>
      </c>
      <c r="B104" s="3">
        <v>0.15</v>
      </c>
      <c r="C104">
        <v>4</v>
      </c>
      <c r="D104">
        <f>C104*B104</f>
        <v>0.6</v>
      </c>
    </row>
    <row r="105" spans="1:7" ht="15" thickBot="1" x14ac:dyDescent="0.35">
      <c r="B105" s="4">
        <f>SUM(B96:B104)</f>
        <v>1</v>
      </c>
      <c r="D105" s="6">
        <f>SUM(D96:D104)</f>
        <v>3.1</v>
      </c>
      <c r="G105" s="7" t="s">
        <v>167</v>
      </c>
    </row>
    <row r="106" spans="1:7" ht="15" thickTop="1" x14ac:dyDescent="0.3">
      <c r="G106" s="13" t="s">
        <v>168</v>
      </c>
    </row>
    <row r="107" spans="1:7" x14ac:dyDescent="0.3">
      <c r="A107" t="s">
        <v>108</v>
      </c>
      <c r="G107" s="13" t="s">
        <v>169</v>
      </c>
    </row>
    <row r="108" spans="1:7" x14ac:dyDescent="0.3">
      <c r="A108" s="1" t="s">
        <v>0</v>
      </c>
      <c r="B108" s="1" t="s">
        <v>1</v>
      </c>
      <c r="C108" s="1" t="s">
        <v>151</v>
      </c>
      <c r="D108" s="1" t="s">
        <v>3</v>
      </c>
      <c r="G108" s="13" t="s">
        <v>170</v>
      </c>
    </row>
    <row r="109" spans="1:7" x14ac:dyDescent="0.3">
      <c r="A109" t="s">
        <v>155</v>
      </c>
      <c r="B109" s="3">
        <v>0.15</v>
      </c>
      <c r="C109">
        <v>3</v>
      </c>
      <c r="D109">
        <f>C109*B109</f>
        <v>0.44999999999999996</v>
      </c>
      <c r="G109" s="13" t="s">
        <v>171</v>
      </c>
    </row>
    <row r="110" spans="1:7" x14ac:dyDescent="0.3">
      <c r="A110" t="s">
        <v>152</v>
      </c>
      <c r="B110" s="3">
        <v>0.1</v>
      </c>
      <c r="C110">
        <v>2</v>
      </c>
      <c r="D110">
        <f t="shared" ref="D110:D116" si="8">C110*B110</f>
        <v>0.2</v>
      </c>
    </row>
    <row r="111" spans="1:7" x14ac:dyDescent="0.3">
      <c r="A111" t="s">
        <v>156</v>
      </c>
      <c r="B111" s="3">
        <v>0.1</v>
      </c>
      <c r="C111">
        <v>3</v>
      </c>
      <c r="D111">
        <f t="shared" si="8"/>
        <v>0.30000000000000004</v>
      </c>
      <c r="G111" s="7" t="s">
        <v>172</v>
      </c>
    </row>
    <row r="112" spans="1:7" x14ac:dyDescent="0.3">
      <c r="A112" t="s">
        <v>89</v>
      </c>
      <c r="B112" s="3">
        <v>0.15</v>
      </c>
      <c r="C112">
        <v>3</v>
      </c>
      <c r="D112">
        <f t="shared" si="8"/>
        <v>0.44999999999999996</v>
      </c>
      <c r="G112" s="13" t="s">
        <v>173</v>
      </c>
    </row>
    <row r="113" spans="1:7" x14ac:dyDescent="0.3">
      <c r="A113" t="s">
        <v>88</v>
      </c>
      <c r="B113" s="3">
        <v>0.15</v>
      </c>
      <c r="C113">
        <v>3</v>
      </c>
      <c r="D113">
        <f t="shared" si="8"/>
        <v>0.44999999999999996</v>
      </c>
      <c r="G113" s="13" t="s">
        <v>174</v>
      </c>
    </row>
    <row r="114" spans="1:7" x14ac:dyDescent="0.3">
      <c r="A114" t="s">
        <v>153</v>
      </c>
      <c r="B114" s="3">
        <v>0.05</v>
      </c>
      <c r="C114">
        <v>4</v>
      </c>
      <c r="D114">
        <f t="shared" si="8"/>
        <v>0.2</v>
      </c>
      <c r="G114" s="13" t="s">
        <v>175</v>
      </c>
    </row>
    <row r="115" spans="1:7" x14ac:dyDescent="0.3">
      <c r="A115" t="s">
        <v>154</v>
      </c>
      <c r="B115" s="3">
        <v>0.05</v>
      </c>
      <c r="C115">
        <v>4</v>
      </c>
      <c r="D115">
        <f t="shared" si="8"/>
        <v>0.2</v>
      </c>
      <c r="G115" s="13" t="s">
        <v>194</v>
      </c>
    </row>
    <row r="116" spans="1:7" x14ac:dyDescent="0.3">
      <c r="A116" t="s">
        <v>87</v>
      </c>
      <c r="B116" s="3">
        <v>0.1</v>
      </c>
      <c r="C116">
        <v>4</v>
      </c>
      <c r="D116">
        <f t="shared" si="8"/>
        <v>0.4</v>
      </c>
      <c r="G116" s="13" t="s">
        <v>177</v>
      </c>
    </row>
    <row r="117" spans="1:7" x14ac:dyDescent="0.3">
      <c r="A117" t="s">
        <v>86</v>
      </c>
      <c r="B117" s="3">
        <v>0.15</v>
      </c>
      <c r="C117">
        <v>3</v>
      </c>
      <c r="D117">
        <f>C117*B117</f>
        <v>0.44999999999999996</v>
      </c>
      <c r="G117" s="13" t="s">
        <v>178</v>
      </c>
    </row>
    <row r="118" spans="1:7" ht="15" thickBot="1" x14ac:dyDescent="0.35">
      <c r="B118" s="4">
        <f>SUM(B109:B117)</f>
        <v>1</v>
      </c>
      <c r="D118" s="6">
        <f>SUM(D109:D117)</f>
        <v>3.0999999999999996</v>
      </c>
      <c r="G118" s="13" t="s">
        <v>179</v>
      </c>
    </row>
    <row r="119" spans="1:7" ht="15" thickTop="1" x14ac:dyDescent="0.3">
      <c r="G119" s="13" t="s">
        <v>180</v>
      </c>
    </row>
    <row r="120" spans="1:7" x14ac:dyDescent="0.3">
      <c r="G120" s="13" t="s">
        <v>181</v>
      </c>
    </row>
    <row r="122" spans="1:7" x14ac:dyDescent="0.3">
      <c r="G122" s="7" t="s">
        <v>182</v>
      </c>
    </row>
    <row r="123" spans="1:7" x14ac:dyDescent="0.3">
      <c r="G123" s="7" t="s">
        <v>183</v>
      </c>
    </row>
    <row r="125" spans="1:7" x14ac:dyDescent="0.3">
      <c r="G125" s="7" t="s">
        <v>184</v>
      </c>
    </row>
    <row r="126" spans="1:7" x14ac:dyDescent="0.3">
      <c r="G126" s="13" t="s">
        <v>185</v>
      </c>
    </row>
    <row r="127" spans="1:7" x14ac:dyDescent="0.3">
      <c r="G127" s="13" t="s">
        <v>186</v>
      </c>
    </row>
    <row r="128" spans="1:7" x14ac:dyDescent="0.3">
      <c r="G128" s="13" t="s">
        <v>187</v>
      </c>
    </row>
    <row r="130" spans="7:7" x14ac:dyDescent="0.3">
      <c r="G130" s="7" t="s">
        <v>188</v>
      </c>
    </row>
    <row r="132" spans="7:7" x14ac:dyDescent="0.3">
      <c r="G132" s="7" t="s">
        <v>189</v>
      </c>
    </row>
    <row r="133" spans="7:7" x14ac:dyDescent="0.3">
      <c r="G133" s="13" t="s">
        <v>195</v>
      </c>
    </row>
    <row r="134" spans="7:7" x14ac:dyDescent="0.3">
      <c r="G134" s="13" t="s">
        <v>196</v>
      </c>
    </row>
    <row r="135" spans="7:7" x14ac:dyDescent="0.3">
      <c r="G135" s="13" t="s">
        <v>192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F4B99-410F-4CA4-B693-39F19F503C7B}">
  <dimension ref="A1:G119"/>
  <sheetViews>
    <sheetView topLeftCell="B65" workbookViewId="0">
      <selection activeCell="G79" sqref="G1:G79"/>
    </sheetView>
  </sheetViews>
  <sheetFormatPr defaultRowHeight="14.4" x14ac:dyDescent="0.3"/>
  <cols>
    <col min="1" max="1" width="59.44140625" bestFit="1" customWidth="1"/>
    <col min="2" max="2" width="6.77734375" bestFit="1" customWidth="1"/>
    <col min="3" max="3" width="10.21875" bestFit="1" customWidth="1"/>
    <col min="4" max="4" width="13.88671875" bestFit="1" customWidth="1"/>
  </cols>
  <sheetData>
    <row r="1" spans="1:7" x14ac:dyDescent="0.3">
      <c r="A1" s="2" t="s">
        <v>4</v>
      </c>
      <c r="B1" s="5">
        <f>B5*5 + B6*5 +B7*5+B8*5+B9*5+B10*5+B11*5+B12*5+B13*5</f>
        <v>5</v>
      </c>
    </row>
    <row r="2" spans="1:7" x14ac:dyDescent="0.3">
      <c r="F2" s="2" t="s">
        <v>2</v>
      </c>
      <c r="G2" s="7"/>
    </row>
    <row r="3" spans="1:7" x14ac:dyDescent="0.3">
      <c r="A3" t="s">
        <v>100</v>
      </c>
      <c r="G3" s="7"/>
    </row>
    <row r="4" spans="1:7" x14ac:dyDescent="0.3">
      <c r="A4" s="1" t="s">
        <v>0</v>
      </c>
      <c r="B4" s="1" t="s">
        <v>1</v>
      </c>
      <c r="C4" s="1" t="s">
        <v>151</v>
      </c>
      <c r="D4" s="1" t="s">
        <v>3</v>
      </c>
      <c r="G4" s="7"/>
    </row>
    <row r="5" spans="1:7" x14ac:dyDescent="0.3">
      <c r="A5" t="s">
        <v>155</v>
      </c>
      <c r="B5" s="3">
        <v>0.15</v>
      </c>
      <c r="C5">
        <v>4</v>
      </c>
      <c r="D5">
        <f>C5*B5</f>
        <v>0.6</v>
      </c>
      <c r="G5" s="7"/>
    </row>
    <row r="6" spans="1:7" x14ac:dyDescent="0.3">
      <c r="A6" t="s">
        <v>152</v>
      </c>
      <c r="B6" s="3">
        <v>0.1</v>
      </c>
      <c r="C6">
        <v>4</v>
      </c>
      <c r="D6">
        <f t="shared" ref="D6:D12" si="0">C6*B6</f>
        <v>0.4</v>
      </c>
      <c r="G6" s="7"/>
    </row>
    <row r="7" spans="1:7" x14ac:dyDescent="0.3">
      <c r="A7" t="s">
        <v>156</v>
      </c>
      <c r="B7" s="3">
        <v>0.1</v>
      </c>
      <c r="C7">
        <v>3</v>
      </c>
      <c r="D7">
        <f t="shared" si="0"/>
        <v>0.30000000000000004</v>
      </c>
      <c r="G7" s="7"/>
    </row>
    <row r="8" spans="1:7" x14ac:dyDescent="0.3">
      <c r="A8" t="s">
        <v>89</v>
      </c>
      <c r="B8" s="3">
        <v>0.15</v>
      </c>
      <c r="C8">
        <v>2</v>
      </c>
      <c r="D8">
        <f t="shared" si="0"/>
        <v>0.3</v>
      </c>
      <c r="G8" s="7"/>
    </row>
    <row r="9" spans="1:7" x14ac:dyDescent="0.3">
      <c r="A9" t="s">
        <v>88</v>
      </c>
      <c r="B9" s="3">
        <v>0.15</v>
      </c>
      <c r="C9">
        <v>3</v>
      </c>
      <c r="D9">
        <f t="shared" si="0"/>
        <v>0.44999999999999996</v>
      </c>
      <c r="G9" s="7"/>
    </row>
    <row r="10" spans="1:7" x14ac:dyDescent="0.3">
      <c r="A10" t="s">
        <v>153</v>
      </c>
      <c r="B10" s="3">
        <v>0.05</v>
      </c>
      <c r="C10">
        <v>2</v>
      </c>
      <c r="D10">
        <f t="shared" si="0"/>
        <v>0.1</v>
      </c>
      <c r="G10" s="7"/>
    </row>
    <row r="11" spans="1:7" x14ac:dyDescent="0.3">
      <c r="A11" t="s">
        <v>154</v>
      </c>
      <c r="B11" s="3">
        <v>0.05</v>
      </c>
      <c r="C11">
        <v>2</v>
      </c>
      <c r="D11">
        <f t="shared" si="0"/>
        <v>0.1</v>
      </c>
      <c r="G11" s="7"/>
    </row>
    <row r="12" spans="1:7" x14ac:dyDescent="0.3">
      <c r="A12" t="s">
        <v>87</v>
      </c>
      <c r="B12" s="3">
        <v>0.1</v>
      </c>
      <c r="C12">
        <v>4</v>
      </c>
      <c r="D12">
        <f t="shared" si="0"/>
        <v>0.4</v>
      </c>
      <c r="G12" s="7"/>
    </row>
    <row r="13" spans="1:7" x14ac:dyDescent="0.3">
      <c r="A13" t="s">
        <v>86</v>
      </c>
      <c r="B13" s="3">
        <v>0.15</v>
      </c>
      <c r="C13">
        <v>4</v>
      </c>
      <c r="D13">
        <f>C13*B13</f>
        <v>0.6</v>
      </c>
      <c r="G13" s="7"/>
    </row>
    <row r="14" spans="1:7" ht="15" thickBot="1" x14ac:dyDescent="0.35">
      <c r="B14" s="4">
        <f>SUM(B5:B13)</f>
        <v>1</v>
      </c>
      <c r="D14" s="6">
        <f>SUM(D5:D13)</f>
        <v>3.25</v>
      </c>
      <c r="G14" s="7"/>
    </row>
    <row r="15" spans="1:7" ht="15" thickTop="1" x14ac:dyDescent="0.3">
      <c r="G15" s="7"/>
    </row>
    <row r="16" spans="1:7" x14ac:dyDescent="0.3">
      <c r="A16" t="s">
        <v>101</v>
      </c>
      <c r="G16" s="7"/>
    </row>
    <row r="17" spans="1:7" x14ac:dyDescent="0.3">
      <c r="A17" s="1" t="s">
        <v>0</v>
      </c>
      <c r="B17" s="1" t="s">
        <v>1</v>
      </c>
      <c r="C17" s="1" t="s">
        <v>151</v>
      </c>
      <c r="D17" s="1" t="s">
        <v>3</v>
      </c>
      <c r="G17" s="7"/>
    </row>
    <row r="18" spans="1:7" x14ac:dyDescent="0.3">
      <c r="A18" t="s">
        <v>155</v>
      </c>
      <c r="B18" s="3">
        <v>0.15</v>
      </c>
      <c r="C18">
        <v>4</v>
      </c>
      <c r="D18">
        <f>C18*B18</f>
        <v>0.6</v>
      </c>
      <c r="G18" s="7"/>
    </row>
    <row r="19" spans="1:7" x14ac:dyDescent="0.3">
      <c r="A19" t="s">
        <v>152</v>
      </c>
      <c r="B19" s="3">
        <v>0.1</v>
      </c>
      <c r="C19">
        <v>4</v>
      </c>
      <c r="D19">
        <f t="shared" ref="D19:D25" si="1">C19*B19</f>
        <v>0.4</v>
      </c>
      <c r="G19" s="7"/>
    </row>
    <row r="20" spans="1:7" x14ac:dyDescent="0.3">
      <c r="A20" t="s">
        <v>156</v>
      </c>
      <c r="B20" s="3">
        <v>0.1</v>
      </c>
      <c r="C20">
        <v>3</v>
      </c>
      <c r="D20">
        <f t="shared" si="1"/>
        <v>0.30000000000000004</v>
      </c>
      <c r="G20" s="7"/>
    </row>
    <row r="21" spans="1:7" x14ac:dyDescent="0.3">
      <c r="A21" t="s">
        <v>89</v>
      </c>
      <c r="B21" s="3">
        <v>0.15</v>
      </c>
      <c r="C21">
        <v>2</v>
      </c>
      <c r="D21">
        <f t="shared" si="1"/>
        <v>0.3</v>
      </c>
      <c r="G21" s="7"/>
    </row>
    <row r="22" spans="1:7" x14ac:dyDescent="0.3">
      <c r="A22" t="s">
        <v>88</v>
      </c>
      <c r="B22" s="3">
        <v>0.15</v>
      </c>
      <c r="C22">
        <v>3</v>
      </c>
      <c r="D22">
        <f t="shared" si="1"/>
        <v>0.44999999999999996</v>
      </c>
      <c r="G22" s="7"/>
    </row>
    <row r="23" spans="1:7" x14ac:dyDescent="0.3">
      <c r="A23" t="s">
        <v>153</v>
      </c>
      <c r="B23" s="3">
        <v>0.05</v>
      </c>
      <c r="C23">
        <v>2</v>
      </c>
      <c r="D23">
        <f t="shared" si="1"/>
        <v>0.1</v>
      </c>
      <c r="G23" s="7"/>
    </row>
    <row r="24" spans="1:7" x14ac:dyDescent="0.3">
      <c r="A24" t="s">
        <v>154</v>
      </c>
      <c r="B24" s="3">
        <v>0.05</v>
      </c>
      <c r="C24">
        <v>2</v>
      </c>
      <c r="D24">
        <f t="shared" si="1"/>
        <v>0.1</v>
      </c>
      <c r="G24" s="7"/>
    </row>
    <row r="25" spans="1:7" x14ac:dyDescent="0.3">
      <c r="A25" t="s">
        <v>87</v>
      </c>
      <c r="B25" s="3">
        <v>0.1</v>
      </c>
      <c r="C25">
        <v>4</v>
      </c>
      <c r="D25">
        <f t="shared" si="1"/>
        <v>0.4</v>
      </c>
      <c r="G25" s="7"/>
    </row>
    <row r="26" spans="1:7" x14ac:dyDescent="0.3">
      <c r="A26" t="s">
        <v>86</v>
      </c>
      <c r="B26" s="3">
        <v>0.15</v>
      </c>
      <c r="C26">
        <v>4</v>
      </c>
      <c r="D26">
        <f>C26*B26</f>
        <v>0.6</v>
      </c>
      <c r="G26" s="7"/>
    </row>
    <row r="27" spans="1:7" ht="15" thickBot="1" x14ac:dyDescent="0.35">
      <c r="B27" s="4">
        <f>SUM(B18:B26)</f>
        <v>1</v>
      </c>
      <c r="D27" s="6">
        <f>SUM(D18:D26)</f>
        <v>3.25</v>
      </c>
      <c r="G27" s="7"/>
    </row>
    <row r="28" spans="1:7" ht="15" thickTop="1" x14ac:dyDescent="0.3">
      <c r="G28" s="7"/>
    </row>
    <row r="29" spans="1:7" x14ac:dyDescent="0.3">
      <c r="A29" t="s">
        <v>102</v>
      </c>
      <c r="G29" s="7"/>
    </row>
    <row r="30" spans="1:7" x14ac:dyDescent="0.3">
      <c r="A30" s="1" t="s">
        <v>0</v>
      </c>
      <c r="B30" s="1" t="s">
        <v>1</v>
      </c>
      <c r="C30" s="1" t="s">
        <v>151</v>
      </c>
      <c r="D30" s="1" t="s">
        <v>3</v>
      </c>
      <c r="G30" s="7"/>
    </row>
    <row r="31" spans="1:7" x14ac:dyDescent="0.3">
      <c r="A31" t="s">
        <v>155</v>
      </c>
      <c r="B31" s="3">
        <v>0.15</v>
      </c>
      <c r="C31">
        <v>4</v>
      </c>
      <c r="D31">
        <f>C31*B31</f>
        <v>0.6</v>
      </c>
      <c r="G31" s="7"/>
    </row>
    <row r="32" spans="1:7" x14ac:dyDescent="0.3">
      <c r="A32" t="s">
        <v>152</v>
      </c>
      <c r="B32" s="3">
        <v>0.1</v>
      </c>
      <c r="C32">
        <v>4</v>
      </c>
      <c r="D32">
        <f t="shared" ref="D32:D38" si="2">C32*B32</f>
        <v>0.4</v>
      </c>
      <c r="G32" s="7"/>
    </row>
    <row r="33" spans="1:7" x14ac:dyDescent="0.3">
      <c r="A33" t="s">
        <v>156</v>
      </c>
      <c r="B33" s="3">
        <v>0.1</v>
      </c>
      <c r="C33">
        <v>3</v>
      </c>
      <c r="D33">
        <f t="shared" si="2"/>
        <v>0.30000000000000004</v>
      </c>
      <c r="G33" s="7"/>
    </row>
    <row r="34" spans="1:7" x14ac:dyDescent="0.3">
      <c r="A34" t="s">
        <v>89</v>
      </c>
      <c r="B34" s="3">
        <v>0.15</v>
      </c>
      <c r="C34">
        <v>2</v>
      </c>
      <c r="D34">
        <f t="shared" si="2"/>
        <v>0.3</v>
      </c>
      <c r="G34" s="7"/>
    </row>
    <row r="35" spans="1:7" x14ac:dyDescent="0.3">
      <c r="A35" t="s">
        <v>88</v>
      </c>
      <c r="B35" s="3">
        <v>0.15</v>
      </c>
      <c r="C35">
        <v>3</v>
      </c>
      <c r="D35">
        <f t="shared" si="2"/>
        <v>0.44999999999999996</v>
      </c>
      <c r="G35" s="7"/>
    </row>
    <row r="36" spans="1:7" x14ac:dyDescent="0.3">
      <c r="A36" t="s">
        <v>153</v>
      </c>
      <c r="B36" s="3">
        <v>0.05</v>
      </c>
      <c r="C36">
        <v>2</v>
      </c>
      <c r="D36">
        <f t="shared" si="2"/>
        <v>0.1</v>
      </c>
      <c r="G36" s="7"/>
    </row>
    <row r="37" spans="1:7" x14ac:dyDescent="0.3">
      <c r="A37" t="s">
        <v>154</v>
      </c>
      <c r="B37" s="3">
        <v>0.05</v>
      </c>
      <c r="C37">
        <v>2</v>
      </c>
      <c r="D37">
        <f t="shared" si="2"/>
        <v>0.1</v>
      </c>
      <c r="G37" s="7"/>
    </row>
    <row r="38" spans="1:7" x14ac:dyDescent="0.3">
      <c r="A38" t="s">
        <v>87</v>
      </c>
      <c r="B38" s="3">
        <v>0.1</v>
      </c>
      <c r="C38">
        <v>4</v>
      </c>
      <c r="D38">
        <f t="shared" si="2"/>
        <v>0.4</v>
      </c>
      <c r="G38" s="7"/>
    </row>
    <row r="39" spans="1:7" x14ac:dyDescent="0.3">
      <c r="A39" t="s">
        <v>86</v>
      </c>
      <c r="B39" s="3">
        <v>0.15</v>
      </c>
      <c r="C39">
        <v>4</v>
      </c>
      <c r="D39">
        <f>C39*B39</f>
        <v>0.6</v>
      </c>
      <c r="G39" s="7"/>
    </row>
    <row r="40" spans="1:7" ht="15" thickBot="1" x14ac:dyDescent="0.35">
      <c r="B40" s="4">
        <f>SUM(B31:B39)</f>
        <v>1</v>
      </c>
      <c r="D40" s="6">
        <f>SUM(D31:D39)</f>
        <v>3.25</v>
      </c>
      <c r="G40" s="7"/>
    </row>
    <row r="41" spans="1:7" ht="15" thickTop="1" x14ac:dyDescent="0.3">
      <c r="G41" s="7"/>
    </row>
    <row r="42" spans="1:7" x14ac:dyDescent="0.3">
      <c r="A42" t="s">
        <v>103</v>
      </c>
      <c r="G42" s="7"/>
    </row>
    <row r="43" spans="1:7" x14ac:dyDescent="0.3">
      <c r="A43" s="1" t="s">
        <v>0</v>
      </c>
      <c r="B43" s="1" t="s">
        <v>1</v>
      </c>
      <c r="C43" s="1" t="s">
        <v>151</v>
      </c>
      <c r="D43" s="1" t="s">
        <v>3</v>
      </c>
      <c r="G43" s="7"/>
    </row>
    <row r="44" spans="1:7" x14ac:dyDescent="0.3">
      <c r="A44" t="s">
        <v>155</v>
      </c>
      <c r="B44" s="3">
        <v>0.15</v>
      </c>
      <c r="C44">
        <v>4</v>
      </c>
      <c r="D44">
        <f>C44*B44</f>
        <v>0.6</v>
      </c>
      <c r="G44" s="7"/>
    </row>
    <row r="45" spans="1:7" x14ac:dyDescent="0.3">
      <c r="A45" t="s">
        <v>152</v>
      </c>
      <c r="B45" s="3">
        <v>0.1</v>
      </c>
      <c r="C45">
        <v>4</v>
      </c>
      <c r="D45">
        <f t="shared" ref="D45:D51" si="3">C45*B45</f>
        <v>0.4</v>
      </c>
      <c r="G45" s="7"/>
    </row>
    <row r="46" spans="1:7" x14ac:dyDescent="0.3">
      <c r="A46" t="s">
        <v>156</v>
      </c>
      <c r="B46" s="3">
        <v>0.1</v>
      </c>
      <c r="C46">
        <v>3</v>
      </c>
      <c r="D46">
        <f t="shared" si="3"/>
        <v>0.30000000000000004</v>
      </c>
      <c r="G46" s="7"/>
    </row>
    <row r="47" spans="1:7" x14ac:dyDescent="0.3">
      <c r="A47" t="s">
        <v>89</v>
      </c>
      <c r="B47" s="3">
        <v>0.15</v>
      </c>
      <c r="C47">
        <v>2</v>
      </c>
      <c r="D47">
        <f t="shared" si="3"/>
        <v>0.3</v>
      </c>
      <c r="G47" s="7"/>
    </row>
    <row r="48" spans="1:7" x14ac:dyDescent="0.3">
      <c r="A48" t="s">
        <v>88</v>
      </c>
      <c r="B48" s="3">
        <v>0.15</v>
      </c>
      <c r="C48">
        <v>3</v>
      </c>
      <c r="D48">
        <f t="shared" si="3"/>
        <v>0.44999999999999996</v>
      </c>
      <c r="G48" s="7"/>
    </row>
    <row r="49" spans="1:7" x14ac:dyDescent="0.3">
      <c r="A49" t="s">
        <v>153</v>
      </c>
      <c r="B49" s="3">
        <v>0.05</v>
      </c>
      <c r="C49">
        <v>2</v>
      </c>
      <c r="D49">
        <f t="shared" si="3"/>
        <v>0.1</v>
      </c>
      <c r="G49" s="7"/>
    </row>
    <row r="50" spans="1:7" x14ac:dyDescent="0.3">
      <c r="A50" t="s">
        <v>154</v>
      </c>
      <c r="B50" s="3">
        <v>0.05</v>
      </c>
      <c r="C50">
        <v>2</v>
      </c>
      <c r="D50">
        <f t="shared" si="3"/>
        <v>0.1</v>
      </c>
      <c r="G50" s="7"/>
    </row>
    <row r="51" spans="1:7" x14ac:dyDescent="0.3">
      <c r="A51" t="s">
        <v>87</v>
      </c>
      <c r="B51" s="3">
        <v>0.1</v>
      </c>
      <c r="C51">
        <v>4</v>
      </c>
      <c r="D51">
        <f t="shared" si="3"/>
        <v>0.4</v>
      </c>
      <c r="G51" s="7"/>
    </row>
    <row r="52" spans="1:7" x14ac:dyDescent="0.3">
      <c r="A52" t="s">
        <v>86</v>
      </c>
      <c r="B52" s="3">
        <v>0.15</v>
      </c>
      <c r="C52">
        <v>4</v>
      </c>
      <c r="D52">
        <f>C52*B52</f>
        <v>0.6</v>
      </c>
      <c r="G52" s="7"/>
    </row>
    <row r="53" spans="1:7" ht="15" thickBot="1" x14ac:dyDescent="0.35">
      <c r="B53" s="4">
        <f>SUM(B44:B52)</f>
        <v>1</v>
      </c>
      <c r="D53" s="6">
        <f>SUM(D44:D52)</f>
        <v>3.25</v>
      </c>
      <c r="G53" s="7"/>
    </row>
    <row r="54" spans="1:7" ht="15" thickTop="1" x14ac:dyDescent="0.3">
      <c r="G54" s="7"/>
    </row>
    <row r="55" spans="1:7" x14ac:dyDescent="0.3">
      <c r="A55" t="s">
        <v>104</v>
      </c>
      <c r="G55" s="7"/>
    </row>
    <row r="56" spans="1:7" x14ac:dyDescent="0.3">
      <c r="A56" s="1" t="s">
        <v>0</v>
      </c>
      <c r="B56" s="1" t="s">
        <v>1</v>
      </c>
      <c r="C56" s="1" t="s">
        <v>151</v>
      </c>
      <c r="D56" s="1" t="s">
        <v>3</v>
      </c>
      <c r="G56" s="7"/>
    </row>
    <row r="57" spans="1:7" x14ac:dyDescent="0.3">
      <c r="A57" t="s">
        <v>155</v>
      </c>
      <c r="B57" s="3">
        <v>0.15</v>
      </c>
      <c r="C57">
        <v>4</v>
      </c>
      <c r="D57">
        <f>C57*B57</f>
        <v>0.6</v>
      </c>
      <c r="G57" s="7"/>
    </row>
    <row r="58" spans="1:7" x14ac:dyDescent="0.3">
      <c r="A58" t="s">
        <v>152</v>
      </c>
      <c r="B58" s="3">
        <v>0.1</v>
      </c>
      <c r="C58">
        <v>4</v>
      </c>
      <c r="D58">
        <f t="shared" ref="D58:D64" si="4">C58*B58</f>
        <v>0.4</v>
      </c>
      <c r="G58" s="7"/>
    </row>
    <row r="59" spans="1:7" x14ac:dyDescent="0.3">
      <c r="A59" t="s">
        <v>156</v>
      </c>
      <c r="B59" s="3">
        <v>0.1</v>
      </c>
      <c r="C59">
        <v>3</v>
      </c>
      <c r="D59">
        <f t="shared" si="4"/>
        <v>0.30000000000000004</v>
      </c>
      <c r="G59" s="7"/>
    </row>
    <row r="60" spans="1:7" x14ac:dyDescent="0.3">
      <c r="A60" t="s">
        <v>89</v>
      </c>
      <c r="B60" s="3">
        <v>0.15</v>
      </c>
      <c r="C60">
        <v>2</v>
      </c>
      <c r="D60">
        <f t="shared" si="4"/>
        <v>0.3</v>
      </c>
      <c r="G60" s="7"/>
    </row>
    <row r="61" spans="1:7" x14ac:dyDescent="0.3">
      <c r="A61" t="s">
        <v>88</v>
      </c>
      <c r="B61" s="3">
        <v>0.15</v>
      </c>
      <c r="C61">
        <v>3</v>
      </c>
      <c r="D61">
        <f t="shared" si="4"/>
        <v>0.44999999999999996</v>
      </c>
      <c r="G61" s="7"/>
    </row>
    <row r="62" spans="1:7" x14ac:dyDescent="0.3">
      <c r="A62" t="s">
        <v>153</v>
      </c>
      <c r="B62" s="3">
        <v>0.05</v>
      </c>
      <c r="C62">
        <v>2</v>
      </c>
      <c r="D62">
        <f t="shared" si="4"/>
        <v>0.1</v>
      </c>
      <c r="G62" s="7"/>
    </row>
    <row r="63" spans="1:7" x14ac:dyDescent="0.3">
      <c r="A63" t="s">
        <v>154</v>
      </c>
      <c r="B63" s="3">
        <v>0.05</v>
      </c>
      <c r="C63">
        <v>2</v>
      </c>
      <c r="D63">
        <f t="shared" si="4"/>
        <v>0.1</v>
      </c>
      <c r="G63" s="7"/>
    </row>
    <row r="64" spans="1:7" x14ac:dyDescent="0.3">
      <c r="A64" t="s">
        <v>87</v>
      </c>
      <c r="B64" s="3">
        <v>0.1</v>
      </c>
      <c r="C64">
        <v>4</v>
      </c>
      <c r="D64">
        <f t="shared" si="4"/>
        <v>0.4</v>
      </c>
      <c r="G64" s="7"/>
    </row>
    <row r="65" spans="1:7" x14ac:dyDescent="0.3">
      <c r="A65" t="s">
        <v>86</v>
      </c>
      <c r="B65" s="3">
        <v>0.15</v>
      </c>
      <c r="C65">
        <v>4</v>
      </c>
      <c r="D65">
        <f>C65*B65</f>
        <v>0.6</v>
      </c>
      <c r="G65" s="7"/>
    </row>
    <row r="66" spans="1:7" ht="15" thickBot="1" x14ac:dyDescent="0.35">
      <c r="B66" s="4">
        <f>SUM(B57:B65)</f>
        <v>1</v>
      </c>
      <c r="D66" s="6">
        <f>SUM(D57:D65)</f>
        <v>3.25</v>
      </c>
    </row>
    <row r="67" spans="1:7" ht="15" thickTop="1" x14ac:dyDescent="0.3">
      <c r="G67" s="7"/>
    </row>
    <row r="68" spans="1:7" x14ac:dyDescent="0.3">
      <c r="A68" t="s">
        <v>105</v>
      </c>
      <c r="G68" s="7"/>
    </row>
    <row r="69" spans="1:7" x14ac:dyDescent="0.3">
      <c r="A69" s="1" t="s">
        <v>0</v>
      </c>
      <c r="B69" s="1" t="s">
        <v>1</v>
      </c>
      <c r="C69" s="1" t="s">
        <v>151</v>
      </c>
      <c r="D69" s="1" t="s">
        <v>3</v>
      </c>
    </row>
    <row r="70" spans="1:7" x14ac:dyDescent="0.3">
      <c r="A70" t="s">
        <v>155</v>
      </c>
      <c r="B70" s="3">
        <v>0.15</v>
      </c>
      <c r="C70">
        <v>4</v>
      </c>
      <c r="D70">
        <f>C70*B70</f>
        <v>0.6</v>
      </c>
      <c r="G70" s="7"/>
    </row>
    <row r="71" spans="1:7" x14ac:dyDescent="0.3">
      <c r="A71" t="s">
        <v>152</v>
      </c>
      <c r="B71" s="3">
        <v>0.1</v>
      </c>
      <c r="C71">
        <v>4</v>
      </c>
      <c r="D71">
        <f t="shared" ref="D71:D77" si="5">C71*B71</f>
        <v>0.4</v>
      </c>
      <c r="G71" s="7"/>
    </row>
    <row r="72" spans="1:7" x14ac:dyDescent="0.3">
      <c r="A72" t="s">
        <v>156</v>
      </c>
      <c r="B72" s="3">
        <v>0.1</v>
      </c>
      <c r="C72">
        <v>3</v>
      </c>
      <c r="D72">
        <f t="shared" si="5"/>
        <v>0.30000000000000004</v>
      </c>
      <c r="G72" s="7"/>
    </row>
    <row r="73" spans="1:7" x14ac:dyDescent="0.3">
      <c r="A73" t="s">
        <v>89</v>
      </c>
      <c r="B73" s="3">
        <v>0.15</v>
      </c>
      <c r="C73">
        <v>2</v>
      </c>
      <c r="D73">
        <f t="shared" si="5"/>
        <v>0.3</v>
      </c>
      <c r="G73" s="7"/>
    </row>
    <row r="74" spans="1:7" x14ac:dyDescent="0.3">
      <c r="A74" t="s">
        <v>88</v>
      </c>
      <c r="B74" s="3">
        <v>0.15</v>
      </c>
      <c r="C74">
        <v>3</v>
      </c>
      <c r="D74">
        <f t="shared" si="5"/>
        <v>0.44999999999999996</v>
      </c>
      <c r="G74" s="7"/>
    </row>
    <row r="75" spans="1:7" x14ac:dyDescent="0.3">
      <c r="A75" t="s">
        <v>153</v>
      </c>
      <c r="B75" s="3">
        <v>0.05</v>
      </c>
      <c r="C75">
        <v>2</v>
      </c>
      <c r="D75">
        <f t="shared" si="5"/>
        <v>0.1</v>
      </c>
    </row>
    <row r="76" spans="1:7" x14ac:dyDescent="0.3">
      <c r="A76" t="s">
        <v>154</v>
      </c>
      <c r="B76" s="3">
        <v>0.05</v>
      </c>
      <c r="C76">
        <v>2</v>
      </c>
      <c r="D76">
        <f t="shared" si="5"/>
        <v>0.1</v>
      </c>
      <c r="G76" s="7"/>
    </row>
    <row r="77" spans="1:7" x14ac:dyDescent="0.3">
      <c r="A77" t="s">
        <v>87</v>
      </c>
      <c r="B77" s="3">
        <v>0.1</v>
      </c>
      <c r="C77">
        <v>4</v>
      </c>
      <c r="D77">
        <f t="shared" si="5"/>
        <v>0.4</v>
      </c>
      <c r="G77" s="7"/>
    </row>
    <row r="78" spans="1:7" x14ac:dyDescent="0.3">
      <c r="A78" t="s">
        <v>86</v>
      </c>
      <c r="B78" s="3">
        <v>0.15</v>
      </c>
      <c r="C78">
        <v>4</v>
      </c>
      <c r="D78">
        <f>C78*B78</f>
        <v>0.6</v>
      </c>
      <c r="G78" s="7"/>
    </row>
    <row r="79" spans="1:7" ht="15" thickBot="1" x14ac:dyDescent="0.35">
      <c r="B79" s="4">
        <f>SUM(B70:B78)</f>
        <v>1</v>
      </c>
      <c r="D79" s="6">
        <f>SUM(D70:D78)</f>
        <v>3.25</v>
      </c>
    </row>
    <row r="80" spans="1:7" ht="15" thickTop="1" x14ac:dyDescent="0.3">
      <c r="G80" s="7"/>
    </row>
    <row r="81" spans="1:7" x14ac:dyDescent="0.3">
      <c r="A81" t="s">
        <v>106</v>
      </c>
      <c r="G81" s="7"/>
    </row>
    <row r="82" spans="1:7" x14ac:dyDescent="0.3">
      <c r="A82" s="1" t="s">
        <v>0</v>
      </c>
      <c r="B82" s="1" t="s">
        <v>1</v>
      </c>
      <c r="C82" s="1" t="s">
        <v>151</v>
      </c>
      <c r="D82" s="1" t="s">
        <v>3</v>
      </c>
      <c r="G82" s="7"/>
    </row>
    <row r="83" spans="1:7" x14ac:dyDescent="0.3">
      <c r="A83" t="s">
        <v>155</v>
      </c>
      <c r="B83" s="3">
        <v>0.15</v>
      </c>
      <c r="C83">
        <v>4</v>
      </c>
      <c r="D83">
        <f>C83*B83</f>
        <v>0.6</v>
      </c>
    </row>
    <row r="84" spans="1:7" x14ac:dyDescent="0.3">
      <c r="A84" t="s">
        <v>152</v>
      </c>
      <c r="B84" s="3">
        <v>0.1</v>
      </c>
      <c r="C84">
        <v>4</v>
      </c>
      <c r="D84">
        <f t="shared" ref="D84:D90" si="6">C84*B84</f>
        <v>0.4</v>
      </c>
    </row>
    <row r="85" spans="1:7" x14ac:dyDescent="0.3">
      <c r="A85" t="s">
        <v>156</v>
      </c>
      <c r="B85" s="3">
        <v>0.1</v>
      </c>
      <c r="C85">
        <v>3</v>
      </c>
      <c r="D85">
        <f t="shared" si="6"/>
        <v>0.30000000000000004</v>
      </c>
    </row>
    <row r="86" spans="1:7" x14ac:dyDescent="0.3">
      <c r="A86" t="s">
        <v>89</v>
      </c>
      <c r="B86" s="3">
        <v>0.15</v>
      </c>
      <c r="C86">
        <v>2</v>
      </c>
      <c r="D86">
        <f t="shared" si="6"/>
        <v>0.3</v>
      </c>
    </row>
    <row r="87" spans="1:7" x14ac:dyDescent="0.3">
      <c r="A87" t="s">
        <v>88</v>
      </c>
      <c r="B87" s="3">
        <v>0.15</v>
      </c>
      <c r="C87">
        <v>3</v>
      </c>
      <c r="D87">
        <f t="shared" si="6"/>
        <v>0.44999999999999996</v>
      </c>
    </row>
    <row r="88" spans="1:7" x14ac:dyDescent="0.3">
      <c r="A88" t="s">
        <v>153</v>
      </c>
      <c r="B88" s="3">
        <v>0.05</v>
      </c>
      <c r="C88">
        <v>2</v>
      </c>
      <c r="D88">
        <f t="shared" si="6"/>
        <v>0.1</v>
      </c>
    </row>
    <row r="89" spans="1:7" x14ac:dyDescent="0.3">
      <c r="A89" t="s">
        <v>154</v>
      </c>
      <c r="B89" s="3">
        <v>0.05</v>
      </c>
      <c r="C89">
        <v>2</v>
      </c>
      <c r="D89">
        <f t="shared" si="6"/>
        <v>0.1</v>
      </c>
    </row>
    <row r="90" spans="1:7" x14ac:dyDescent="0.3">
      <c r="A90" t="s">
        <v>87</v>
      </c>
      <c r="B90" s="3">
        <v>0.1</v>
      </c>
      <c r="C90">
        <v>4</v>
      </c>
      <c r="D90">
        <f t="shared" si="6"/>
        <v>0.4</v>
      </c>
    </row>
    <row r="91" spans="1:7" x14ac:dyDescent="0.3">
      <c r="A91" t="s">
        <v>86</v>
      </c>
      <c r="B91" s="3">
        <v>0.15</v>
      </c>
      <c r="C91">
        <v>4</v>
      </c>
      <c r="D91">
        <f>C91*B91</f>
        <v>0.6</v>
      </c>
    </row>
    <row r="92" spans="1:7" ht="15" thickBot="1" x14ac:dyDescent="0.35">
      <c r="B92" s="4">
        <f>SUM(B83:B91)</f>
        <v>1</v>
      </c>
      <c r="D92" s="6">
        <f>SUM(D83:D91)</f>
        <v>3.25</v>
      </c>
    </row>
    <row r="93" spans="1:7" ht="15" thickTop="1" x14ac:dyDescent="0.3"/>
    <row r="94" spans="1:7" x14ac:dyDescent="0.3">
      <c r="A94" t="s">
        <v>107</v>
      </c>
    </row>
    <row r="95" spans="1:7" x14ac:dyDescent="0.3">
      <c r="A95" s="1" t="s">
        <v>0</v>
      </c>
      <c r="B95" s="1" t="s">
        <v>1</v>
      </c>
      <c r="C95" s="1" t="s">
        <v>151</v>
      </c>
      <c r="D95" s="1" t="s">
        <v>3</v>
      </c>
    </row>
    <row r="96" spans="1:7" x14ac:dyDescent="0.3">
      <c r="A96" t="s">
        <v>155</v>
      </c>
      <c r="B96" s="3">
        <v>0.15</v>
      </c>
      <c r="C96">
        <v>4</v>
      </c>
      <c r="D96">
        <f>C96*B96</f>
        <v>0.6</v>
      </c>
    </row>
    <row r="97" spans="1:4" x14ac:dyDescent="0.3">
      <c r="A97" t="s">
        <v>152</v>
      </c>
      <c r="B97" s="3">
        <v>0.1</v>
      </c>
      <c r="C97">
        <v>4</v>
      </c>
      <c r="D97">
        <f t="shared" ref="D97:D103" si="7">C97*B97</f>
        <v>0.4</v>
      </c>
    </row>
    <row r="98" spans="1:4" x14ac:dyDescent="0.3">
      <c r="A98" t="s">
        <v>156</v>
      </c>
      <c r="B98" s="3">
        <v>0.1</v>
      </c>
      <c r="C98">
        <v>3</v>
      </c>
      <c r="D98">
        <f t="shared" si="7"/>
        <v>0.30000000000000004</v>
      </c>
    </row>
    <row r="99" spans="1:4" x14ac:dyDescent="0.3">
      <c r="A99" t="s">
        <v>89</v>
      </c>
      <c r="B99" s="3">
        <v>0.15</v>
      </c>
      <c r="C99">
        <v>2</v>
      </c>
      <c r="D99">
        <f t="shared" si="7"/>
        <v>0.3</v>
      </c>
    </row>
    <row r="100" spans="1:4" x14ac:dyDescent="0.3">
      <c r="A100" t="s">
        <v>88</v>
      </c>
      <c r="B100" s="3">
        <v>0.15</v>
      </c>
      <c r="C100">
        <v>3</v>
      </c>
      <c r="D100">
        <f t="shared" si="7"/>
        <v>0.44999999999999996</v>
      </c>
    </row>
    <row r="101" spans="1:4" x14ac:dyDescent="0.3">
      <c r="A101" t="s">
        <v>153</v>
      </c>
      <c r="B101" s="3">
        <v>0.05</v>
      </c>
      <c r="C101">
        <v>2</v>
      </c>
      <c r="D101">
        <f t="shared" si="7"/>
        <v>0.1</v>
      </c>
    </row>
    <row r="102" spans="1:4" x14ac:dyDescent="0.3">
      <c r="A102" t="s">
        <v>154</v>
      </c>
      <c r="B102" s="3">
        <v>0.05</v>
      </c>
      <c r="C102">
        <v>2</v>
      </c>
      <c r="D102">
        <f t="shared" si="7"/>
        <v>0.1</v>
      </c>
    </row>
    <row r="103" spans="1:4" x14ac:dyDescent="0.3">
      <c r="A103" t="s">
        <v>87</v>
      </c>
      <c r="B103" s="3">
        <v>0.1</v>
      </c>
      <c r="C103">
        <v>4</v>
      </c>
      <c r="D103">
        <f t="shared" si="7"/>
        <v>0.4</v>
      </c>
    </row>
    <row r="104" spans="1:4" x14ac:dyDescent="0.3">
      <c r="A104" t="s">
        <v>86</v>
      </c>
      <c r="B104" s="3">
        <v>0.15</v>
      </c>
      <c r="C104">
        <v>4</v>
      </c>
      <c r="D104">
        <f>C104*B104</f>
        <v>0.6</v>
      </c>
    </row>
    <row r="105" spans="1:4" ht="15" thickBot="1" x14ac:dyDescent="0.35">
      <c r="B105" s="4">
        <f>SUM(B96:B104)</f>
        <v>1</v>
      </c>
      <c r="D105" s="6">
        <f>SUM(D96:D104)</f>
        <v>3.25</v>
      </c>
    </row>
    <row r="106" spans="1:4" ht="15" thickTop="1" x14ac:dyDescent="0.3"/>
    <row r="107" spans="1:4" x14ac:dyDescent="0.3">
      <c r="A107" t="s">
        <v>108</v>
      </c>
    </row>
    <row r="108" spans="1:4" x14ac:dyDescent="0.3">
      <c r="A108" s="1" t="s">
        <v>0</v>
      </c>
      <c r="B108" s="1" t="s">
        <v>1</v>
      </c>
      <c r="C108" s="1" t="s">
        <v>151</v>
      </c>
      <c r="D108" s="1" t="s">
        <v>3</v>
      </c>
    </row>
    <row r="109" spans="1:4" x14ac:dyDescent="0.3">
      <c r="A109" t="s">
        <v>155</v>
      </c>
      <c r="B109" s="3">
        <v>0.15</v>
      </c>
      <c r="C109">
        <v>4</v>
      </c>
      <c r="D109">
        <f>C109*B109</f>
        <v>0.6</v>
      </c>
    </row>
    <row r="110" spans="1:4" x14ac:dyDescent="0.3">
      <c r="A110" t="s">
        <v>152</v>
      </c>
      <c r="B110" s="3">
        <v>0.1</v>
      </c>
      <c r="C110">
        <v>4</v>
      </c>
      <c r="D110">
        <f t="shared" ref="D110:D116" si="8">C110*B110</f>
        <v>0.4</v>
      </c>
    </row>
    <row r="111" spans="1:4" x14ac:dyDescent="0.3">
      <c r="A111" t="s">
        <v>156</v>
      </c>
      <c r="B111" s="3">
        <v>0.1</v>
      </c>
      <c r="C111">
        <v>3</v>
      </c>
      <c r="D111">
        <f t="shared" si="8"/>
        <v>0.30000000000000004</v>
      </c>
    </row>
    <row r="112" spans="1:4" x14ac:dyDescent="0.3">
      <c r="A112" t="s">
        <v>89</v>
      </c>
      <c r="B112" s="3">
        <v>0.15</v>
      </c>
      <c r="C112">
        <v>2</v>
      </c>
      <c r="D112">
        <f t="shared" si="8"/>
        <v>0.3</v>
      </c>
    </row>
    <row r="113" spans="1:4" x14ac:dyDescent="0.3">
      <c r="A113" t="s">
        <v>88</v>
      </c>
      <c r="B113" s="3">
        <v>0.15</v>
      </c>
      <c r="C113">
        <v>3</v>
      </c>
      <c r="D113">
        <f t="shared" si="8"/>
        <v>0.44999999999999996</v>
      </c>
    </row>
    <row r="114" spans="1:4" x14ac:dyDescent="0.3">
      <c r="A114" t="s">
        <v>153</v>
      </c>
      <c r="B114" s="3">
        <v>0.05</v>
      </c>
      <c r="C114">
        <v>2</v>
      </c>
      <c r="D114">
        <f t="shared" si="8"/>
        <v>0.1</v>
      </c>
    </row>
    <row r="115" spans="1:4" x14ac:dyDescent="0.3">
      <c r="A115" t="s">
        <v>154</v>
      </c>
      <c r="B115" s="3">
        <v>0.05</v>
      </c>
      <c r="C115">
        <v>2</v>
      </c>
      <c r="D115">
        <f t="shared" si="8"/>
        <v>0.1</v>
      </c>
    </row>
    <row r="116" spans="1:4" x14ac:dyDescent="0.3">
      <c r="A116" t="s">
        <v>87</v>
      </c>
      <c r="B116" s="3">
        <v>0.1</v>
      </c>
      <c r="C116">
        <v>4</v>
      </c>
      <c r="D116">
        <f t="shared" si="8"/>
        <v>0.4</v>
      </c>
    </row>
    <row r="117" spans="1:4" x14ac:dyDescent="0.3">
      <c r="A117" t="s">
        <v>86</v>
      </c>
      <c r="B117" s="3">
        <v>0.15</v>
      </c>
      <c r="C117">
        <v>4</v>
      </c>
      <c r="D117">
        <f>C117*B117</f>
        <v>0.6</v>
      </c>
    </row>
    <row r="118" spans="1:4" ht="15" thickBot="1" x14ac:dyDescent="0.35">
      <c r="B118" s="4">
        <f>SUM(B109:B117)</f>
        <v>1</v>
      </c>
      <c r="D118" s="6">
        <f>SUM(D109:D117)</f>
        <v>3.25</v>
      </c>
    </row>
    <row r="119" spans="1:4" ht="15" thickTop="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218BE-F15E-47D5-9329-393A877DE4EB}">
  <dimension ref="A1:G119"/>
  <sheetViews>
    <sheetView zoomScale="87" workbookViewId="0">
      <selection activeCell="G2" sqref="G2:I89"/>
    </sheetView>
  </sheetViews>
  <sheetFormatPr defaultRowHeight="14.4" x14ac:dyDescent="0.3"/>
  <cols>
    <col min="1" max="1" width="59.44140625" bestFit="1" customWidth="1"/>
    <col min="2" max="2" width="6.77734375" bestFit="1" customWidth="1"/>
    <col min="3" max="3" width="10.21875" bestFit="1" customWidth="1"/>
    <col min="4" max="4" width="16.6640625" bestFit="1" customWidth="1"/>
  </cols>
  <sheetData>
    <row r="1" spans="1:7" x14ac:dyDescent="0.3">
      <c r="A1" s="2" t="s">
        <v>4</v>
      </c>
      <c r="B1" s="5">
        <f>B5*5 + B6*5 +B7*5+B8*5+B9*5+B10*5+B11*5+B12*5+B13*5</f>
        <v>5</v>
      </c>
    </row>
    <row r="2" spans="1:7" x14ac:dyDescent="0.3">
      <c r="F2" s="2" t="s">
        <v>2</v>
      </c>
      <c r="G2" s="7"/>
    </row>
    <row r="3" spans="1:7" x14ac:dyDescent="0.3">
      <c r="A3" t="s">
        <v>100</v>
      </c>
      <c r="G3" s="7"/>
    </row>
    <row r="4" spans="1:7" x14ac:dyDescent="0.3">
      <c r="A4" s="1" t="s">
        <v>0</v>
      </c>
      <c r="B4" s="1" t="s">
        <v>1</v>
      </c>
      <c r="C4" s="1" t="s">
        <v>151</v>
      </c>
      <c r="D4" s="1" t="s">
        <v>3</v>
      </c>
      <c r="G4" s="7"/>
    </row>
    <row r="5" spans="1:7" x14ac:dyDescent="0.3">
      <c r="A5" t="s">
        <v>155</v>
      </c>
      <c r="B5" s="3">
        <v>0.15</v>
      </c>
      <c r="C5">
        <v>4</v>
      </c>
      <c r="D5">
        <f>C5*B5</f>
        <v>0.6</v>
      </c>
      <c r="G5" s="7"/>
    </row>
    <row r="6" spans="1:7" x14ac:dyDescent="0.3">
      <c r="A6" t="s">
        <v>152</v>
      </c>
      <c r="B6" s="3">
        <v>0.1</v>
      </c>
      <c r="C6">
        <v>4</v>
      </c>
      <c r="D6">
        <f t="shared" ref="D6:D12" si="0">C6*B6</f>
        <v>0.4</v>
      </c>
      <c r="G6" s="7"/>
    </row>
    <row r="7" spans="1:7" x14ac:dyDescent="0.3">
      <c r="A7" t="s">
        <v>156</v>
      </c>
      <c r="B7" s="3">
        <v>0.1</v>
      </c>
      <c r="C7">
        <v>3</v>
      </c>
      <c r="D7">
        <f t="shared" si="0"/>
        <v>0.30000000000000004</v>
      </c>
      <c r="G7" s="7"/>
    </row>
    <row r="8" spans="1:7" x14ac:dyDescent="0.3">
      <c r="A8" t="s">
        <v>89</v>
      </c>
      <c r="B8" s="3">
        <v>0.15</v>
      </c>
      <c r="C8">
        <v>2</v>
      </c>
      <c r="D8">
        <f t="shared" si="0"/>
        <v>0.3</v>
      </c>
      <c r="G8" s="7"/>
    </row>
    <row r="9" spans="1:7" x14ac:dyDescent="0.3">
      <c r="A9" t="s">
        <v>88</v>
      </c>
      <c r="B9" s="3">
        <v>0.15</v>
      </c>
      <c r="C9">
        <v>3</v>
      </c>
      <c r="D9">
        <f t="shared" si="0"/>
        <v>0.44999999999999996</v>
      </c>
      <c r="G9" s="7"/>
    </row>
    <row r="10" spans="1:7" x14ac:dyDescent="0.3">
      <c r="A10" t="s">
        <v>153</v>
      </c>
      <c r="B10" s="3">
        <v>0.05</v>
      </c>
      <c r="C10">
        <v>2</v>
      </c>
      <c r="D10">
        <f t="shared" si="0"/>
        <v>0.1</v>
      </c>
      <c r="G10" s="7"/>
    </row>
    <row r="11" spans="1:7" x14ac:dyDescent="0.3">
      <c r="A11" t="s">
        <v>154</v>
      </c>
      <c r="B11" s="3">
        <v>0.05</v>
      </c>
      <c r="C11">
        <v>2</v>
      </c>
      <c r="D11">
        <f t="shared" si="0"/>
        <v>0.1</v>
      </c>
      <c r="G11" s="7"/>
    </row>
    <row r="12" spans="1:7" x14ac:dyDescent="0.3">
      <c r="A12" t="s">
        <v>87</v>
      </c>
      <c r="B12" s="3">
        <v>0.1</v>
      </c>
      <c r="C12">
        <v>4</v>
      </c>
      <c r="D12">
        <f t="shared" si="0"/>
        <v>0.4</v>
      </c>
      <c r="G12" s="7"/>
    </row>
    <row r="13" spans="1:7" x14ac:dyDescent="0.3">
      <c r="A13" t="s">
        <v>86</v>
      </c>
      <c r="B13" s="3">
        <v>0.15</v>
      </c>
      <c r="C13">
        <v>4</v>
      </c>
      <c r="D13">
        <f>C13*B13</f>
        <v>0.6</v>
      </c>
      <c r="G13" s="7"/>
    </row>
    <row r="14" spans="1:7" ht="15" thickBot="1" x14ac:dyDescent="0.35">
      <c r="B14" s="4">
        <f>SUM(B5:B13)</f>
        <v>1</v>
      </c>
      <c r="D14" s="6">
        <f>SUM(D5:D13)</f>
        <v>3.25</v>
      </c>
      <c r="G14" s="7"/>
    </row>
    <row r="15" spans="1:7" ht="15" thickTop="1" x14ac:dyDescent="0.3">
      <c r="G15" s="7"/>
    </row>
    <row r="16" spans="1:7" x14ac:dyDescent="0.3">
      <c r="A16" t="s">
        <v>101</v>
      </c>
      <c r="G16" s="7"/>
    </row>
    <row r="17" spans="1:7" x14ac:dyDescent="0.3">
      <c r="A17" s="1" t="s">
        <v>0</v>
      </c>
      <c r="B17" s="1" t="s">
        <v>1</v>
      </c>
      <c r="C17" s="1" t="s">
        <v>151</v>
      </c>
      <c r="D17" s="1" t="s">
        <v>3</v>
      </c>
      <c r="G17" s="7"/>
    </row>
    <row r="18" spans="1:7" x14ac:dyDescent="0.3">
      <c r="A18" t="s">
        <v>155</v>
      </c>
      <c r="B18" s="3">
        <v>0.15</v>
      </c>
      <c r="C18">
        <v>4</v>
      </c>
      <c r="D18">
        <f>C18*B18</f>
        <v>0.6</v>
      </c>
      <c r="G18" s="7"/>
    </row>
    <row r="19" spans="1:7" x14ac:dyDescent="0.3">
      <c r="A19" t="s">
        <v>152</v>
      </c>
      <c r="B19" s="3">
        <v>0.1</v>
      </c>
      <c r="C19">
        <v>4</v>
      </c>
      <c r="D19">
        <f t="shared" ref="D19:D25" si="1">C19*B19</f>
        <v>0.4</v>
      </c>
      <c r="G19" s="7"/>
    </row>
    <row r="20" spans="1:7" x14ac:dyDescent="0.3">
      <c r="A20" t="s">
        <v>156</v>
      </c>
      <c r="B20" s="3">
        <v>0.1</v>
      </c>
      <c r="C20">
        <v>3</v>
      </c>
      <c r="D20">
        <f t="shared" si="1"/>
        <v>0.30000000000000004</v>
      </c>
      <c r="G20" s="7"/>
    </row>
    <row r="21" spans="1:7" x14ac:dyDescent="0.3">
      <c r="A21" t="s">
        <v>89</v>
      </c>
      <c r="B21" s="3">
        <v>0.15</v>
      </c>
      <c r="C21">
        <v>2</v>
      </c>
      <c r="D21">
        <f t="shared" si="1"/>
        <v>0.3</v>
      </c>
      <c r="G21" s="7"/>
    </row>
    <row r="22" spans="1:7" x14ac:dyDescent="0.3">
      <c r="A22" t="s">
        <v>88</v>
      </c>
      <c r="B22" s="3">
        <v>0.15</v>
      </c>
      <c r="C22">
        <v>3</v>
      </c>
      <c r="D22">
        <f t="shared" si="1"/>
        <v>0.44999999999999996</v>
      </c>
      <c r="G22" s="7"/>
    </row>
    <row r="23" spans="1:7" x14ac:dyDescent="0.3">
      <c r="A23" t="s">
        <v>153</v>
      </c>
      <c r="B23" s="3">
        <v>0.05</v>
      </c>
      <c r="C23">
        <v>2</v>
      </c>
      <c r="D23">
        <f t="shared" si="1"/>
        <v>0.1</v>
      </c>
      <c r="G23" s="7"/>
    </row>
    <row r="24" spans="1:7" x14ac:dyDescent="0.3">
      <c r="A24" t="s">
        <v>154</v>
      </c>
      <c r="B24" s="3">
        <v>0.05</v>
      </c>
      <c r="C24">
        <v>2</v>
      </c>
      <c r="D24">
        <f t="shared" si="1"/>
        <v>0.1</v>
      </c>
      <c r="G24" s="7"/>
    </row>
    <row r="25" spans="1:7" x14ac:dyDescent="0.3">
      <c r="A25" t="s">
        <v>87</v>
      </c>
      <c r="B25" s="3">
        <v>0.1</v>
      </c>
      <c r="C25">
        <v>4</v>
      </c>
      <c r="D25">
        <f t="shared" si="1"/>
        <v>0.4</v>
      </c>
      <c r="G25" s="7"/>
    </row>
    <row r="26" spans="1:7" x14ac:dyDescent="0.3">
      <c r="A26" t="s">
        <v>86</v>
      </c>
      <c r="B26" s="3">
        <v>0.15</v>
      </c>
      <c r="C26">
        <v>4</v>
      </c>
      <c r="D26">
        <f>C26*B26</f>
        <v>0.6</v>
      </c>
      <c r="G26" s="7"/>
    </row>
    <row r="27" spans="1:7" ht="15" thickBot="1" x14ac:dyDescent="0.35">
      <c r="B27" s="4">
        <f>SUM(B18:B26)</f>
        <v>1</v>
      </c>
      <c r="D27" s="6">
        <f>SUM(D18:D26)</f>
        <v>3.25</v>
      </c>
      <c r="G27" s="7"/>
    </row>
    <row r="28" spans="1:7" ht="15" thickTop="1" x14ac:dyDescent="0.3">
      <c r="G28" s="7"/>
    </row>
    <row r="29" spans="1:7" x14ac:dyDescent="0.3">
      <c r="A29" t="s">
        <v>102</v>
      </c>
      <c r="G29" s="7"/>
    </row>
    <row r="30" spans="1:7" x14ac:dyDescent="0.3">
      <c r="A30" s="1" t="s">
        <v>0</v>
      </c>
      <c r="B30" s="1" t="s">
        <v>1</v>
      </c>
      <c r="C30" s="1" t="s">
        <v>151</v>
      </c>
      <c r="D30" s="1" t="s">
        <v>3</v>
      </c>
      <c r="G30" s="7"/>
    </row>
    <row r="31" spans="1:7" x14ac:dyDescent="0.3">
      <c r="A31" t="s">
        <v>155</v>
      </c>
      <c r="B31" s="3">
        <v>0.15</v>
      </c>
      <c r="C31">
        <v>4</v>
      </c>
      <c r="D31">
        <f>C31*B31</f>
        <v>0.6</v>
      </c>
      <c r="G31" s="7"/>
    </row>
    <row r="32" spans="1:7" x14ac:dyDescent="0.3">
      <c r="A32" t="s">
        <v>152</v>
      </c>
      <c r="B32" s="3">
        <v>0.1</v>
      </c>
      <c r="C32">
        <v>4</v>
      </c>
      <c r="D32">
        <f t="shared" ref="D32:D38" si="2">C32*B32</f>
        <v>0.4</v>
      </c>
      <c r="G32" s="7"/>
    </row>
    <row r="33" spans="1:7" x14ac:dyDescent="0.3">
      <c r="A33" t="s">
        <v>156</v>
      </c>
      <c r="B33" s="3">
        <v>0.1</v>
      </c>
      <c r="C33">
        <v>3</v>
      </c>
      <c r="D33">
        <f t="shared" si="2"/>
        <v>0.30000000000000004</v>
      </c>
      <c r="G33" s="7"/>
    </row>
    <row r="34" spans="1:7" x14ac:dyDescent="0.3">
      <c r="A34" t="s">
        <v>89</v>
      </c>
      <c r="B34" s="3">
        <v>0.15</v>
      </c>
      <c r="C34">
        <v>2</v>
      </c>
      <c r="D34">
        <f t="shared" si="2"/>
        <v>0.3</v>
      </c>
      <c r="G34" s="7"/>
    </row>
    <row r="35" spans="1:7" x14ac:dyDescent="0.3">
      <c r="A35" t="s">
        <v>88</v>
      </c>
      <c r="B35" s="3">
        <v>0.15</v>
      </c>
      <c r="C35">
        <v>3</v>
      </c>
      <c r="D35">
        <f t="shared" si="2"/>
        <v>0.44999999999999996</v>
      </c>
      <c r="G35" s="7"/>
    </row>
    <row r="36" spans="1:7" x14ac:dyDescent="0.3">
      <c r="A36" t="s">
        <v>153</v>
      </c>
      <c r="B36" s="3">
        <v>0.05</v>
      </c>
      <c r="C36">
        <v>2</v>
      </c>
      <c r="D36">
        <f t="shared" si="2"/>
        <v>0.1</v>
      </c>
      <c r="G36" s="7"/>
    </row>
    <row r="37" spans="1:7" x14ac:dyDescent="0.3">
      <c r="A37" t="s">
        <v>154</v>
      </c>
      <c r="B37" s="3">
        <v>0.05</v>
      </c>
      <c r="C37">
        <v>2</v>
      </c>
      <c r="D37">
        <f t="shared" si="2"/>
        <v>0.1</v>
      </c>
      <c r="G37" s="7"/>
    </row>
    <row r="38" spans="1:7" x14ac:dyDescent="0.3">
      <c r="A38" t="s">
        <v>87</v>
      </c>
      <c r="B38" s="3">
        <v>0.1</v>
      </c>
      <c r="C38">
        <v>4</v>
      </c>
      <c r="D38">
        <f t="shared" si="2"/>
        <v>0.4</v>
      </c>
      <c r="G38" s="7"/>
    </row>
    <row r="39" spans="1:7" x14ac:dyDescent="0.3">
      <c r="A39" t="s">
        <v>86</v>
      </c>
      <c r="B39" s="3">
        <v>0.15</v>
      </c>
      <c r="C39">
        <v>4</v>
      </c>
      <c r="D39">
        <f>C39*B39</f>
        <v>0.6</v>
      </c>
      <c r="G39" s="7"/>
    </row>
    <row r="40" spans="1:7" ht="15" thickBot="1" x14ac:dyDescent="0.35">
      <c r="B40" s="4">
        <f>SUM(B31:B39)</f>
        <v>1</v>
      </c>
      <c r="D40" s="6">
        <f>SUM(D31:D39)</f>
        <v>3.25</v>
      </c>
      <c r="G40" s="7"/>
    </row>
    <row r="41" spans="1:7" ht="15" thickTop="1" x14ac:dyDescent="0.3">
      <c r="G41" s="7"/>
    </row>
    <row r="42" spans="1:7" x14ac:dyDescent="0.3">
      <c r="A42" t="s">
        <v>103</v>
      </c>
      <c r="G42" s="7"/>
    </row>
    <row r="43" spans="1:7" x14ac:dyDescent="0.3">
      <c r="A43" s="1" t="s">
        <v>0</v>
      </c>
      <c r="B43" s="1" t="s">
        <v>1</v>
      </c>
      <c r="C43" s="1" t="s">
        <v>151</v>
      </c>
      <c r="D43" s="1" t="s">
        <v>3</v>
      </c>
      <c r="G43" s="7"/>
    </row>
    <row r="44" spans="1:7" x14ac:dyDescent="0.3">
      <c r="A44" t="s">
        <v>155</v>
      </c>
      <c r="B44" s="3">
        <v>0.15</v>
      </c>
      <c r="C44">
        <v>4</v>
      </c>
      <c r="D44">
        <f>C44*B44</f>
        <v>0.6</v>
      </c>
      <c r="G44" s="7"/>
    </row>
    <row r="45" spans="1:7" x14ac:dyDescent="0.3">
      <c r="A45" t="s">
        <v>152</v>
      </c>
      <c r="B45" s="3">
        <v>0.1</v>
      </c>
      <c r="C45">
        <v>4</v>
      </c>
      <c r="D45">
        <f t="shared" ref="D45:D51" si="3">C45*B45</f>
        <v>0.4</v>
      </c>
      <c r="G45" s="7"/>
    </row>
    <row r="46" spans="1:7" x14ac:dyDescent="0.3">
      <c r="A46" t="s">
        <v>156</v>
      </c>
      <c r="B46" s="3">
        <v>0.1</v>
      </c>
      <c r="C46">
        <v>3</v>
      </c>
      <c r="D46">
        <f t="shared" si="3"/>
        <v>0.30000000000000004</v>
      </c>
      <c r="G46" s="7"/>
    </row>
    <row r="47" spans="1:7" x14ac:dyDescent="0.3">
      <c r="A47" t="s">
        <v>89</v>
      </c>
      <c r="B47" s="3">
        <v>0.15</v>
      </c>
      <c r="C47">
        <v>2</v>
      </c>
      <c r="D47">
        <f t="shared" si="3"/>
        <v>0.3</v>
      </c>
      <c r="G47" s="7"/>
    </row>
    <row r="48" spans="1:7" x14ac:dyDescent="0.3">
      <c r="A48" t="s">
        <v>88</v>
      </c>
      <c r="B48" s="3">
        <v>0.15</v>
      </c>
      <c r="C48">
        <v>3</v>
      </c>
      <c r="D48">
        <f t="shared" si="3"/>
        <v>0.44999999999999996</v>
      </c>
      <c r="G48" s="7"/>
    </row>
    <row r="49" spans="1:7" x14ac:dyDescent="0.3">
      <c r="A49" t="s">
        <v>153</v>
      </c>
      <c r="B49" s="3">
        <v>0.05</v>
      </c>
      <c r="C49">
        <v>2</v>
      </c>
      <c r="D49">
        <f t="shared" si="3"/>
        <v>0.1</v>
      </c>
      <c r="G49" s="7"/>
    </row>
    <row r="50" spans="1:7" x14ac:dyDescent="0.3">
      <c r="A50" t="s">
        <v>154</v>
      </c>
      <c r="B50" s="3">
        <v>0.05</v>
      </c>
      <c r="C50">
        <v>2</v>
      </c>
      <c r="D50">
        <f t="shared" si="3"/>
        <v>0.1</v>
      </c>
      <c r="G50" s="7"/>
    </row>
    <row r="51" spans="1:7" x14ac:dyDescent="0.3">
      <c r="A51" t="s">
        <v>87</v>
      </c>
      <c r="B51" s="3">
        <v>0.1</v>
      </c>
      <c r="C51">
        <v>4</v>
      </c>
      <c r="D51">
        <f t="shared" si="3"/>
        <v>0.4</v>
      </c>
      <c r="G51" s="7"/>
    </row>
    <row r="52" spans="1:7" x14ac:dyDescent="0.3">
      <c r="A52" t="s">
        <v>86</v>
      </c>
      <c r="B52" s="3">
        <v>0.15</v>
      </c>
      <c r="C52">
        <v>4</v>
      </c>
      <c r="D52">
        <f>C52*B52</f>
        <v>0.6</v>
      </c>
      <c r="G52" s="7"/>
    </row>
    <row r="53" spans="1:7" ht="15" thickBot="1" x14ac:dyDescent="0.35">
      <c r="B53" s="4">
        <f>SUM(B44:B52)</f>
        <v>1</v>
      </c>
      <c r="D53" s="6">
        <f>SUM(D44:D52)</f>
        <v>3.25</v>
      </c>
      <c r="G53" s="7"/>
    </row>
    <row r="54" spans="1:7" ht="15" thickTop="1" x14ac:dyDescent="0.3">
      <c r="G54" s="7"/>
    </row>
    <row r="55" spans="1:7" x14ac:dyDescent="0.3">
      <c r="A55" t="s">
        <v>104</v>
      </c>
      <c r="G55" s="7"/>
    </row>
    <row r="56" spans="1:7" x14ac:dyDescent="0.3">
      <c r="A56" s="1" t="s">
        <v>0</v>
      </c>
      <c r="B56" s="1" t="s">
        <v>1</v>
      </c>
      <c r="C56" s="1" t="s">
        <v>151</v>
      </c>
      <c r="D56" s="1" t="s">
        <v>3</v>
      </c>
      <c r="G56" s="7"/>
    </row>
    <row r="57" spans="1:7" x14ac:dyDescent="0.3">
      <c r="A57" t="s">
        <v>155</v>
      </c>
      <c r="B57" s="3">
        <v>0.15</v>
      </c>
      <c r="C57">
        <v>4</v>
      </c>
      <c r="D57">
        <f>C57*B57</f>
        <v>0.6</v>
      </c>
      <c r="G57" s="7"/>
    </row>
    <row r="58" spans="1:7" x14ac:dyDescent="0.3">
      <c r="A58" t="s">
        <v>152</v>
      </c>
      <c r="B58" s="3">
        <v>0.1</v>
      </c>
      <c r="C58">
        <v>4</v>
      </c>
      <c r="D58">
        <f t="shared" ref="D58:D64" si="4">C58*B58</f>
        <v>0.4</v>
      </c>
      <c r="G58" s="7"/>
    </row>
    <row r="59" spans="1:7" x14ac:dyDescent="0.3">
      <c r="A59" t="s">
        <v>156</v>
      </c>
      <c r="B59" s="3">
        <v>0.1</v>
      </c>
      <c r="C59">
        <v>3</v>
      </c>
      <c r="D59">
        <f t="shared" si="4"/>
        <v>0.30000000000000004</v>
      </c>
      <c r="G59" s="7"/>
    </row>
    <row r="60" spans="1:7" x14ac:dyDescent="0.3">
      <c r="A60" t="s">
        <v>89</v>
      </c>
      <c r="B60" s="3">
        <v>0.15</v>
      </c>
      <c r="C60">
        <v>2</v>
      </c>
      <c r="D60">
        <f t="shared" si="4"/>
        <v>0.3</v>
      </c>
      <c r="G60" s="7"/>
    </row>
    <row r="61" spans="1:7" x14ac:dyDescent="0.3">
      <c r="A61" t="s">
        <v>88</v>
      </c>
      <c r="B61" s="3">
        <v>0.15</v>
      </c>
      <c r="C61">
        <v>3</v>
      </c>
      <c r="D61">
        <f t="shared" si="4"/>
        <v>0.44999999999999996</v>
      </c>
      <c r="G61" s="7"/>
    </row>
    <row r="62" spans="1:7" x14ac:dyDescent="0.3">
      <c r="A62" t="s">
        <v>153</v>
      </c>
      <c r="B62" s="3">
        <v>0.05</v>
      </c>
      <c r="C62">
        <v>2</v>
      </c>
      <c r="D62">
        <f t="shared" si="4"/>
        <v>0.1</v>
      </c>
      <c r="G62" s="7"/>
    </row>
    <row r="63" spans="1:7" x14ac:dyDescent="0.3">
      <c r="A63" t="s">
        <v>154</v>
      </c>
      <c r="B63" s="3">
        <v>0.05</v>
      </c>
      <c r="C63">
        <v>2</v>
      </c>
      <c r="D63">
        <f t="shared" si="4"/>
        <v>0.1</v>
      </c>
      <c r="G63" s="7"/>
    </row>
    <row r="64" spans="1:7" x14ac:dyDescent="0.3">
      <c r="A64" t="s">
        <v>87</v>
      </c>
      <c r="B64" s="3">
        <v>0.1</v>
      </c>
      <c r="C64">
        <v>4</v>
      </c>
      <c r="D64">
        <f t="shared" si="4"/>
        <v>0.4</v>
      </c>
      <c r="G64" s="7"/>
    </row>
    <row r="65" spans="1:7" x14ac:dyDescent="0.3">
      <c r="A65" t="s">
        <v>86</v>
      </c>
      <c r="B65" s="3">
        <v>0.15</v>
      </c>
      <c r="C65">
        <v>4</v>
      </c>
      <c r="D65">
        <f>C65*B65</f>
        <v>0.6</v>
      </c>
      <c r="G65" s="7"/>
    </row>
    <row r="66" spans="1:7" ht="15" thickBot="1" x14ac:dyDescent="0.35">
      <c r="B66" s="4">
        <f>SUM(B57:B65)</f>
        <v>1</v>
      </c>
      <c r="D66" s="6">
        <f>SUM(D57:D65)</f>
        <v>3.25</v>
      </c>
    </row>
    <row r="67" spans="1:7" ht="15" thickTop="1" x14ac:dyDescent="0.3">
      <c r="G67" s="7"/>
    </row>
    <row r="68" spans="1:7" x14ac:dyDescent="0.3">
      <c r="A68" t="s">
        <v>105</v>
      </c>
      <c r="G68" s="7"/>
    </row>
    <row r="69" spans="1:7" x14ac:dyDescent="0.3">
      <c r="A69" s="1" t="s">
        <v>0</v>
      </c>
      <c r="B69" s="1" t="s">
        <v>1</v>
      </c>
      <c r="C69" s="1" t="s">
        <v>151</v>
      </c>
      <c r="D69" s="1" t="s">
        <v>3</v>
      </c>
    </row>
    <row r="70" spans="1:7" x14ac:dyDescent="0.3">
      <c r="A70" t="s">
        <v>155</v>
      </c>
      <c r="B70" s="3">
        <v>0.15</v>
      </c>
      <c r="C70">
        <v>4</v>
      </c>
      <c r="D70">
        <f>C70*B70</f>
        <v>0.6</v>
      </c>
      <c r="G70" s="7"/>
    </row>
    <row r="71" spans="1:7" x14ac:dyDescent="0.3">
      <c r="A71" t="s">
        <v>152</v>
      </c>
      <c r="B71" s="3">
        <v>0.1</v>
      </c>
      <c r="C71">
        <v>4</v>
      </c>
      <c r="D71">
        <f t="shared" ref="D71:D77" si="5">C71*B71</f>
        <v>0.4</v>
      </c>
      <c r="G71" s="7"/>
    </row>
    <row r="72" spans="1:7" x14ac:dyDescent="0.3">
      <c r="A72" t="s">
        <v>156</v>
      </c>
      <c r="B72" s="3">
        <v>0.1</v>
      </c>
      <c r="C72">
        <v>3</v>
      </c>
      <c r="D72">
        <f t="shared" si="5"/>
        <v>0.30000000000000004</v>
      </c>
      <c r="G72" s="7"/>
    </row>
    <row r="73" spans="1:7" x14ac:dyDescent="0.3">
      <c r="A73" t="s">
        <v>89</v>
      </c>
      <c r="B73" s="3">
        <v>0.15</v>
      </c>
      <c r="C73">
        <v>2</v>
      </c>
      <c r="D73">
        <f t="shared" si="5"/>
        <v>0.3</v>
      </c>
      <c r="G73" s="7"/>
    </row>
    <row r="74" spans="1:7" x14ac:dyDescent="0.3">
      <c r="A74" t="s">
        <v>88</v>
      </c>
      <c r="B74" s="3">
        <v>0.15</v>
      </c>
      <c r="C74">
        <v>3</v>
      </c>
      <c r="D74">
        <f t="shared" si="5"/>
        <v>0.44999999999999996</v>
      </c>
      <c r="G74" s="7"/>
    </row>
    <row r="75" spans="1:7" x14ac:dyDescent="0.3">
      <c r="A75" t="s">
        <v>153</v>
      </c>
      <c r="B75" s="3">
        <v>0.05</v>
      </c>
      <c r="C75">
        <v>2</v>
      </c>
      <c r="D75">
        <f t="shared" si="5"/>
        <v>0.1</v>
      </c>
    </row>
    <row r="76" spans="1:7" x14ac:dyDescent="0.3">
      <c r="A76" t="s">
        <v>154</v>
      </c>
      <c r="B76" s="3">
        <v>0.05</v>
      </c>
      <c r="C76">
        <v>2</v>
      </c>
      <c r="D76">
        <f t="shared" si="5"/>
        <v>0.1</v>
      </c>
      <c r="G76" s="7"/>
    </row>
    <row r="77" spans="1:7" x14ac:dyDescent="0.3">
      <c r="A77" t="s">
        <v>87</v>
      </c>
      <c r="B77" s="3">
        <v>0.1</v>
      </c>
      <c r="C77">
        <v>4</v>
      </c>
      <c r="D77">
        <f t="shared" si="5"/>
        <v>0.4</v>
      </c>
      <c r="G77" s="7"/>
    </row>
    <row r="78" spans="1:7" x14ac:dyDescent="0.3">
      <c r="A78" t="s">
        <v>86</v>
      </c>
      <c r="B78" s="3">
        <v>0.15</v>
      </c>
      <c r="C78">
        <v>4</v>
      </c>
      <c r="D78">
        <f>C78*B78</f>
        <v>0.6</v>
      </c>
      <c r="G78" s="7"/>
    </row>
    <row r="79" spans="1:7" ht="15" thickBot="1" x14ac:dyDescent="0.35">
      <c r="B79" s="4">
        <f>SUM(B70:B78)</f>
        <v>1</v>
      </c>
      <c r="D79" s="6">
        <f>SUM(D70:D78)</f>
        <v>3.25</v>
      </c>
    </row>
    <row r="80" spans="1:7" ht="15" thickTop="1" x14ac:dyDescent="0.3">
      <c r="G80" s="7"/>
    </row>
    <row r="81" spans="1:7" x14ac:dyDescent="0.3">
      <c r="A81" t="s">
        <v>106</v>
      </c>
      <c r="G81" s="7"/>
    </row>
    <row r="82" spans="1:7" x14ac:dyDescent="0.3">
      <c r="A82" s="1" t="s">
        <v>0</v>
      </c>
      <c r="B82" s="1" t="s">
        <v>1</v>
      </c>
      <c r="C82" s="1" t="s">
        <v>151</v>
      </c>
      <c r="D82" s="1" t="s">
        <v>3</v>
      </c>
      <c r="G82" s="7"/>
    </row>
    <row r="83" spans="1:7" x14ac:dyDescent="0.3">
      <c r="A83" t="s">
        <v>155</v>
      </c>
      <c r="B83" s="3">
        <v>0.15</v>
      </c>
      <c r="C83">
        <v>4</v>
      </c>
      <c r="D83">
        <f>C83*B83</f>
        <v>0.6</v>
      </c>
    </row>
    <row r="84" spans="1:7" x14ac:dyDescent="0.3">
      <c r="A84" t="s">
        <v>152</v>
      </c>
      <c r="B84" s="3">
        <v>0.1</v>
      </c>
      <c r="C84">
        <v>4</v>
      </c>
      <c r="D84">
        <f t="shared" ref="D84:D90" si="6">C84*B84</f>
        <v>0.4</v>
      </c>
    </row>
    <row r="85" spans="1:7" x14ac:dyDescent="0.3">
      <c r="A85" t="s">
        <v>156</v>
      </c>
      <c r="B85" s="3">
        <v>0.1</v>
      </c>
      <c r="C85">
        <v>3</v>
      </c>
      <c r="D85">
        <f t="shared" si="6"/>
        <v>0.30000000000000004</v>
      </c>
    </row>
    <row r="86" spans="1:7" x14ac:dyDescent="0.3">
      <c r="A86" t="s">
        <v>89</v>
      </c>
      <c r="B86" s="3">
        <v>0.15</v>
      </c>
      <c r="C86">
        <v>2</v>
      </c>
      <c r="D86">
        <f t="shared" si="6"/>
        <v>0.3</v>
      </c>
    </row>
    <row r="87" spans="1:7" x14ac:dyDescent="0.3">
      <c r="A87" t="s">
        <v>88</v>
      </c>
      <c r="B87" s="3">
        <v>0.15</v>
      </c>
      <c r="C87">
        <v>3</v>
      </c>
      <c r="D87">
        <f t="shared" si="6"/>
        <v>0.44999999999999996</v>
      </c>
    </row>
    <row r="88" spans="1:7" x14ac:dyDescent="0.3">
      <c r="A88" t="s">
        <v>153</v>
      </c>
      <c r="B88" s="3">
        <v>0.05</v>
      </c>
      <c r="C88">
        <v>2</v>
      </c>
      <c r="D88">
        <f t="shared" si="6"/>
        <v>0.1</v>
      </c>
    </row>
    <row r="89" spans="1:7" x14ac:dyDescent="0.3">
      <c r="A89" t="s">
        <v>154</v>
      </c>
      <c r="B89" s="3">
        <v>0.05</v>
      </c>
      <c r="C89">
        <v>2</v>
      </c>
      <c r="D89">
        <f t="shared" si="6"/>
        <v>0.1</v>
      </c>
    </row>
    <row r="90" spans="1:7" x14ac:dyDescent="0.3">
      <c r="A90" t="s">
        <v>87</v>
      </c>
      <c r="B90" s="3">
        <v>0.1</v>
      </c>
      <c r="C90">
        <v>4</v>
      </c>
      <c r="D90">
        <f t="shared" si="6"/>
        <v>0.4</v>
      </c>
    </row>
    <row r="91" spans="1:7" x14ac:dyDescent="0.3">
      <c r="A91" t="s">
        <v>86</v>
      </c>
      <c r="B91" s="3">
        <v>0.15</v>
      </c>
      <c r="C91">
        <v>4</v>
      </c>
      <c r="D91">
        <f>C91*B91</f>
        <v>0.6</v>
      </c>
    </row>
    <row r="92" spans="1:7" ht="15" thickBot="1" x14ac:dyDescent="0.35">
      <c r="B92" s="4">
        <f>SUM(B83:B91)</f>
        <v>1</v>
      </c>
      <c r="D92" s="6">
        <f>SUM(D83:D91)</f>
        <v>3.25</v>
      </c>
    </row>
    <row r="93" spans="1:7" ht="15" thickTop="1" x14ac:dyDescent="0.3"/>
    <row r="94" spans="1:7" x14ac:dyDescent="0.3">
      <c r="A94" t="s">
        <v>107</v>
      </c>
    </row>
    <row r="95" spans="1:7" x14ac:dyDescent="0.3">
      <c r="A95" s="1" t="s">
        <v>0</v>
      </c>
      <c r="B95" s="1" t="s">
        <v>1</v>
      </c>
      <c r="C95" s="1" t="s">
        <v>151</v>
      </c>
      <c r="D95" s="1" t="s">
        <v>3</v>
      </c>
    </row>
    <row r="96" spans="1:7" x14ac:dyDescent="0.3">
      <c r="A96" t="s">
        <v>155</v>
      </c>
      <c r="B96" s="3">
        <v>0.15</v>
      </c>
      <c r="C96">
        <v>4</v>
      </c>
      <c r="D96">
        <f>C96*B96</f>
        <v>0.6</v>
      </c>
    </row>
    <row r="97" spans="1:4" x14ac:dyDescent="0.3">
      <c r="A97" t="s">
        <v>152</v>
      </c>
      <c r="B97" s="3">
        <v>0.1</v>
      </c>
      <c r="C97">
        <v>4</v>
      </c>
      <c r="D97">
        <f t="shared" ref="D97:D103" si="7">C97*B97</f>
        <v>0.4</v>
      </c>
    </row>
    <row r="98" spans="1:4" x14ac:dyDescent="0.3">
      <c r="A98" t="s">
        <v>156</v>
      </c>
      <c r="B98" s="3">
        <v>0.1</v>
      </c>
      <c r="C98">
        <v>3</v>
      </c>
      <c r="D98">
        <f t="shared" si="7"/>
        <v>0.30000000000000004</v>
      </c>
    </row>
    <row r="99" spans="1:4" x14ac:dyDescent="0.3">
      <c r="A99" t="s">
        <v>89</v>
      </c>
      <c r="B99" s="3">
        <v>0.15</v>
      </c>
      <c r="C99">
        <v>2</v>
      </c>
      <c r="D99">
        <f t="shared" si="7"/>
        <v>0.3</v>
      </c>
    </row>
    <row r="100" spans="1:4" x14ac:dyDescent="0.3">
      <c r="A100" t="s">
        <v>88</v>
      </c>
      <c r="B100" s="3">
        <v>0.15</v>
      </c>
      <c r="C100">
        <v>3</v>
      </c>
      <c r="D100">
        <f t="shared" si="7"/>
        <v>0.44999999999999996</v>
      </c>
    </row>
    <row r="101" spans="1:4" x14ac:dyDescent="0.3">
      <c r="A101" t="s">
        <v>153</v>
      </c>
      <c r="B101" s="3">
        <v>0.05</v>
      </c>
      <c r="C101">
        <v>2</v>
      </c>
      <c r="D101">
        <f t="shared" si="7"/>
        <v>0.1</v>
      </c>
    </row>
    <row r="102" spans="1:4" x14ac:dyDescent="0.3">
      <c r="A102" t="s">
        <v>154</v>
      </c>
      <c r="B102" s="3">
        <v>0.05</v>
      </c>
      <c r="C102">
        <v>2</v>
      </c>
      <c r="D102">
        <f t="shared" si="7"/>
        <v>0.1</v>
      </c>
    </row>
    <row r="103" spans="1:4" x14ac:dyDescent="0.3">
      <c r="A103" t="s">
        <v>87</v>
      </c>
      <c r="B103" s="3">
        <v>0.1</v>
      </c>
      <c r="C103">
        <v>4</v>
      </c>
      <c r="D103">
        <f t="shared" si="7"/>
        <v>0.4</v>
      </c>
    </row>
    <row r="104" spans="1:4" x14ac:dyDescent="0.3">
      <c r="A104" t="s">
        <v>86</v>
      </c>
      <c r="B104" s="3">
        <v>0.15</v>
      </c>
      <c r="C104">
        <v>4</v>
      </c>
      <c r="D104">
        <f>C104*B104</f>
        <v>0.6</v>
      </c>
    </row>
    <row r="105" spans="1:4" ht="15" thickBot="1" x14ac:dyDescent="0.35">
      <c r="B105" s="4">
        <f>SUM(B96:B104)</f>
        <v>1</v>
      </c>
      <c r="D105" s="6">
        <f>SUM(D96:D104)</f>
        <v>3.25</v>
      </c>
    </row>
    <row r="106" spans="1:4" ht="15" thickTop="1" x14ac:dyDescent="0.3"/>
    <row r="107" spans="1:4" x14ac:dyDescent="0.3">
      <c r="A107" t="s">
        <v>108</v>
      </c>
    </row>
    <row r="108" spans="1:4" x14ac:dyDescent="0.3">
      <c r="A108" s="1" t="s">
        <v>0</v>
      </c>
      <c r="B108" s="1" t="s">
        <v>1</v>
      </c>
      <c r="C108" s="1" t="s">
        <v>151</v>
      </c>
      <c r="D108" s="1" t="s">
        <v>3</v>
      </c>
    </row>
    <row r="109" spans="1:4" x14ac:dyDescent="0.3">
      <c r="A109" t="s">
        <v>155</v>
      </c>
      <c r="B109" s="3">
        <v>0.15</v>
      </c>
      <c r="C109">
        <v>4</v>
      </c>
      <c r="D109">
        <f>C109*B109</f>
        <v>0.6</v>
      </c>
    </row>
    <row r="110" spans="1:4" x14ac:dyDescent="0.3">
      <c r="A110" t="s">
        <v>152</v>
      </c>
      <c r="B110" s="3">
        <v>0.1</v>
      </c>
      <c r="C110">
        <v>4</v>
      </c>
      <c r="D110">
        <f t="shared" ref="D110:D116" si="8">C110*B110</f>
        <v>0.4</v>
      </c>
    </row>
    <row r="111" spans="1:4" x14ac:dyDescent="0.3">
      <c r="A111" t="s">
        <v>156</v>
      </c>
      <c r="B111" s="3">
        <v>0.1</v>
      </c>
      <c r="C111">
        <v>3</v>
      </c>
      <c r="D111">
        <f t="shared" si="8"/>
        <v>0.30000000000000004</v>
      </c>
    </row>
    <row r="112" spans="1:4" x14ac:dyDescent="0.3">
      <c r="A112" t="s">
        <v>89</v>
      </c>
      <c r="B112" s="3">
        <v>0.15</v>
      </c>
      <c r="C112">
        <v>2</v>
      </c>
      <c r="D112">
        <f t="shared" si="8"/>
        <v>0.3</v>
      </c>
    </row>
    <row r="113" spans="1:4" x14ac:dyDescent="0.3">
      <c r="A113" t="s">
        <v>88</v>
      </c>
      <c r="B113" s="3">
        <v>0.15</v>
      </c>
      <c r="C113">
        <v>3</v>
      </c>
      <c r="D113">
        <f t="shared" si="8"/>
        <v>0.44999999999999996</v>
      </c>
    </row>
    <row r="114" spans="1:4" x14ac:dyDescent="0.3">
      <c r="A114" t="s">
        <v>153</v>
      </c>
      <c r="B114" s="3">
        <v>0.05</v>
      </c>
      <c r="C114">
        <v>2</v>
      </c>
      <c r="D114">
        <f t="shared" si="8"/>
        <v>0.1</v>
      </c>
    </row>
    <row r="115" spans="1:4" x14ac:dyDescent="0.3">
      <c r="A115" t="s">
        <v>154</v>
      </c>
      <c r="B115" s="3">
        <v>0.05</v>
      </c>
      <c r="C115">
        <v>2</v>
      </c>
      <c r="D115">
        <f t="shared" si="8"/>
        <v>0.1</v>
      </c>
    </row>
    <row r="116" spans="1:4" x14ac:dyDescent="0.3">
      <c r="A116" t="s">
        <v>87</v>
      </c>
      <c r="B116" s="3">
        <v>0.1</v>
      </c>
      <c r="C116">
        <v>4</v>
      </c>
      <c r="D116">
        <f t="shared" si="8"/>
        <v>0.4</v>
      </c>
    </row>
    <row r="117" spans="1:4" x14ac:dyDescent="0.3">
      <c r="A117" t="s">
        <v>86</v>
      </c>
      <c r="B117" s="3">
        <v>0.15</v>
      </c>
      <c r="C117">
        <v>4</v>
      </c>
      <c r="D117">
        <f>C117*B117</f>
        <v>0.6</v>
      </c>
    </row>
    <row r="118" spans="1:4" ht="15" thickBot="1" x14ac:dyDescent="0.35">
      <c r="B118" s="4">
        <f>SUM(B109:B117)</f>
        <v>1</v>
      </c>
      <c r="D118" s="6">
        <f>SUM(D109:D117)</f>
        <v>3.25</v>
      </c>
    </row>
    <row r="119" spans="1:4" ht="15" thickTop="1"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40707-AD86-4E94-B9E5-ADCCAA8F599B}">
  <dimension ref="A1:G119"/>
  <sheetViews>
    <sheetView topLeftCell="C1" zoomScale="87" workbookViewId="0">
      <selection activeCell="G5" sqref="G5"/>
    </sheetView>
  </sheetViews>
  <sheetFormatPr defaultRowHeight="14.4" x14ac:dyDescent="0.3"/>
  <cols>
    <col min="1" max="1" width="59.44140625" bestFit="1" customWidth="1"/>
    <col min="2" max="2" width="6.77734375" bestFit="1" customWidth="1"/>
    <col min="3" max="3" width="10.21875" bestFit="1" customWidth="1"/>
    <col min="4" max="4" width="16.6640625" bestFit="1" customWidth="1"/>
  </cols>
  <sheetData>
    <row r="1" spans="1:7" x14ac:dyDescent="0.3">
      <c r="A1" s="2" t="s">
        <v>4</v>
      </c>
      <c r="B1" s="5">
        <f>B5*5 + B6*5 +B7*5+B8*5+B9*5+B10*5+B11*5+B12*5+B13*5</f>
        <v>5</v>
      </c>
    </row>
    <row r="2" spans="1:7" x14ac:dyDescent="0.3">
      <c r="F2" s="2" t="s">
        <v>2</v>
      </c>
      <c r="G2" s="7"/>
    </row>
    <row r="3" spans="1:7" x14ac:dyDescent="0.3">
      <c r="A3" t="s">
        <v>100</v>
      </c>
      <c r="G3" s="7"/>
    </row>
    <row r="4" spans="1:7" x14ac:dyDescent="0.3">
      <c r="A4" s="1" t="s">
        <v>0</v>
      </c>
      <c r="B4" s="1" t="s">
        <v>1</v>
      </c>
      <c r="C4" s="1" t="s">
        <v>151</v>
      </c>
      <c r="D4" s="1" t="s">
        <v>3</v>
      </c>
      <c r="G4" s="7"/>
    </row>
    <row r="5" spans="1:7" x14ac:dyDescent="0.3">
      <c r="A5" t="s">
        <v>155</v>
      </c>
      <c r="B5" s="3">
        <v>0.15</v>
      </c>
      <c r="C5">
        <v>4</v>
      </c>
      <c r="D5">
        <f>C5*B5</f>
        <v>0.6</v>
      </c>
      <c r="G5" s="7"/>
    </row>
    <row r="6" spans="1:7" x14ac:dyDescent="0.3">
      <c r="A6" t="s">
        <v>152</v>
      </c>
      <c r="B6" s="3">
        <v>0.1</v>
      </c>
      <c r="C6">
        <v>4</v>
      </c>
      <c r="D6">
        <f t="shared" ref="D6:D12" si="0">C6*B6</f>
        <v>0.4</v>
      </c>
      <c r="G6" s="7"/>
    </row>
    <row r="7" spans="1:7" x14ac:dyDescent="0.3">
      <c r="A7" t="s">
        <v>156</v>
      </c>
      <c r="B7" s="3">
        <v>0.1</v>
      </c>
      <c r="C7">
        <v>3</v>
      </c>
      <c r="D7">
        <f t="shared" si="0"/>
        <v>0.30000000000000004</v>
      </c>
      <c r="G7" s="7"/>
    </row>
    <row r="8" spans="1:7" x14ac:dyDescent="0.3">
      <c r="A8" t="s">
        <v>89</v>
      </c>
      <c r="B8" s="3">
        <v>0.15</v>
      </c>
      <c r="C8">
        <v>2</v>
      </c>
      <c r="D8">
        <f t="shared" si="0"/>
        <v>0.3</v>
      </c>
      <c r="G8" s="7"/>
    </row>
    <row r="9" spans="1:7" x14ac:dyDescent="0.3">
      <c r="A9" t="s">
        <v>88</v>
      </c>
      <c r="B9" s="3">
        <v>0.15</v>
      </c>
      <c r="C9">
        <v>3</v>
      </c>
      <c r="D9">
        <f t="shared" si="0"/>
        <v>0.44999999999999996</v>
      </c>
      <c r="G9" s="7"/>
    </row>
    <row r="10" spans="1:7" x14ac:dyDescent="0.3">
      <c r="A10" t="s">
        <v>153</v>
      </c>
      <c r="B10" s="3">
        <v>0.05</v>
      </c>
      <c r="C10">
        <v>2</v>
      </c>
      <c r="D10">
        <f t="shared" si="0"/>
        <v>0.1</v>
      </c>
      <c r="G10" s="7"/>
    </row>
    <row r="11" spans="1:7" x14ac:dyDescent="0.3">
      <c r="A11" t="s">
        <v>154</v>
      </c>
      <c r="B11" s="3">
        <v>0.05</v>
      </c>
      <c r="C11">
        <v>2</v>
      </c>
      <c r="D11">
        <f t="shared" si="0"/>
        <v>0.1</v>
      </c>
      <c r="G11" s="7"/>
    </row>
    <row r="12" spans="1:7" x14ac:dyDescent="0.3">
      <c r="A12" t="s">
        <v>87</v>
      </c>
      <c r="B12" s="3">
        <v>0.1</v>
      </c>
      <c r="C12">
        <v>4</v>
      </c>
      <c r="D12">
        <f t="shared" si="0"/>
        <v>0.4</v>
      </c>
      <c r="G12" s="7"/>
    </row>
    <row r="13" spans="1:7" x14ac:dyDescent="0.3">
      <c r="A13" t="s">
        <v>86</v>
      </c>
      <c r="B13" s="3">
        <v>0.15</v>
      </c>
      <c r="C13">
        <v>4</v>
      </c>
      <c r="D13">
        <f>C13*B13</f>
        <v>0.6</v>
      </c>
      <c r="G13" s="7"/>
    </row>
    <row r="14" spans="1:7" ht="15" thickBot="1" x14ac:dyDescent="0.35">
      <c r="B14" s="4">
        <f>SUM(B5:B13)</f>
        <v>1</v>
      </c>
      <c r="D14" s="6">
        <f>SUM(D5:D13)</f>
        <v>3.25</v>
      </c>
      <c r="G14" s="7"/>
    </row>
    <row r="15" spans="1:7" ht="15" thickTop="1" x14ac:dyDescent="0.3">
      <c r="G15" s="7"/>
    </row>
    <row r="16" spans="1:7" x14ac:dyDescent="0.3">
      <c r="A16" t="s">
        <v>101</v>
      </c>
      <c r="G16" s="7"/>
    </row>
    <row r="17" spans="1:7" x14ac:dyDescent="0.3">
      <c r="A17" s="1" t="s">
        <v>0</v>
      </c>
      <c r="B17" s="1" t="s">
        <v>1</v>
      </c>
      <c r="C17" s="1" t="s">
        <v>151</v>
      </c>
      <c r="D17" s="1" t="s">
        <v>3</v>
      </c>
      <c r="G17" s="7"/>
    </row>
    <row r="18" spans="1:7" x14ac:dyDescent="0.3">
      <c r="A18" t="s">
        <v>155</v>
      </c>
      <c r="B18" s="3">
        <v>0.15</v>
      </c>
      <c r="C18">
        <v>4</v>
      </c>
      <c r="D18">
        <f>C18*B18</f>
        <v>0.6</v>
      </c>
      <c r="G18" s="7"/>
    </row>
    <row r="19" spans="1:7" x14ac:dyDescent="0.3">
      <c r="A19" t="s">
        <v>152</v>
      </c>
      <c r="B19" s="3">
        <v>0.1</v>
      </c>
      <c r="C19">
        <v>4</v>
      </c>
      <c r="D19">
        <f t="shared" ref="D19:D25" si="1">C19*B19</f>
        <v>0.4</v>
      </c>
      <c r="G19" s="7"/>
    </row>
    <row r="20" spans="1:7" x14ac:dyDescent="0.3">
      <c r="A20" t="s">
        <v>156</v>
      </c>
      <c r="B20" s="3">
        <v>0.1</v>
      </c>
      <c r="C20">
        <v>3</v>
      </c>
      <c r="D20">
        <f t="shared" si="1"/>
        <v>0.30000000000000004</v>
      </c>
      <c r="G20" s="7"/>
    </row>
    <row r="21" spans="1:7" x14ac:dyDescent="0.3">
      <c r="A21" t="s">
        <v>89</v>
      </c>
      <c r="B21" s="3">
        <v>0.15</v>
      </c>
      <c r="C21">
        <v>2</v>
      </c>
      <c r="D21">
        <f t="shared" si="1"/>
        <v>0.3</v>
      </c>
      <c r="G21" s="7"/>
    </row>
    <row r="22" spans="1:7" x14ac:dyDescent="0.3">
      <c r="A22" t="s">
        <v>88</v>
      </c>
      <c r="B22" s="3">
        <v>0.15</v>
      </c>
      <c r="C22">
        <v>3</v>
      </c>
      <c r="D22">
        <f t="shared" si="1"/>
        <v>0.44999999999999996</v>
      </c>
      <c r="G22" s="7"/>
    </row>
    <row r="23" spans="1:7" x14ac:dyDescent="0.3">
      <c r="A23" t="s">
        <v>153</v>
      </c>
      <c r="B23" s="3">
        <v>0.05</v>
      </c>
      <c r="C23">
        <v>2</v>
      </c>
      <c r="D23">
        <f t="shared" si="1"/>
        <v>0.1</v>
      </c>
      <c r="G23" s="7"/>
    </row>
    <row r="24" spans="1:7" x14ac:dyDescent="0.3">
      <c r="A24" t="s">
        <v>154</v>
      </c>
      <c r="B24" s="3">
        <v>0.05</v>
      </c>
      <c r="C24">
        <v>2</v>
      </c>
      <c r="D24">
        <f t="shared" si="1"/>
        <v>0.1</v>
      </c>
      <c r="G24" s="7"/>
    </row>
    <row r="25" spans="1:7" x14ac:dyDescent="0.3">
      <c r="A25" t="s">
        <v>87</v>
      </c>
      <c r="B25" s="3">
        <v>0.1</v>
      </c>
      <c r="C25">
        <v>4</v>
      </c>
      <c r="D25">
        <f t="shared" si="1"/>
        <v>0.4</v>
      </c>
      <c r="G25" s="7"/>
    </row>
    <row r="26" spans="1:7" x14ac:dyDescent="0.3">
      <c r="A26" t="s">
        <v>86</v>
      </c>
      <c r="B26" s="3">
        <v>0.15</v>
      </c>
      <c r="C26">
        <v>4</v>
      </c>
      <c r="D26">
        <f>C26*B26</f>
        <v>0.6</v>
      </c>
      <c r="G26" s="7"/>
    </row>
    <row r="27" spans="1:7" ht="15" thickBot="1" x14ac:dyDescent="0.35">
      <c r="B27" s="4">
        <f>SUM(B18:B26)</f>
        <v>1</v>
      </c>
      <c r="D27" s="6">
        <f>SUM(D18:D26)</f>
        <v>3.25</v>
      </c>
      <c r="G27" s="7"/>
    </row>
    <row r="28" spans="1:7" ht="15" thickTop="1" x14ac:dyDescent="0.3">
      <c r="G28" s="7"/>
    </row>
    <row r="29" spans="1:7" x14ac:dyDescent="0.3">
      <c r="A29" t="s">
        <v>102</v>
      </c>
      <c r="G29" s="7"/>
    </row>
    <row r="30" spans="1:7" x14ac:dyDescent="0.3">
      <c r="A30" s="1" t="s">
        <v>0</v>
      </c>
      <c r="B30" s="1" t="s">
        <v>1</v>
      </c>
      <c r="C30" s="1" t="s">
        <v>151</v>
      </c>
      <c r="D30" s="1" t="s">
        <v>3</v>
      </c>
      <c r="G30" s="7"/>
    </row>
    <row r="31" spans="1:7" x14ac:dyDescent="0.3">
      <c r="A31" t="s">
        <v>155</v>
      </c>
      <c r="B31" s="3">
        <v>0.15</v>
      </c>
      <c r="C31">
        <v>4</v>
      </c>
      <c r="D31">
        <f>C31*B31</f>
        <v>0.6</v>
      </c>
      <c r="G31" s="7"/>
    </row>
    <row r="32" spans="1:7" x14ac:dyDescent="0.3">
      <c r="A32" t="s">
        <v>152</v>
      </c>
      <c r="B32" s="3">
        <v>0.1</v>
      </c>
      <c r="C32">
        <v>4</v>
      </c>
      <c r="D32">
        <f t="shared" ref="D32:D38" si="2">C32*B32</f>
        <v>0.4</v>
      </c>
      <c r="G32" s="7"/>
    </row>
    <row r="33" spans="1:7" x14ac:dyDescent="0.3">
      <c r="A33" t="s">
        <v>156</v>
      </c>
      <c r="B33" s="3">
        <v>0.1</v>
      </c>
      <c r="C33">
        <v>3</v>
      </c>
      <c r="D33">
        <f t="shared" si="2"/>
        <v>0.30000000000000004</v>
      </c>
      <c r="G33" s="7"/>
    </row>
    <row r="34" spans="1:7" x14ac:dyDescent="0.3">
      <c r="A34" t="s">
        <v>89</v>
      </c>
      <c r="B34" s="3">
        <v>0.15</v>
      </c>
      <c r="C34">
        <v>2</v>
      </c>
      <c r="D34">
        <f t="shared" si="2"/>
        <v>0.3</v>
      </c>
      <c r="G34" s="7"/>
    </row>
    <row r="35" spans="1:7" x14ac:dyDescent="0.3">
      <c r="A35" t="s">
        <v>88</v>
      </c>
      <c r="B35" s="3">
        <v>0.15</v>
      </c>
      <c r="C35">
        <v>3</v>
      </c>
      <c r="D35">
        <f t="shared" si="2"/>
        <v>0.44999999999999996</v>
      </c>
      <c r="G35" s="7"/>
    </row>
    <row r="36" spans="1:7" x14ac:dyDescent="0.3">
      <c r="A36" t="s">
        <v>153</v>
      </c>
      <c r="B36" s="3">
        <v>0.05</v>
      </c>
      <c r="C36">
        <v>2</v>
      </c>
      <c r="D36">
        <f t="shared" si="2"/>
        <v>0.1</v>
      </c>
      <c r="G36" s="7"/>
    </row>
    <row r="37" spans="1:7" x14ac:dyDescent="0.3">
      <c r="A37" t="s">
        <v>154</v>
      </c>
      <c r="B37" s="3">
        <v>0.05</v>
      </c>
      <c r="C37">
        <v>2</v>
      </c>
      <c r="D37">
        <f t="shared" si="2"/>
        <v>0.1</v>
      </c>
      <c r="G37" s="7"/>
    </row>
    <row r="38" spans="1:7" x14ac:dyDescent="0.3">
      <c r="A38" t="s">
        <v>87</v>
      </c>
      <c r="B38" s="3">
        <v>0.1</v>
      </c>
      <c r="C38">
        <v>4</v>
      </c>
      <c r="D38">
        <f t="shared" si="2"/>
        <v>0.4</v>
      </c>
      <c r="G38" s="7"/>
    </row>
    <row r="39" spans="1:7" x14ac:dyDescent="0.3">
      <c r="A39" t="s">
        <v>86</v>
      </c>
      <c r="B39" s="3">
        <v>0.15</v>
      </c>
      <c r="C39">
        <v>4</v>
      </c>
      <c r="D39">
        <f>C39*B39</f>
        <v>0.6</v>
      </c>
      <c r="G39" s="7"/>
    </row>
    <row r="40" spans="1:7" ht="15" thickBot="1" x14ac:dyDescent="0.35">
      <c r="B40" s="4">
        <f>SUM(B31:B39)</f>
        <v>1</v>
      </c>
      <c r="D40" s="6">
        <f>SUM(D31:D39)</f>
        <v>3.25</v>
      </c>
      <c r="G40" s="7"/>
    </row>
    <row r="41" spans="1:7" ht="15" thickTop="1" x14ac:dyDescent="0.3">
      <c r="G41" s="7"/>
    </row>
    <row r="42" spans="1:7" x14ac:dyDescent="0.3">
      <c r="A42" t="s">
        <v>103</v>
      </c>
      <c r="G42" s="7"/>
    </row>
    <row r="43" spans="1:7" x14ac:dyDescent="0.3">
      <c r="A43" s="1" t="s">
        <v>0</v>
      </c>
      <c r="B43" s="1" t="s">
        <v>1</v>
      </c>
      <c r="C43" s="1" t="s">
        <v>151</v>
      </c>
      <c r="D43" s="1" t="s">
        <v>3</v>
      </c>
      <c r="G43" s="7"/>
    </row>
    <row r="44" spans="1:7" x14ac:dyDescent="0.3">
      <c r="A44" t="s">
        <v>155</v>
      </c>
      <c r="B44" s="3">
        <v>0.15</v>
      </c>
      <c r="C44">
        <v>4</v>
      </c>
      <c r="D44">
        <f>C44*B44</f>
        <v>0.6</v>
      </c>
      <c r="G44" s="7"/>
    </row>
    <row r="45" spans="1:7" x14ac:dyDescent="0.3">
      <c r="A45" t="s">
        <v>152</v>
      </c>
      <c r="B45" s="3">
        <v>0.1</v>
      </c>
      <c r="C45">
        <v>4</v>
      </c>
      <c r="D45">
        <f t="shared" ref="D45:D51" si="3">C45*B45</f>
        <v>0.4</v>
      </c>
      <c r="G45" s="7"/>
    </row>
    <row r="46" spans="1:7" x14ac:dyDescent="0.3">
      <c r="A46" t="s">
        <v>156</v>
      </c>
      <c r="B46" s="3">
        <v>0.1</v>
      </c>
      <c r="C46">
        <v>3</v>
      </c>
      <c r="D46">
        <f t="shared" si="3"/>
        <v>0.30000000000000004</v>
      </c>
      <c r="G46" s="7"/>
    </row>
    <row r="47" spans="1:7" x14ac:dyDescent="0.3">
      <c r="A47" t="s">
        <v>89</v>
      </c>
      <c r="B47" s="3">
        <v>0.15</v>
      </c>
      <c r="C47">
        <v>2</v>
      </c>
      <c r="D47">
        <f t="shared" si="3"/>
        <v>0.3</v>
      </c>
      <c r="G47" s="7"/>
    </row>
    <row r="48" spans="1:7" x14ac:dyDescent="0.3">
      <c r="A48" t="s">
        <v>88</v>
      </c>
      <c r="B48" s="3">
        <v>0.15</v>
      </c>
      <c r="C48">
        <v>3</v>
      </c>
      <c r="D48">
        <f t="shared" si="3"/>
        <v>0.44999999999999996</v>
      </c>
      <c r="G48" s="7"/>
    </row>
    <row r="49" spans="1:7" x14ac:dyDescent="0.3">
      <c r="A49" t="s">
        <v>153</v>
      </c>
      <c r="B49" s="3">
        <v>0.05</v>
      </c>
      <c r="C49">
        <v>2</v>
      </c>
      <c r="D49">
        <f t="shared" si="3"/>
        <v>0.1</v>
      </c>
      <c r="G49" s="7"/>
    </row>
    <row r="50" spans="1:7" x14ac:dyDescent="0.3">
      <c r="A50" t="s">
        <v>154</v>
      </c>
      <c r="B50" s="3">
        <v>0.05</v>
      </c>
      <c r="C50">
        <v>2</v>
      </c>
      <c r="D50">
        <f t="shared" si="3"/>
        <v>0.1</v>
      </c>
      <c r="G50" s="7"/>
    </row>
    <row r="51" spans="1:7" x14ac:dyDescent="0.3">
      <c r="A51" t="s">
        <v>87</v>
      </c>
      <c r="B51" s="3">
        <v>0.1</v>
      </c>
      <c r="C51">
        <v>4</v>
      </c>
      <c r="D51">
        <f t="shared" si="3"/>
        <v>0.4</v>
      </c>
      <c r="G51" s="7"/>
    </row>
    <row r="52" spans="1:7" x14ac:dyDescent="0.3">
      <c r="A52" t="s">
        <v>86</v>
      </c>
      <c r="B52" s="3">
        <v>0.15</v>
      </c>
      <c r="C52">
        <v>4</v>
      </c>
      <c r="D52">
        <f>C52*B52</f>
        <v>0.6</v>
      </c>
      <c r="G52" s="7"/>
    </row>
    <row r="53" spans="1:7" ht="15" thickBot="1" x14ac:dyDescent="0.35">
      <c r="B53" s="4">
        <f>SUM(B44:B52)</f>
        <v>1</v>
      </c>
      <c r="D53" s="6">
        <f>SUM(D44:D52)</f>
        <v>3.25</v>
      </c>
      <c r="G53" s="7"/>
    </row>
    <row r="54" spans="1:7" ht="15" thickTop="1" x14ac:dyDescent="0.3">
      <c r="G54" s="7"/>
    </row>
    <row r="55" spans="1:7" x14ac:dyDescent="0.3">
      <c r="A55" t="s">
        <v>104</v>
      </c>
      <c r="G55" s="7"/>
    </row>
    <row r="56" spans="1:7" x14ac:dyDescent="0.3">
      <c r="A56" s="1" t="s">
        <v>0</v>
      </c>
      <c r="B56" s="1" t="s">
        <v>1</v>
      </c>
      <c r="C56" s="1" t="s">
        <v>151</v>
      </c>
      <c r="D56" s="1" t="s">
        <v>3</v>
      </c>
      <c r="G56" s="7"/>
    </row>
    <row r="57" spans="1:7" x14ac:dyDescent="0.3">
      <c r="A57" t="s">
        <v>155</v>
      </c>
      <c r="B57" s="3">
        <v>0.15</v>
      </c>
      <c r="C57">
        <v>4</v>
      </c>
      <c r="D57">
        <f>C57*B57</f>
        <v>0.6</v>
      </c>
      <c r="G57" s="7"/>
    </row>
    <row r="58" spans="1:7" x14ac:dyDescent="0.3">
      <c r="A58" t="s">
        <v>152</v>
      </c>
      <c r="B58" s="3">
        <v>0.1</v>
      </c>
      <c r="C58">
        <v>4</v>
      </c>
      <c r="D58">
        <f t="shared" ref="D58:D64" si="4">C58*B58</f>
        <v>0.4</v>
      </c>
      <c r="G58" s="7"/>
    </row>
    <row r="59" spans="1:7" x14ac:dyDescent="0.3">
      <c r="A59" t="s">
        <v>156</v>
      </c>
      <c r="B59" s="3">
        <v>0.1</v>
      </c>
      <c r="C59">
        <v>3</v>
      </c>
      <c r="D59">
        <f t="shared" si="4"/>
        <v>0.30000000000000004</v>
      </c>
      <c r="G59" s="7"/>
    </row>
    <row r="60" spans="1:7" x14ac:dyDescent="0.3">
      <c r="A60" t="s">
        <v>89</v>
      </c>
      <c r="B60" s="3">
        <v>0.15</v>
      </c>
      <c r="C60">
        <v>2</v>
      </c>
      <c r="D60">
        <f t="shared" si="4"/>
        <v>0.3</v>
      </c>
      <c r="G60" s="7"/>
    </row>
    <row r="61" spans="1:7" x14ac:dyDescent="0.3">
      <c r="A61" t="s">
        <v>88</v>
      </c>
      <c r="B61" s="3">
        <v>0.15</v>
      </c>
      <c r="C61">
        <v>3</v>
      </c>
      <c r="D61">
        <f t="shared" si="4"/>
        <v>0.44999999999999996</v>
      </c>
      <c r="G61" s="7"/>
    </row>
    <row r="62" spans="1:7" x14ac:dyDescent="0.3">
      <c r="A62" t="s">
        <v>153</v>
      </c>
      <c r="B62" s="3">
        <v>0.05</v>
      </c>
      <c r="C62">
        <v>2</v>
      </c>
      <c r="D62">
        <f t="shared" si="4"/>
        <v>0.1</v>
      </c>
      <c r="G62" s="7"/>
    </row>
    <row r="63" spans="1:7" x14ac:dyDescent="0.3">
      <c r="A63" t="s">
        <v>154</v>
      </c>
      <c r="B63" s="3">
        <v>0.05</v>
      </c>
      <c r="C63">
        <v>2</v>
      </c>
      <c r="D63">
        <f t="shared" si="4"/>
        <v>0.1</v>
      </c>
      <c r="G63" s="7"/>
    </row>
    <row r="64" spans="1:7" x14ac:dyDescent="0.3">
      <c r="A64" t="s">
        <v>87</v>
      </c>
      <c r="B64" s="3">
        <v>0.1</v>
      </c>
      <c r="C64">
        <v>4</v>
      </c>
      <c r="D64">
        <f t="shared" si="4"/>
        <v>0.4</v>
      </c>
      <c r="G64" s="7"/>
    </row>
    <row r="65" spans="1:7" x14ac:dyDescent="0.3">
      <c r="A65" t="s">
        <v>86</v>
      </c>
      <c r="B65" s="3">
        <v>0.15</v>
      </c>
      <c r="C65">
        <v>4</v>
      </c>
      <c r="D65">
        <f>C65*B65</f>
        <v>0.6</v>
      </c>
      <c r="G65" s="7"/>
    </row>
    <row r="66" spans="1:7" ht="15" thickBot="1" x14ac:dyDescent="0.35">
      <c r="B66" s="4">
        <f>SUM(B57:B65)</f>
        <v>1</v>
      </c>
      <c r="D66" s="6">
        <f>SUM(D57:D65)</f>
        <v>3.25</v>
      </c>
    </row>
    <row r="67" spans="1:7" ht="15" thickTop="1" x14ac:dyDescent="0.3">
      <c r="G67" s="7"/>
    </row>
    <row r="68" spans="1:7" x14ac:dyDescent="0.3">
      <c r="A68" t="s">
        <v>105</v>
      </c>
      <c r="G68" s="7"/>
    </row>
    <row r="69" spans="1:7" x14ac:dyDescent="0.3">
      <c r="A69" s="1" t="s">
        <v>0</v>
      </c>
      <c r="B69" s="1" t="s">
        <v>1</v>
      </c>
      <c r="C69" s="1" t="s">
        <v>151</v>
      </c>
      <c r="D69" s="1" t="s">
        <v>3</v>
      </c>
    </row>
    <row r="70" spans="1:7" x14ac:dyDescent="0.3">
      <c r="A70" t="s">
        <v>155</v>
      </c>
      <c r="B70" s="3">
        <v>0.15</v>
      </c>
      <c r="C70">
        <v>4</v>
      </c>
      <c r="D70">
        <f>C70*B70</f>
        <v>0.6</v>
      </c>
      <c r="G70" s="7"/>
    </row>
    <row r="71" spans="1:7" x14ac:dyDescent="0.3">
      <c r="A71" t="s">
        <v>152</v>
      </c>
      <c r="B71" s="3">
        <v>0.1</v>
      </c>
      <c r="C71">
        <v>4</v>
      </c>
      <c r="D71">
        <f t="shared" ref="D71:D77" si="5">C71*B71</f>
        <v>0.4</v>
      </c>
      <c r="G71" s="7"/>
    </row>
    <row r="72" spans="1:7" x14ac:dyDescent="0.3">
      <c r="A72" t="s">
        <v>156</v>
      </c>
      <c r="B72" s="3">
        <v>0.1</v>
      </c>
      <c r="C72">
        <v>3</v>
      </c>
      <c r="D72">
        <f t="shared" si="5"/>
        <v>0.30000000000000004</v>
      </c>
      <c r="G72" s="7"/>
    </row>
    <row r="73" spans="1:7" x14ac:dyDescent="0.3">
      <c r="A73" t="s">
        <v>89</v>
      </c>
      <c r="B73" s="3">
        <v>0.15</v>
      </c>
      <c r="C73">
        <v>2</v>
      </c>
      <c r="D73">
        <f t="shared" si="5"/>
        <v>0.3</v>
      </c>
      <c r="G73" s="7"/>
    </row>
    <row r="74" spans="1:7" x14ac:dyDescent="0.3">
      <c r="A74" t="s">
        <v>88</v>
      </c>
      <c r="B74" s="3">
        <v>0.15</v>
      </c>
      <c r="C74">
        <v>3</v>
      </c>
      <c r="D74">
        <f t="shared" si="5"/>
        <v>0.44999999999999996</v>
      </c>
      <c r="G74" s="7"/>
    </row>
    <row r="75" spans="1:7" x14ac:dyDescent="0.3">
      <c r="A75" t="s">
        <v>153</v>
      </c>
      <c r="B75" s="3">
        <v>0.05</v>
      </c>
      <c r="C75">
        <v>2</v>
      </c>
      <c r="D75">
        <f t="shared" si="5"/>
        <v>0.1</v>
      </c>
    </row>
    <row r="76" spans="1:7" x14ac:dyDescent="0.3">
      <c r="A76" t="s">
        <v>154</v>
      </c>
      <c r="B76" s="3">
        <v>0.05</v>
      </c>
      <c r="C76">
        <v>2</v>
      </c>
      <c r="D76">
        <f t="shared" si="5"/>
        <v>0.1</v>
      </c>
      <c r="G76" s="7"/>
    </row>
    <row r="77" spans="1:7" x14ac:dyDescent="0.3">
      <c r="A77" t="s">
        <v>87</v>
      </c>
      <c r="B77" s="3">
        <v>0.1</v>
      </c>
      <c r="C77">
        <v>4</v>
      </c>
      <c r="D77">
        <f t="shared" si="5"/>
        <v>0.4</v>
      </c>
      <c r="G77" s="7"/>
    </row>
    <row r="78" spans="1:7" x14ac:dyDescent="0.3">
      <c r="A78" t="s">
        <v>86</v>
      </c>
      <c r="B78" s="3">
        <v>0.15</v>
      </c>
      <c r="C78">
        <v>4</v>
      </c>
      <c r="D78">
        <f>C78*B78</f>
        <v>0.6</v>
      </c>
      <c r="G78" s="7"/>
    </row>
    <row r="79" spans="1:7" ht="15" thickBot="1" x14ac:dyDescent="0.35">
      <c r="B79" s="4">
        <f>SUM(B70:B78)</f>
        <v>1</v>
      </c>
      <c r="D79" s="6">
        <f>SUM(D70:D78)</f>
        <v>3.25</v>
      </c>
    </row>
    <row r="80" spans="1:7" ht="15" thickTop="1" x14ac:dyDescent="0.3">
      <c r="G80" s="7"/>
    </row>
    <row r="81" spans="1:7" x14ac:dyDescent="0.3">
      <c r="A81" t="s">
        <v>106</v>
      </c>
      <c r="G81" s="7"/>
    </row>
    <row r="82" spans="1:7" x14ac:dyDescent="0.3">
      <c r="A82" s="1" t="s">
        <v>0</v>
      </c>
      <c r="B82" s="1" t="s">
        <v>1</v>
      </c>
      <c r="C82" s="1" t="s">
        <v>151</v>
      </c>
      <c r="D82" s="1" t="s">
        <v>3</v>
      </c>
      <c r="G82" s="7"/>
    </row>
    <row r="83" spans="1:7" x14ac:dyDescent="0.3">
      <c r="A83" t="s">
        <v>155</v>
      </c>
      <c r="B83" s="3">
        <v>0.15</v>
      </c>
      <c r="C83">
        <v>4</v>
      </c>
      <c r="D83">
        <f>C83*B83</f>
        <v>0.6</v>
      </c>
    </row>
    <row r="84" spans="1:7" x14ac:dyDescent="0.3">
      <c r="A84" t="s">
        <v>152</v>
      </c>
      <c r="B84" s="3">
        <v>0.1</v>
      </c>
      <c r="C84">
        <v>4</v>
      </c>
      <c r="D84">
        <f t="shared" ref="D84:D90" si="6">C84*B84</f>
        <v>0.4</v>
      </c>
    </row>
    <row r="85" spans="1:7" x14ac:dyDescent="0.3">
      <c r="A85" t="s">
        <v>156</v>
      </c>
      <c r="B85" s="3">
        <v>0.1</v>
      </c>
      <c r="C85">
        <v>3</v>
      </c>
      <c r="D85">
        <f t="shared" si="6"/>
        <v>0.30000000000000004</v>
      </c>
    </row>
    <row r="86" spans="1:7" x14ac:dyDescent="0.3">
      <c r="A86" t="s">
        <v>89</v>
      </c>
      <c r="B86" s="3">
        <v>0.15</v>
      </c>
      <c r="C86">
        <v>2</v>
      </c>
      <c r="D86">
        <f t="shared" si="6"/>
        <v>0.3</v>
      </c>
    </row>
    <row r="87" spans="1:7" x14ac:dyDescent="0.3">
      <c r="A87" t="s">
        <v>88</v>
      </c>
      <c r="B87" s="3">
        <v>0.15</v>
      </c>
      <c r="C87">
        <v>3</v>
      </c>
      <c r="D87">
        <f t="shared" si="6"/>
        <v>0.44999999999999996</v>
      </c>
    </row>
    <row r="88" spans="1:7" x14ac:dyDescent="0.3">
      <c r="A88" t="s">
        <v>153</v>
      </c>
      <c r="B88" s="3">
        <v>0.05</v>
      </c>
      <c r="C88">
        <v>2</v>
      </c>
      <c r="D88">
        <f t="shared" si="6"/>
        <v>0.1</v>
      </c>
    </row>
    <row r="89" spans="1:7" x14ac:dyDescent="0.3">
      <c r="A89" t="s">
        <v>154</v>
      </c>
      <c r="B89" s="3">
        <v>0.05</v>
      </c>
      <c r="C89">
        <v>2</v>
      </c>
      <c r="D89">
        <f t="shared" si="6"/>
        <v>0.1</v>
      </c>
    </row>
    <row r="90" spans="1:7" x14ac:dyDescent="0.3">
      <c r="A90" t="s">
        <v>87</v>
      </c>
      <c r="B90" s="3">
        <v>0.1</v>
      </c>
      <c r="C90">
        <v>4</v>
      </c>
      <c r="D90">
        <f t="shared" si="6"/>
        <v>0.4</v>
      </c>
    </row>
    <row r="91" spans="1:7" x14ac:dyDescent="0.3">
      <c r="A91" t="s">
        <v>86</v>
      </c>
      <c r="B91" s="3">
        <v>0.15</v>
      </c>
      <c r="C91">
        <v>4</v>
      </c>
      <c r="D91">
        <f>C91*B91</f>
        <v>0.6</v>
      </c>
    </row>
    <row r="92" spans="1:7" ht="15" thickBot="1" x14ac:dyDescent="0.35">
      <c r="B92" s="4">
        <f>SUM(B83:B91)</f>
        <v>1</v>
      </c>
      <c r="D92" s="6">
        <f>SUM(D83:D91)</f>
        <v>3.25</v>
      </c>
    </row>
    <row r="93" spans="1:7" ht="15" thickTop="1" x14ac:dyDescent="0.3"/>
    <row r="94" spans="1:7" x14ac:dyDescent="0.3">
      <c r="A94" t="s">
        <v>107</v>
      </c>
    </row>
    <row r="95" spans="1:7" x14ac:dyDescent="0.3">
      <c r="A95" s="1" t="s">
        <v>0</v>
      </c>
      <c r="B95" s="1" t="s">
        <v>1</v>
      </c>
      <c r="C95" s="1" t="s">
        <v>151</v>
      </c>
      <c r="D95" s="1" t="s">
        <v>3</v>
      </c>
    </row>
    <row r="96" spans="1:7" x14ac:dyDescent="0.3">
      <c r="A96" t="s">
        <v>155</v>
      </c>
      <c r="B96" s="3">
        <v>0.15</v>
      </c>
      <c r="C96">
        <v>4</v>
      </c>
      <c r="D96">
        <f>C96*B96</f>
        <v>0.6</v>
      </c>
    </row>
    <row r="97" spans="1:4" x14ac:dyDescent="0.3">
      <c r="A97" t="s">
        <v>152</v>
      </c>
      <c r="B97" s="3">
        <v>0.1</v>
      </c>
      <c r="C97">
        <v>4</v>
      </c>
      <c r="D97">
        <f t="shared" ref="D97:D103" si="7">C97*B97</f>
        <v>0.4</v>
      </c>
    </row>
    <row r="98" spans="1:4" x14ac:dyDescent="0.3">
      <c r="A98" t="s">
        <v>156</v>
      </c>
      <c r="B98" s="3">
        <v>0.1</v>
      </c>
      <c r="C98">
        <v>3</v>
      </c>
      <c r="D98">
        <f t="shared" si="7"/>
        <v>0.30000000000000004</v>
      </c>
    </row>
    <row r="99" spans="1:4" x14ac:dyDescent="0.3">
      <c r="A99" t="s">
        <v>89</v>
      </c>
      <c r="B99" s="3">
        <v>0.15</v>
      </c>
      <c r="C99">
        <v>2</v>
      </c>
      <c r="D99">
        <f t="shared" si="7"/>
        <v>0.3</v>
      </c>
    </row>
    <row r="100" spans="1:4" x14ac:dyDescent="0.3">
      <c r="A100" t="s">
        <v>88</v>
      </c>
      <c r="B100" s="3">
        <v>0.15</v>
      </c>
      <c r="C100">
        <v>3</v>
      </c>
      <c r="D100">
        <f t="shared" si="7"/>
        <v>0.44999999999999996</v>
      </c>
    </row>
    <row r="101" spans="1:4" x14ac:dyDescent="0.3">
      <c r="A101" t="s">
        <v>153</v>
      </c>
      <c r="B101" s="3">
        <v>0.05</v>
      </c>
      <c r="C101">
        <v>2</v>
      </c>
      <c r="D101">
        <f t="shared" si="7"/>
        <v>0.1</v>
      </c>
    </row>
    <row r="102" spans="1:4" x14ac:dyDescent="0.3">
      <c r="A102" t="s">
        <v>154</v>
      </c>
      <c r="B102" s="3">
        <v>0.05</v>
      </c>
      <c r="C102">
        <v>2</v>
      </c>
      <c r="D102">
        <f t="shared" si="7"/>
        <v>0.1</v>
      </c>
    </row>
    <row r="103" spans="1:4" x14ac:dyDescent="0.3">
      <c r="A103" t="s">
        <v>87</v>
      </c>
      <c r="B103" s="3">
        <v>0.1</v>
      </c>
      <c r="C103">
        <v>4</v>
      </c>
      <c r="D103">
        <f t="shared" si="7"/>
        <v>0.4</v>
      </c>
    </row>
    <row r="104" spans="1:4" x14ac:dyDescent="0.3">
      <c r="A104" t="s">
        <v>86</v>
      </c>
      <c r="B104" s="3">
        <v>0.15</v>
      </c>
      <c r="C104">
        <v>4</v>
      </c>
      <c r="D104">
        <f>C104*B104</f>
        <v>0.6</v>
      </c>
    </row>
    <row r="105" spans="1:4" ht="15" thickBot="1" x14ac:dyDescent="0.35">
      <c r="B105" s="4">
        <f>SUM(B96:B104)</f>
        <v>1</v>
      </c>
      <c r="D105" s="6">
        <f>SUM(D96:D104)</f>
        <v>3.25</v>
      </c>
    </row>
    <row r="106" spans="1:4" ht="15" thickTop="1" x14ac:dyDescent="0.3"/>
    <row r="107" spans="1:4" x14ac:dyDescent="0.3">
      <c r="A107" t="s">
        <v>108</v>
      </c>
    </row>
    <row r="108" spans="1:4" x14ac:dyDescent="0.3">
      <c r="A108" s="1" t="s">
        <v>0</v>
      </c>
      <c r="B108" s="1" t="s">
        <v>1</v>
      </c>
      <c r="C108" s="1" t="s">
        <v>151</v>
      </c>
      <c r="D108" s="1" t="s">
        <v>3</v>
      </c>
    </row>
    <row r="109" spans="1:4" x14ac:dyDescent="0.3">
      <c r="A109" t="s">
        <v>155</v>
      </c>
      <c r="B109" s="3">
        <v>0.15</v>
      </c>
      <c r="C109">
        <v>4</v>
      </c>
      <c r="D109">
        <f>C109*B109</f>
        <v>0.6</v>
      </c>
    </row>
    <row r="110" spans="1:4" x14ac:dyDescent="0.3">
      <c r="A110" t="s">
        <v>152</v>
      </c>
      <c r="B110" s="3">
        <v>0.1</v>
      </c>
      <c r="C110">
        <v>4</v>
      </c>
      <c r="D110">
        <f t="shared" ref="D110:D116" si="8">C110*B110</f>
        <v>0.4</v>
      </c>
    </row>
    <row r="111" spans="1:4" x14ac:dyDescent="0.3">
      <c r="A111" t="s">
        <v>156</v>
      </c>
      <c r="B111" s="3">
        <v>0.1</v>
      </c>
      <c r="C111">
        <v>3</v>
      </c>
      <c r="D111">
        <f t="shared" si="8"/>
        <v>0.30000000000000004</v>
      </c>
    </row>
    <row r="112" spans="1:4" x14ac:dyDescent="0.3">
      <c r="A112" t="s">
        <v>89</v>
      </c>
      <c r="B112" s="3">
        <v>0.15</v>
      </c>
      <c r="C112">
        <v>2</v>
      </c>
      <c r="D112">
        <f t="shared" si="8"/>
        <v>0.3</v>
      </c>
    </row>
    <row r="113" spans="1:4" x14ac:dyDescent="0.3">
      <c r="A113" t="s">
        <v>88</v>
      </c>
      <c r="B113" s="3">
        <v>0.15</v>
      </c>
      <c r="C113">
        <v>3</v>
      </c>
      <c r="D113">
        <f t="shared" si="8"/>
        <v>0.44999999999999996</v>
      </c>
    </row>
    <row r="114" spans="1:4" x14ac:dyDescent="0.3">
      <c r="A114" t="s">
        <v>153</v>
      </c>
      <c r="B114" s="3">
        <v>0.05</v>
      </c>
      <c r="C114">
        <v>2</v>
      </c>
      <c r="D114">
        <f t="shared" si="8"/>
        <v>0.1</v>
      </c>
    </row>
    <row r="115" spans="1:4" x14ac:dyDescent="0.3">
      <c r="A115" t="s">
        <v>154</v>
      </c>
      <c r="B115" s="3">
        <v>0.05</v>
      </c>
      <c r="C115">
        <v>2</v>
      </c>
      <c r="D115">
        <f t="shared" si="8"/>
        <v>0.1</v>
      </c>
    </row>
    <row r="116" spans="1:4" x14ac:dyDescent="0.3">
      <c r="A116" t="s">
        <v>87</v>
      </c>
      <c r="B116" s="3">
        <v>0.1</v>
      </c>
      <c r="C116">
        <v>4</v>
      </c>
      <c r="D116">
        <f t="shared" si="8"/>
        <v>0.4</v>
      </c>
    </row>
    <row r="117" spans="1:4" x14ac:dyDescent="0.3">
      <c r="A117" t="s">
        <v>86</v>
      </c>
      <c r="B117" s="3">
        <v>0.15</v>
      </c>
      <c r="C117">
        <v>4</v>
      </c>
      <c r="D117">
        <f>C117*B117</f>
        <v>0.6</v>
      </c>
    </row>
    <row r="118" spans="1:4" ht="15" thickBot="1" x14ac:dyDescent="0.35">
      <c r="B118" s="4">
        <f>SUM(B109:B117)</f>
        <v>1</v>
      </c>
      <c r="D118" s="6">
        <f>SUM(D109:D117)</f>
        <v>3.25</v>
      </c>
    </row>
    <row r="119" spans="1:4" ht="15" thickTop="1"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BC9E2-5AB4-4040-8410-1FF455F90DE5}">
  <dimension ref="A1:G119"/>
  <sheetViews>
    <sheetView topLeftCell="B1" zoomScale="87" workbookViewId="0">
      <selection activeCell="G2" sqref="G2:I113"/>
    </sheetView>
  </sheetViews>
  <sheetFormatPr defaultRowHeight="14.4" x14ac:dyDescent="0.3"/>
  <cols>
    <col min="1" max="1" width="59.44140625" bestFit="1" customWidth="1"/>
    <col min="2" max="2" width="6.77734375" bestFit="1" customWidth="1"/>
    <col min="3" max="3" width="10.21875" bestFit="1" customWidth="1"/>
    <col min="4" max="4" width="16.6640625" bestFit="1" customWidth="1"/>
  </cols>
  <sheetData>
    <row r="1" spans="1:7" x14ac:dyDescent="0.3">
      <c r="A1" s="2" t="s">
        <v>4</v>
      </c>
      <c r="B1" s="5">
        <f>B5*5 + B6*5 +B7*5+B8*5+B9*5+B10*5+B11*5+B12*5+B13*5</f>
        <v>5</v>
      </c>
    </row>
    <row r="2" spans="1:7" x14ac:dyDescent="0.3">
      <c r="F2" s="2" t="s">
        <v>2</v>
      </c>
      <c r="G2" s="7"/>
    </row>
    <row r="3" spans="1:7" x14ac:dyDescent="0.3">
      <c r="A3" t="s">
        <v>100</v>
      </c>
      <c r="G3" s="7"/>
    </row>
    <row r="4" spans="1:7" x14ac:dyDescent="0.3">
      <c r="A4" s="1" t="s">
        <v>0</v>
      </c>
      <c r="B4" s="1" t="s">
        <v>1</v>
      </c>
      <c r="C4" s="1" t="s">
        <v>151</v>
      </c>
      <c r="D4" s="1" t="s">
        <v>3</v>
      </c>
      <c r="G4" s="7"/>
    </row>
    <row r="5" spans="1:7" x14ac:dyDescent="0.3">
      <c r="A5" t="s">
        <v>155</v>
      </c>
      <c r="B5" s="3">
        <v>0.15</v>
      </c>
      <c r="C5">
        <v>4</v>
      </c>
      <c r="D5">
        <f>C5*B5</f>
        <v>0.6</v>
      </c>
      <c r="G5" s="7"/>
    </row>
    <row r="6" spans="1:7" x14ac:dyDescent="0.3">
      <c r="A6" t="s">
        <v>152</v>
      </c>
      <c r="B6" s="3">
        <v>0.1</v>
      </c>
      <c r="C6">
        <v>4</v>
      </c>
      <c r="D6">
        <f t="shared" ref="D6:D12" si="0">C6*B6</f>
        <v>0.4</v>
      </c>
      <c r="G6" s="7"/>
    </row>
    <row r="7" spans="1:7" x14ac:dyDescent="0.3">
      <c r="A7" t="s">
        <v>156</v>
      </c>
      <c r="B7" s="3">
        <v>0.1</v>
      </c>
      <c r="C7">
        <v>3</v>
      </c>
      <c r="D7">
        <f t="shared" si="0"/>
        <v>0.30000000000000004</v>
      </c>
      <c r="G7" s="7"/>
    </row>
    <row r="8" spans="1:7" x14ac:dyDescent="0.3">
      <c r="A8" t="s">
        <v>89</v>
      </c>
      <c r="B8" s="3">
        <v>0.15</v>
      </c>
      <c r="C8">
        <v>2</v>
      </c>
      <c r="D8">
        <f t="shared" si="0"/>
        <v>0.3</v>
      </c>
      <c r="G8" s="7"/>
    </row>
    <row r="9" spans="1:7" x14ac:dyDescent="0.3">
      <c r="A9" t="s">
        <v>88</v>
      </c>
      <c r="B9" s="3">
        <v>0.15</v>
      </c>
      <c r="C9">
        <v>3</v>
      </c>
      <c r="D9">
        <f t="shared" si="0"/>
        <v>0.44999999999999996</v>
      </c>
      <c r="G9" s="7"/>
    </row>
    <row r="10" spans="1:7" x14ac:dyDescent="0.3">
      <c r="A10" t="s">
        <v>153</v>
      </c>
      <c r="B10" s="3">
        <v>0.05</v>
      </c>
      <c r="C10">
        <v>2</v>
      </c>
      <c r="D10">
        <f t="shared" si="0"/>
        <v>0.1</v>
      </c>
      <c r="G10" s="7"/>
    </row>
    <row r="11" spans="1:7" x14ac:dyDescent="0.3">
      <c r="A11" t="s">
        <v>154</v>
      </c>
      <c r="B11" s="3">
        <v>0.05</v>
      </c>
      <c r="C11">
        <v>2</v>
      </c>
      <c r="D11">
        <f t="shared" si="0"/>
        <v>0.1</v>
      </c>
      <c r="G11" s="7"/>
    </row>
    <row r="12" spans="1:7" x14ac:dyDescent="0.3">
      <c r="A12" t="s">
        <v>87</v>
      </c>
      <c r="B12" s="3">
        <v>0.1</v>
      </c>
      <c r="C12">
        <v>4</v>
      </c>
      <c r="D12">
        <f t="shared" si="0"/>
        <v>0.4</v>
      </c>
      <c r="G12" s="7"/>
    </row>
    <row r="13" spans="1:7" x14ac:dyDescent="0.3">
      <c r="A13" t="s">
        <v>86</v>
      </c>
      <c r="B13" s="3">
        <v>0.15</v>
      </c>
      <c r="C13">
        <v>4</v>
      </c>
      <c r="D13">
        <f>C13*B13</f>
        <v>0.6</v>
      </c>
      <c r="G13" s="7"/>
    </row>
    <row r="14" spans="1:7" ht="15" thickBot="1" x14ac:dyDescent="0.35">
      <c r="B14" s="4">
        <f>SUM(B5:B13)</f>
        <v>1</v>
      </c>
      <c r="D14" s="6">
        <f>SUM(D5:D13)</f>
        <v>3.25</v>
      </c>
      <c r="G14" s="7"/>
    </row>
    <row r="15" spans="1:7" ht="15" thickTop="1" x14ac:dyDescent="0.3">
      <c r="G15" s="7"/>
    </row>
    <row r="16" spans="1:7" x14ac:dyDescent="0.3">
      <c r="A16" t="s">
        <v>101</v>
      </c>
      <c r="G16" s="7"/>
    </row>
    <row r="17" spans="1:7" x14ac:dyDescent="0.3">
      <c r="A17" s="1" t="s">
        <v>0</v>
      </c>
      <c r="B17" s="1" t="s">
        <v>1</v>
      </c>
      <c r="C17" s="1" t="s">
        <v>151</v>
      </c>
      <c r="D17" s="1" t="s">
        <v>3</v>
      </c>
      <c r="G17" s="7"/>
    </row>
    <row r="18" spans="1:7" x14ac:dyDescent="0.3">
      <c r="A18" t="s">
        <v>155</v>
      </c>
      <c r="B18" s="3">
        <v>0.15</v>
      </c>
      <c r="C18">
        <v>4</v>
      </c>
      <c r="D18">
        <f>C18*B18</f>
        <v>0.6</v>
      </c>
      <c r="G18" s="7"/>
    </row>
    <row r="19" spans="1:7" x14ac:dyDescent="0.3">
      <c r="A19" t="s">
        <v>152</v>
      </c>
      <c r="B19" s="3">
        <v>0.1</v>
      </c>
      <c r="C19">
        <v>4</v>
      </c>
      <c r="D19">
        <f t="shared" ref="D19:D25" si="1">C19*B19</f>
        <v>0.4</v>
      </c>
      <c r="G19" s="7"/>
    </row>
    <row r="20" spans="1:7" x14ac:dyDescent="0.3">
      <c r="A20" t="s">
        <v>156</v>
      </c>
      <c r="B20" s="3">
        <v>0.1</v>
      </c>
      <c r="C20">
        <v>3</v>
      </c>
      <c r="D20">
        <f t="shared" si="1"/>
        <v>0.30000000000000004</v>
      </c>
      <c r="G20" s="7"/>
    </row>
    <row r="21" spans="1:7" x14ac:dyDescent="0.3">
      <c r="A21" t="s">
        <v>89</v>
      </c>
      <c r="B21" s="3">
        <v>0.15</v>
      </c>
      <c r="C21">
        <v>2</v>
      </c>
      <c r="D21">
        <f t="shared" si="1"/>
        <v>0.3</v>
      </c>
      <c r="G21" s="7"/>
    </row>
    <row r="22" spans="1:7" x14ac:dyDescent="0.3">
      <c r="A22" t="s">
        <v>88</v>
      </c>
      <c r="B22" s="3">
        <v>0.15</v>
      </c>
      <c r="C22">
        <v>3</v>
      </c>
      <c r="D22">
        <f t="shared" si="1"/>
        <v>0.44999999999999996</v>
      </c>
      <c r="G22" s="7"/>
    </row>
    <row r="23" spans="1:7" x14ac:dyDescent="0.3">
      <c r="A23" t="s">
        <v>153</v>
      </c>
      <c r="B23" s="3">
        <v>0.05</v>
      </c>
      <c r="C23">
        <v>2</v>
      </c>
      <c r="D23">
        <f t="shared" si="1"/>
        <v>0.1</v>
      </c>
      <c r="G23" s="7"/>
    </row>
    <row r="24" spans="1:7" x14ac:dyDescent="0.3">
      <c r="A24" t="s">
        <v>154</v>
      </c>
      <c r="B24" s="3">
        <v>0.05</v>
      </c>
      <c r="C24">
        <v>2</v>
      </c>
      <c r="D24">
        <f t="shared" si="1"/>
        <v>0.1</v>
      </c>
      <c r="G24" s="7"/>
    </row>
    <row r="25" spans="1:7" x14ac:dyDescent="0.3">
      <c r="A25" t="s">
        <v>87</v>
      </c>
      <c r="B25" s="3">
        <v>0.1</v>
      </c>
      <c r="C25">
        <v>4</v>
      </c>
      <c r="D25">
        <f t="shared" si="1"/>
        <v>0.4</v>
      </c>
      <c r="G25" s="7"/>
    </row>
    <row r="26" spans="1:7" x14ac:dyDescent="0.3">
      <c r="A26" t="s">
        <v>86</v>
      </c>
      <c r="B26" s="3">
        <v>0.15</v>
      </c>
      <c r="C26">
        <v>4</v>
      </c>
      <c r="D26">
        <f>C26*B26</f>
        <v>0.6</v>
      </c>
      <c r="G26" s="7"/>
    </row>
    <row r="27" spans="1:7" ht="15" thickBot="1" x14ac:dyDescent="0.35">
      <c r="B27" s="4">
        <f>SUM(B18:B26)</f>
        <v>1</v>
      </c>
      <c r="D27" s="6">
        <f>SUM(D18:D26)</f>
        <v>3.25</v>
      </c>
      <c r="G27" s="7"/>
    </row>
    <row r="28" spans="1:7" ht="15" thickTop="1" x14ac:dyDescent="0.3">
      <c r="G28" s="7"/>
    </row>
    <row r="29" spans="1:7" x14ac:dyDescent="0.3">
      <c r="A29" t="s">
        <v>102</v>
      </c>
      <c r="G29" s="7"/>
    </row>
    <row r="30" spans="1:7" x14ac:dyDescent="0.3">
      <c r="A30" s="1" t="s">
        <v>0</v>
      </c>
      <c r="B30" s="1" t="s">
        <v>1</v>
      </c>
      <c r="C30" s="1" t="s">
        <v>151</v>
      </c>
      <c r="D30" s="1" t="s">
        <v>3</v>
      </c>
      <c r="G30" s="7"/>
    </row>
    <row r="31" spans="1:7" x14ac:dyDescent="0.3">
      <c r="A31" t="s">
        <v>155</v>
      </c>
      <c r="B31" s="3">
        <v>0.15</v>
      </c>
      <c r="C31">
        <v>4</v>
      </c>
      <c r="D31">
        <f>C31*B31</f>
        <v>0.6</v>
      </c>
      <c r="G31" s="7"/>
    </row>
    <row r="32" spans="1:7" x14ac:dyDescent="0.3">
      <c r="A32" t="s">
        <v>152</v>
      </c>
      <c r="B32" s="3">
        <v>0.1</v>
      </c>
      <c r="C32">
        <v>4</v>
      </c>
      <c r="D32">
        <f t="shared" ref="D32:D38" si="2">C32*B32</f>
        <v>0.4</v>
      </c>
      <c r="G32" s="7"/>
    </row>
    <row r="33" spans="1:7" x14ac:dyDescent="0.3">
      <c r="A33" t="s">
        <v>156</v>
      </c>
      <c r="B33" s="3">
        <v>0.1</v>
      </c>
      <c r="C33">
        <v>3</v>
      </c>
      <c r="D33">
        <f t="shared" si="2"/>
        <v>0.30000000000000004</v>
      </c>
      <c r="G33" s="7"/>
    </row>
    <row r="34" spans="1:7" x14ac:dyDescent="0.3">
      <c r="A34" t="s">
        <v>89</v>
      </c>
      <c r="B34" s="3">
        <v>0.15</v>
      </c>
      <c r="C34">
        <v>2</v>
      </c>
      <c r="D34">
        <f t="shared" si="2"/>
        <v>0.3</v>
      </c>
      <c r="G34" s="7"/>
    </row>
    <row r="35" spans="1:7" x14ac:dyDescent="0.3">
      <c r="A35" t="s">
        <v>88</v>
      </c>
      <c r="B35" s="3">
        <v>0.15</v>
      </c>
      <c r="C35">
        <v>3</v>
      </c>
      <c r="D35">
        <f t="shared" si="2"/>
        <v>0.44999999999999996</v>
      </c>
      <c r="G35" s="7"/>
    </row>
    <row r="36" spans="1:7" x14ac:dyDescent="0.3">
      <c r="A36" t="s">
        <v>153</v>
      </c>
      <c r="B36" s="3">
        <v>0.05</v>
      </c>
      <c r="C36">
        <v>2</v>
      </c>
      <c r="D36">
        <f t="shared" si="2"/>
        <v>0.1</v>
      </c>
      <c r="G36" s="7"/>
    </row>
    <row r="37" spans="1:7" x14ac:dyDescent="0.3">
      <c r="A37" t="s">
        <v>154</v>
      </c>
      <c r="B37" s="3">
        <v>0.05</v>
      </c>
      <c r="C37">
        <v>2</v>
      </c>
      <c r="D37">
        <f t="shared" si="2"/>
        <v>0.1</v>
      </c>
      <c r="G37" s="7"/>
    </row>
    <row r="38" spans="1:7" x14ac:dyDescent="0.3">
      <c r="A38" t="s">
        <v>87</v>
      </c>
      <c r="B38" s="3">
        <v>0.1</v>
      </c>
      <c r="C38">
        <v>4</v>
      </c>
      <c r="D38">
        <f t="shared" si="2"/>
        <v>0.4</v>
      </c>
      <c r="G38" s="7"/>
    </row>
    <row r="39" spans="1:7" x14ac:dyDescent="0.3">
      <c r="A39" t="s">
        <v>86</v>
      </c>
      <c r="B39" s="3">
        <v>0.15</v>
      </c>
      <c r="C39">
        <v>4</v>
      </c>
      <c r="D39">
        <f>C39*B39</f>
        <v>0.6</v>
      </c>
      <c r="G39" s="7"/>
    </row>
    <row r="40" spans="1:7" ht="15" thickBot="1" x14ac:dyDescent="0.35">
      <c r="B40" s="4">
        <f>SUM(B31:B39)</f>
        <v>1</v>
      </c>
      <c r="D40" s="6">
        <f>SUM(D31:D39)</f>
        <v>3.25</v>
      </c>
      <c r="G40" s="7"/>
    </row>
    <row r="41" spans="1:7" ht="15" thickTop="1" x14ac:dyDescent="0.3">
      <c r="G41" s="7"/>
    </row>
    <row r="42" spans="1:7" x14ac:dyDescent="0.3">
      <c r="A42" t="s">
        <v>103</v>
      </c>
      <c r="G42" s="7"/>
    </row>
    <row r="43" spans="1:7" x14ac:dyDescent="0.3">
      <c r="A43" s="1" t="s">
        <v>0</v>
      </c>
      <c r="B43" s="1" t="s">
        <v>1</v>
      </c>
      <c r="C43" s="1" t="s">
        <v>151</v>
      </c>
      <c r="D43" s="1" t="s">
        <v>3</v>
      </c>
      <c r="G43" s="7"/>
    </row>
    <row r="44" spans="1:7" x14ac:dyDescent="0.3">
      <c r="A44" t="s">
        <v>155</v>
      </c>
      <c r="B44" s="3">
        <v>0.15</v>
      </c>
      <c r="C44">
        <v>4</v>
      </c>
      <c r="D44">
        <f>C44*B44</f>
        <v>0.6</v>
      </c>
      <c r="G44" s="7"/>
    </row>
    <row r="45" spans="1:7" x14ac:dyDescent="0.3">
      <c r="A45" t="s">
        <v>152</v>
      </c>
      <c r="B45" s="3">
        <v>0.1</v>
      </c>
      <c r="C45">
        <v>4</v>
      </c>
      <c r="D45">
        <f t="shared" ref="D45:D51" si="3">C45*B45</f>
        <v>0.4</v>
      </c>
      <c r="G45" s="7"/>
    </row>
    <row r="46" spans="1:7" x14ac:dyDescent="0.3">
      <c r="A46" t="s">
        <v>156</v>
      </c>
      <c r="B46" s="3">
        <v>0.1</v>
      </c>
      <c r="C46">
        <v>3</v>
      </c>
      <c r="D46">
        <f t="shared" si="3"/>
        <v>0.30000000000000004</v>
      </c>
      <c r="G46" s="7"/>
    </row>
    <row r="47" spans="1:7" x14ac:dyDescent="0.3">
      <c r="A47" t="s">
        <v>89</v>
      </c>
      <c r="B47" s="3">
        <v>0.15</v>
      </c>
      <c r="C47">
        <v>2</v>
      </c>
      <c r="D47">
        <f t="shared" si="3"/>
        <v>0.3</v>
      </c>
      <c r="G47" s="7"/>
    </row>
    <row r="48" spans="1:7" x14ac:dyDescent="0.3">
      <c r="A48" t="s">
        <v>88</v>
      </c>
      <c r="B48" s="3">
        <v>0.15</v>
      </c>
      <c r="C48">
        <v>3</v>
      </c>
      <c r="D48">
        <f t="shared" si="3"/>
        <v>0.44999999999999996</v>
      </c>
      <c r="G48" s="7"/>
    </row>
    <row r="49" spans="1:7" x14ac:dyDescent="0.3">
      <c r="A49" t="s">
        <v>153</v>
      </c>
      <c r="B49" s="3">
        <v>0.05</v>
      </c>
      <c r="C49">
        <v>2</v>
      </c>
      <c r="D49">
        <f t="shared" si="3"/>
        <v>0.1</v>
      </c>
      <c r="G49" s="7"/>
    </row>
    <row r="50" spans="1:7" x14ac:dyDescent="0.3">
      <c r="A50" t="s">
        <v>154</v>
      </c>
      <c r="B50" s="3">
        <v>0.05</v>
      </c>
      <c r="C50">
        <v>2</v>
      </c>
      <c r="D50">
        <f t="shared" si="3"/>
        <v>0.1</v>
      </c>
      <c r="G50" s="7"/>
    </row>
    <row r="51" spans="1:7" x14ac:dyDescent="0.3">
      <c r="A51" t="s">
        <v>87</v>
      </c>
      <c r="B51" s="3">
        <v>0.1</v>
      </c>
      <c r="C51">
        <v>4</v>
      </c>
      <c r="D51">
        <f t="shared" si="3"/>
        <v>0.4</v>
      </c>
      <c r="G51" s="7"/>
    </row>
    <row r="52" spans="1:7" x14ac:dyDescent="0.3">
      <c r="A52" t="s">
        <v>86</v>
      </c>
      <c r="B52" s="3">
        <v>0.15</v>
      </c>
      <c r="C52">
        <v>4</v>
      </c>
      <c r="D52">
        <f>C52*B52</f>
        <v>0.6</v>
      </c>
      <c r="G52" s="7"/>
    </row>
    <row r="53" spans="1:7" ht="15" thickBot="1" x14ac:dyDescent="0.35">
      <c r="B53" s="4">
        <f>SUM(B44:B52)</f>
        <v>1</v>
      </c>
      <c r="D53" s="6">
        <f>SUM(D44:D52)</f>
        <v>3.25</v>
      </c>
      <c r="G53" s="7"/>
    </row>
    <row r="54" spans="1:7" ht="15" thickTop="1" x14ac:dyDescent="0.3">
      <c r="G54" s="7"/>
    </row>
    <row r="55" spans="1:7" x14ac:dyDescent="0.3">
      <c r="A55" t="s">
        <v>104</v>
      </c>
      <c r="G55" s="7"/>
    </row>
    <row r="56" spans="1:7" x14ac:dyDescent="0.3">
      <c r="A56" s="1" t="s">
        <v>0</v>
      </c>
      <c r="B56" s="1" t="s">
        <v>1</v>
      </c>
      <c r="C56" s="1" t="s">
        <v>151</v>
      </c>
      <c r="D56" s="1" t="s">
        <v>3</v>
      </c>
      <c r="G56" s="7"/>
    </row>
    <row r="57" spans="1:7" x14ac:dyDescent="0.3">
      <c r="A57" t="s">
        <v>155</v>
      </c>
      <c r="B57" s="3">
        <v>0.15</v>
      </c>
      <c r="C57">
        <v>4</v>
      </c>
      <c r="D57">
        <f>C57*B57</f>
        <v>0.6</v>
      </c>
      <c r="G57" s="7"/>
    </row>
    <row r="58" spans="1:7" x14ac:dyDescent="0.3">
      <c r="A58" t="s">
        <v>152</v>
      </c>
      <c r="B58" s="3">
        <v>0.1</v>
      </c>
      <c r="C58">
        <v>4</v>
      </c>
      <c r="D58">
        <f t="shared" ref="D58:D64" si="4">C58*B58</f>
        <v>0.4</v>
      </c>
      <c r="G58" s="7"/>
    </row>
    <row r="59" spans="1:7" x14ac:dyDescent="0.3">
      <c r="A59" t="s">
        <v>156</v>
      </c>
      <c r="B59" s="3">
        <v>0.1</v>
      </c>
      <c r="C59">
        <v>3</v>
      </c>
      <c r="D59">
        <f t="shared" si="4"/>
        <v>0.30000000000000004</v>
      </c>
      <c r="G59" s="7"/>
    </row>
    <row r="60" spans="1:7" x14ac:dyDescent="0.3">
      <c r="A60" t="s">
        <v>89</v>
      </c>
      <c r="B60" s="3">
        <v>0.15</v>
      </c>
      <c r="C60">
        <v>2</v>
      </c>
      <c r="D60">
        <f t="shared" si="4"/>
        <v>0.3</v>
      </c>
      <c r="G60" s="7"/>
    </row>
    <row r="61" spans="1:7" x14ac:dyDescent="0.3">
      <c r="A61" t="s">
        <v>88</v>
      </c>
      <c r="B61" s="3">
        <v>0.15</v>
      </c>
      <c r="C61">
        <v>3</v>
      </c>
      <c r="D61">
        <f t="shared" si="4"/>
        <v>0.44999999999999996</v>
      </c>
      <c r="G61" s="7"/>
    </row>
    <row r="62" spans="1:7" x14ac:dyDescent="0.3">
      <c r="A62" t="s">
        <v>153</v>
      </c>
      <c r="B62" s="3">
        <v>0.05</v>
      </c>
      <c r="C62">
        <v>2</v>
      </c>
      <c r="D62">
        <f t="shared" si="4"/>
        <v>0.1</v>
      </c>
      <c r="G62" s="7"/>
    </row>
    <row r="63" spans="1:7" x14ac:dyDescent="0.3">
      <c r="A63" t="s">
        <v>154</v>
      </c>
      <c r="B63" s="3">
        <v>0.05</v>
      </c>
      <c r="C63">
        <v>2</v>
      </c>
      <c r="D63">
        <f t="shared" si="4"/>
        <v>0.1</v>
      </c>
      <c r="G63" s="7"/>
    </row>
    <row r="64" spans="1:7" x14ac:dyDescent="0.3">
      <c r="A64" t="s">
        <v>87</v>
      </c>
      <c r="B64" s="3">
        <v>0.1</v>
      </c>
      <c r="C64">
        <v>4</v>
      </c>
      <c r="D64">
        <f t="shared" si="4"/>
        <v>0.4</v>
      </c>
      <c r="G64" s="7"/>
    </row>
    <row r="65" spans="1:7" x14ac:dyDescent="0.3">
      <c r="A65" t="s">
        <v>86</v>
      </c>
      <c r="B65" s="3">
        <v>0.15</v>
      </c>
      <c r="C65">
        <v>4</v>
      </c>
      <c r="D65">
        <f>C65*B65</f>
        <v>0.6</v>
      </c>
      <c r="G65" s="7"/>
    </row>
    <row r="66" spans="1:7" ht="15" thickBot="1" x14ac:dyDescent="0.35">
      <c r="B66" s="4">
        <f>SUM(B57:B65)</f>
        <v>1</v>
      </c>
      <c r="D66" s="6">
        <f>SUM(D57:D65)</f>
        <v>3.25</v>
      </c>
    </row>
    <row r="67" spans="1:7" ht="15" thickTop="1" x14ac:dyDescent="0.3">
      <c r="G67" s="7"/>
    </row>
    <row r="68" spans="1:7" x14ac:dyDescent="0.3">
      <c r="A68" t="s">
        <v>105</v>
      </c>
      <c r="G68" s="7"/>
    </row>
    <row r="69" spans="1:7" x14ac:dyDescent="0.3">
      <c r="A69" s="1" t="s">
        <v>0</v>
      </c>
      <c r="B69" s="1" t="s">
        <v>1</v>
      </c>
      <c r="C69" s="1" t="s">
        <v>151</v>
      </c>
      <c r="D69" s="1" t="s">
        <v>3</v>
      </c>
    </row>
    <row r="70" spans="1:7" x14ac:dyDescent="0.3">
      <c r="A70" t="s">
        <v>155</v>
      </c>
      <c r="B70" s="3">
        <v>0.15</v>
      </c>
      <c r="C70">
        <v>4</v>
      </c>
      <c r="D70">
        <f>C70*B70</f>
        <v>0.6</v>
      </c>
      <c r="G70" s="7"/>
    </row>
    <row r="71" spans="1:7" x14ac:dyDescent="0.3">
      <c r="A71" t="s">
        <v>152</v>
      </c>
      <c r="B71" s="3">
        <v>0.1</v>
      </c>
      <c r="C71">
        <v>4</v>
      </c>
      <c r="D71">
        <f t="shared" ref="D71:D77" si="5">C71*B71</f>
        <v>0.4</v>
      </c>
      <c r="G71" s="7"/>
    </row>
    <row r="72" spans="1:7" x14ac:dyDescent="0.3">
      <c r="A72" t="s">
        <v>156</v>
      </c>
      <c r="B72" s="3">
        <v>0.1</v>
      </c>
      <c r="C72">
        <v>3</v>
      </c>
      <c r="D72">
        <f t="shared" si="5"/>
        <v>0.30000000000000004</v>
      </c>
      <c r="G72" s="7"/>
    </row>
    <row r="73" spans="1:7" x14ac:dyDescent="0.3">
      <c r="A73" t="s">
        <v>89</v>
      </c>
      <c r="B73" s="3">
        <v>0.15</v>
      </c>
      <c r="C73">
        <v>2</v>
      </c>
      <c r="D73">
        <f t="shared" si="5"/>
        <v>0.3</v>
      </c>
      <c r="G73" s="7"/>
    </row>
    <row r="74" spans="1:7" x14ac:dyDescent="0.3">
      <c r="A74" t="s">
        <v>88</v>
      </c>
      <c r="B74" s="3">
        <v>0.15</v>
      </c>
      <c r="C74">
        <v>3</v>
      </c>
      <c r="D74">
        <f t="shared" si="5"/>
        <v>0.44999999999999996</v>
      </c>
      <c r="G74" s="7"/>
    </row>
    <row r="75" spans="1:7" x14ac:dyDescent="0.3">
      <c r="A75" t="s">
        <v>153</v>
      </c>
      <c r="B75" s="3">
        <v>0.05</v>
      </c>
      <c r="C75">
        <v>2</v>
      </c>
      <c r="D75">
        <f t="shared" si="5"/>
        <v>0.1</v>
      </c>
    </row>
    <row r="76" spans="1:7" x14ac:dyDescent="0.3">
      <c r="A76" t="s">
        <v>154</v>
      </c>
      <c r="B76" s="3">
        <v>0.05</v>
      </c>
      <c r="C76">
        <v>2</v>
      </c>
      <c r="D76">
        <f t="shared" si="5"/>
        <v>0.1</v>
      </c>
      <c r="G76" s="7"/>
    </row>
    <row r="77" spans="1:7" x14ac:dyDescent="0.3">
      <c r="A77" t="s">
        <v>87</v>
      </c>
      <c r="B77" s="3">
        <v>0.1</v>
      </c>
      <c r="C77">
        <v>4</v>
      </c>
      <c r="D77">
        <f t="shared" si="5"/>
        <v>0.4</v>
      </c>
      <c r="G77" s="7"/>
    </row>
    <row r="78" spans="1:7" x14ac:dyDescent="0.3">
      <c r="A78" t="s">
        <v>86</v>
      </c>
      <c r="B78" s="3">
        <v>0.15</v>
      </c>
      <c r="C78">
        <v>4</v>
      </c>
      <c r="D78">
        <f>C78*B78</f>
        <v>0.6</v>
      </c>
      <c r="G78" s="7"/>
    </row>
    <row r="79" spans="1:7" ht="15" thickBot="1" x14ac:dyDescent="0.35">
      <c r="B79" s="4">
        <f>SUM(B70:B78)</f>
        <v>1</v>
      </c>
      <c r="D79" s="6">
        <f>SUM(D70:D78)</f>
        <v>3.25</v>
      </c>
    </row>
    <row r="80" spans="1:7" ht="15" thickTop="1" x14ac:dyDescent="0.3">
      <c r="G80" s="7"/>
    </row>
    <row r="81" spans="1:7" x14ac:dyDescent="0.3">
      <c r="A81" t="s">
        <v>106</v>
      </c>
      <c r="G81" s="7"/>
    </row>
    <row r="82" spans="1:7" x14ac:dyDescent="0.3">
      <c r="A82" s="1" t="s">
        <v>0</v>
      </c>
      <c r="B82" s="1" t="s">
        <v>1</v>
      </c>
      <c r="C82" s="1" t="s">
        <v>151</v>
      </c>
      <c r="D82" s="1" t="s">
        <v>3</v>
      </c>
      <c r="G82" s="7"/>
    </row>
    <row r="83" spans="1:7" x14ac:dyDescent="0.3">
      <c r="A83" t="s">
        <v>155</v>
      </c>
      <c r="B83" s="3">
        <v>0.15</v>
      </c>
      <c r="C83">
        <v>4</v>
      </c>
      <c r="D83">
        <f>C83*B83</f>
        <v>0.6</v>
      </c>
    </row>
    <row r="84" spans="1:7" x14ac:dyDescent="0.3">
      <c r="A84" t="s">
        <v>152</v>
      </c>
      <c r="B84" s="3">
        <v>0.1</v>
      </c>
      <c r="C84">
        <v>4</v>
      </c>
      <c r="D84">
        <f t="shared" ref="D84:D90" si="6">C84*B84</f>
        <v>0.4</v>
      </c>
    </row>
    <row r="85" spans="1:7" x14ac:dyDescent="0.3">
      <c r="A85" t="s">
        <v>156</v>
      </c>
      <c r="B85" s="3">
        <v>0.1</v>
      </c>
      <c r="C85">
        <v>3</v>
      </c>
      <c r="D85">
        <f t="shared" si="6"/>
        <v>0.30000000000000004</v>
      </c>
    </row>
    <row r="86" spans="1:7" x14ac:dyDescent="0.3">
      <c r="A86" t="s">
        <v>89</v>
      </c>
      <c r="B86" s="3">
        <v>0.15</v>
      </c>
      <c r="C86">
        <v>2</v>
      </c>
      <c r="D86">
        <f t="shared" si="6"/>
        <v>0.3</v>
      </c>
    </row>
    <row r="87" spans="1:7" x14ac:dyDescent="0.3">
      <c r="A87" t="s">
        <v>88</v>
      </c>
      <c r="B87" s="3">
        <v>0.15</v>
      </c>
      <c r="C87">
        <v>3</v>
      </c>
      <c r="D87">
        <f t="shared" si="6"/>
        <v>0.44999999999999996</v>
      </c>
    </row>
    <row r="88" spans="1:7" x14ac:dyDescent="0.3">
      <c r="A88" t="s">
        <v>153</v>
      </c>
      <c r="B88" s="3">
        <v>0.05</v>
      </c>
      <c r="C88">
        <v>2</v>
      </c>
      <c r="D88">
        <f t="shared" si="6"/>
        <v>0.1</v>
      </c>
    </row>
    <row r="89" spans="1:7" x14ac:dyDescent="0.3">
      <c r="A89" t="s">
        <v>154</v>
      </c>
      <c r="B89" s="3">
        <v>0.05</v>
      </c>
      <c r="C89">
        <v>2</v>
      </c>
      <c r="D89">
        <f t="shared" si="6"/>
        <v>0.1</v>
      </c>
    </row>
    <row r="90" spans="1:7" x14ac:dyDescent="0.3">
      <c r="A90" t="s">
        <v>87</v>
      </c>
      <c r="B90" s="3">
        <v>0.1</v>
      </c>
      <c r="C90">
        <v>4</v>
      </c>
      <c r="D90">
        <f t="shared" si="6"/>
        <v>0.4</v>
      </c>
    </row>
    <row r="91" spans="1:7" x14ac:dyDescent="0.3">
      <c r="A91" t="s">
        <v>86</v>
      </c>
      <c r="B91" s="3">
        <v>0.15</v>
      </c>
      <c r="C91">
        <v>4</v>
      </c>
      <c r="D91">
        <f>C91*B91</f>
        <v>0.6</v>
      </c>
    </row>
    <row r="92" spans="1:7" ht="15" thickBot="1" x14ac:dyDescent="0.35">
      <c r="B92" s="4">
        <f>SUM(B83:B91)</f>
        <v>1</v>
      </c>
      <c r="D92" s="6">
        <f>SUM(D83:D91)</f>
        <v>3.25</v>
      </c>
    </row>
    <row r="93" spans="1:7" ht="15" thickTop="1" x14ac:dyDescent="0.3"/>
    <row r="94" spans="1:7" x14ac:dyDescent="0.3">
      <c r="A94" t="s">
        <v>107</v>
      </c>
    </row>
    <row r="95" spans="1:7" x14ac:dyDescent="0.3">
      <c r="A95" s="1" t="s">
        <v>0</v>
      </c>
      <c r="B95" s="1" t="s">
        <v>1</v>
      </c>
      <c r="C95" s="1" t="s">
        <v>151</v>
      </c>
      <c r="D95" s="1" t="s">
        <v>3</v>
      </c>
    </row>
    <row r="96" spans="1:7" x14ac:dyDescent="0.3">
      <c r="A96" t="s">
        <v>155</v>
      </c>
      <c r="B96" s="3">
        <v>0.15</v>
      </c>
      <c r="C96">
        <v>4</v>
      </c>
      <c r="D96">
        <f>C96*B96</f>
        <v>0.6</v>
      </c>
    </row>
    <row r="97" spans="1:4" x14ac:dyDescent="0.3">
      <c r="A97" t="s">
        <v>152</v>
      </c>
      <c r="B97" s="3">
        <v>0.1</v>
      </c>
      <c r="C97">
        <v>4</v>
      </c>
      <c r="D97">
        <f t="shared" ref="D97:D103" si="7">C97*B97</f>
        <v>0.4</v>
      </c>
    </row>
    <row r="98" spans="1:4" x14ac:dyDescent="0.3">
      <c r="A98" t="s">
        <v>156</v>
      </c>
      <c r="B98" s="3">
        <v>0.1</v>
      </c>
      <c r="C98">
        <v>3</v>
      </c>
      <c r="D98">
        <f t="shared" si="7"/>
        <v>0.30000000000000004</v>
      </c>
    </row>
    <row r="99" spans="1:4" x14ac:dyDescent="0.3">
      <c r="A99" t="s">
        <v>89</v>
      </c>
      <c r="B99" s="3">
        <v>0.15</v>
      </c>
      <c r="C99">
        <v>2</v>
      </c>
      <c r="D99">
        <f t="shared" si="7"/>
        <v>0.3</v>
      </c>
    </row>
    <row r="100" spans="1:4" x14ac:dyDescent="0.3">
      <c r="A100" t="s">
        <v>88</v>
      </c>
      <c r="B100" s="3">
        <v>0.15</v>
      </c>
      <c r="C100">
        <v>3</v>
      </c>
      <c r="D100">
        <f t="shared" si="7"/>
        <v>0.44999999999999996</v>
      </c>
    </row>
    <row r="101" spans="1:4" x14ac:dyDescent="0.3">
      <c r="A101" t="s">
        <v>153</v>
      </c>
      <c r="B101" s="3">
        <v>0.05</v>
      </c>
      <c r="C101">
        <v>2</v>
      </c>
      <c r="D101">
        <f t="shared" si="7"/>
        <v>0.1</v>
      </c>
    </row>
    <row r="102" spans="1:4" x14ac:dyDescent="0.3">
      <c r="A102" t="s">
        <v>154</v>
      </c>
      <c r="B102" s="3">
        <v>0.05</v>
      </c>
      <c r="C102">
        <v>2</v>
      </c>
      <c r="D102">
        <f t="shared" si="7"/>
        <v>0.1</v>
      </c>
    </row>
    <row r="103" spans="1:4" x14ac:dyDescent="0.3">
      <c r="A103" t="s">
        <v>87</v>
      </c>
      <c r="B103" s="3">
        <v>0.1</v>
      </c>
      <c r="C103">
        <v>4</v>
      </c>
      <c r="D103">
        <f t="shared" si="7"/>
        <v>0.4</v>
      </c>
    </row>
    <row r="104" spans="1:4" x14ac:dyDescent="0.3">
      <c r="A104" t="s">
        <v>86</v>
      </c>
      <c r="B104" s="3">
        <v>0.15</v>
      </c>
      <c r="C104">
        <v>4</v>
      </c>
      <c r="D104">
        <f>C104*B104</f>
        <v>0.6</v>
      </c>
    </row>
    <row r="105" spans="1:4" ht="15" thickBot="1" x14ac:dyDescent="0.35">
      <c r="B105" s="4">
        <f>SUM(B96:B104)</f>
        <v>1</v>
      </c>
      <c r="D105" s="6">
        <f>SUM(D96:D104)</f>
        <v>3.25</v>
      </c>
    </row>
    <row r="106" spans="1:4" ht="15" thickTop="1" x14ac:dyDescent="0.3"/>
    <row r="107" spans="1:4" x14ac:dyDescent="0.3">
      <c r="A107" t="s">
        <v>108</v>
      </c>
    </row>
    <row r="108" spans="1:4" x14ac:dyDescent="0.3">
      <c r="A108" s="1" t="s">
        <v>0</v>
      </c>
      <c r="B108" s="1" t="s">
        <v>1</v>
      </c>
      <c r="C108" s="1" t="s">
        <v>151</v>
      </c>
      <c r="D108" s="1" t="s">
        <v>3</v>
      </c>
    </row>
    <row r="109" spans="1:4" x14ac:dyDescent="0.3">
      <c r="A109" t="s">
        <v>155</v>
      </c>
      <c r="B109" s="3">
        <v>0.15</v>
      </c>
      <c r="C109">
        <v>4</v>
      </c>
      <c r="D109">
        <f>C109*B109</f>
        <v>0.6</v>
      </c>
    </row>
    <row r="110" spans="1:4" x14ac:dyDescent="0.3">
      <c r="A110" t="s">
        <v>152</v>
      </c>
      <c r="B110" s="3">
        <v>0.1</v>
      </c>
      <c r="C110">
        <v>4</v>
      </c>
      <c r="D110">
        <f t="shared" ref="D110:D116" si="8">C110*B110</f>
        <v>0.4</v>
      </c>
    </row>
    <row r="111" spans="1:4" x14ac:dyDescent="0.3">
      <c r="A111" t="s">
        <v>156</v>
      </c>
      <c r="B111" s="3">
        <v>0.1</v>
      </c>
      <c r="C111">
        <v>3</v>
      </c>
      <c r="D111">
        <f t="shared" si="8"/>
        <v>0.30000000000000004</v>
      </c>
    </row>
    <row r="112" spans="1:4" x14ac:dyDescent="0.3">
      <c r="A112" t="s">
        <v>89</v>
      </c>
      <c r="B112" s="3">
        <v>0.15</v>
      </c>
      <c r="C112">
        <v>2</v>
      </c>
      <c r="D112">
        <f t="shared" si="8"/>
        <v>0.3</v>
      </c>
    </row>
    <row r="113" spans="1:4" x14ac:dyDescent="0.3">
      <c r="A113" t="s">
        <v>88</v>
      </c>
      <c r="B113" s="3">
        <v>0.15</v>
      </c>
      <c r="C113">
        <v>3</v>
      </c>
      <c r="D113">
        <f t="shared" si="8"/>
        <v>0.44999999999999996</v>
      </c>
    </row>
    <row r="114" spans="1:4" x14ac:dyDescent="0.3">
      <c r="A114" t="s">
        <v>153</v>
      </c>
      <c r="B114" s="3">
        <v>0.05</v>
      </c>
      <c r="C114">
        <v>2</v>
      </c>
      <c r="D114">
        <f t="shared" si="8"/>
        <v>0.1</v>
      </c>
    </row>
    <row r="115" spans="1:4" x14ac:dyDescent="0.3">
      <c r="A115" t="s">
        <v>154</v>
      </c>
      <c r="B115" s="3">
        <v>0.05</v>
      </c>
      <c r="C115">
        <v>2</v>
      </c>
      <c r="D115">
        <f t="shared" si="8"/>
        <v>0.1</v>
      </c>
    </row>
    <row r="116" spans="1:4" x14ac:dyDescent="0.3">
      <c r="A116" t="s">
        <v>87</v>
      </c>
      <c r="B116" s="3">
        <v>0.1</v>
      </c>
      <c r="C116">
        <v>4</v>
      </c>
      <c r="D116">
        <f t="shared" si="8"/>
        <v>0.4</v>
      </c>
    </row>
    <row r="117" spans="1:4" x14ac:dyDescent="0.3">
      <c r="A117" t="s">
        <v>86</v>
      </c>
      <c r="B117" s="3">
        <v>0.15</v>
      </c>
      <c r="C117">
        <v>4</v>
      </c>
      <c r="D117">
        <f>C117*B117</f>
        <v>0.6</v>
      </c>
    </row>
    <row r="118" spans="1:4" ht="15" thickBot="1" x14ac:dyDescent="0.35">
      <c r="B118" s="4">
        <f>SUM(B109:B117)</f>
        <v>1</v>
      </c>
      <c r="D118" s="6">
        <f>SUM(D109:D117)</f>
        <v>3.25</v>
      </c>
    </row>
    <row r="119" spans="1:4" ht="15" thickTop="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Evaluation Table</vt:lpstr>
      <vt:lpstr>d88 #1</vt:lpstr>
      <vt:lpstr>d131 #1</vt:lpstr>
      <vt:lpstr>d88 #2</vt:lpstr>
      <vt:lpstr>d131 #2</vt:lpstr>
      <vt:lpstr>d1383 #2</vt:lpstr>
      <vt:lpstr>d1456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Wurster</dc:creator>
  <cp:lastModifiedBy>Kim Wurster</cp:lastModifiedBy>
  <dcterms:created xsi:type="dcterms:W3CDTF">2026-03-26T15:44:43Z</dcterms:created>
  <dcterms:modified xsi:type="dcterms:W3CDTF">2026-04-20T12:02:26Z</dcterms:modified>
</cp:coreProperties>
</file>