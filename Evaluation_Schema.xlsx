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EDE05CFE-74D4-45D0-A235-5864C1AFE471}" xr6:coauthVersionLast="47" xr6:coauthVersionMax="47" xr10:uidLastSave="{00000000-0000-0000-0000-000000000000}"/>
  <bookViews>
    <workbookView xWindow="-96" yWindow="0" windowWidth="11712" windowHeight="12336" xr2:uid="{E8F4F112-DC9E-445D-AE6E-08B98EFB1B63}"/>
  </bookViews>
  <sheets>
    <sheet name="Statistical_Analysis" sheetId="16" r:id="rId1"/>
    <sheet name="Evaluation Table" sheetId="3" r:id="rId2"/>
    <sheet name="d88 #1" sheetId="1" r:id="rId3"/>
    <sheet name="d131 #1" sheetId="4" r:id="rId4"/>
    <sheet name="d88 #2" sheetId="2" r:id="rId5"/>
    <sheet name="d131 #2" sheetId="5" r:id="rId6"/>
    <sheet name="d1383 #2" sheetId="6" r:id="rId7"/>
    <sheet name="d1456 #2" sheetId="7" r:id="rId8"/>
    <sheet name="d88 #3" sheetId="8" r:id="rId9"/>
    <sheet name="d131 #3" sheetId="9" r:id="rId10"/>
    <sheet name="d1383 #3" sheetId="10" r:id="rId11"/>
    <sheet name="d1456 #3" sheetId="11" r:id="rId12"/>
    <sheet name="d88 #4" sheetId="12" r:id="rId13"/>
    <sheet name="d131 #4" sheetId="13" r:id="rId14"/>
    <sheet name="d1383 #4" sheetId="14" r:id="rId15"/>
    <sheet name="d1456 #4" sheetId="15" r:id="rId1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114" i="16" l="1"/>
  <c r="E115" i="16"/>
  <c r="E113" i="16"/>
  <c r="E111" i="16"/>
  <c r="E112" i="16"/>
  <c r="E110" i="16"/>
  <c r="E108" i="16"/>
  <c r="E109" i="16"/>
  <c r="E107" i="16"/>
  <c r="E105" i="16"/>
  <c r="E106" i="16"/>
  <c r="E104" i="16"/>
  <c r="E102" i="16"/>
  <c r="E103" i="16"/>
  <c r="E101" i="16"/>
  <c r="E99" i="16"/>
  <c r="E100" i="16"/>
  <c r="E98" i="16"/>
  <c r="E96" i="16"/>
  <c r="E97" i="16"/>
  <c r="E95" i="16"/>
  <c r="E93" i="16"/>
  <c r="E94" i="16"/>
  <c r="E92" i="16"/>
  <c r="E90" i="16"/>
  <c r="E91" i="16"/>
  <c r="E89" i="16"/>
  <c r="E87" i="16"/>
  <c r="E88" i="16"/>
  <c r="E86" i="16"/>
  <c r="E84" i="16"/>
  <c r="E85" i="16"/>
  <c r="E83" i="16"/>
  <c r="E81" i="16"/>
  <c r="E82" i="16"/>
  <c r="E80" i="16"/>
  <c r="E78" i="16"/>
  <c r="E79" i="16"/>
  <c r="E77" i="16"/>
  <c r="E75" i="16"/>
  <c r="E76" i="16"/>
  <c r="E74" i="16"/>
  <c r="E72" i="16"/>
  <c r="E73" i="16"/>
  <c r="E71" i="16"/>
  <c r="E69" i="16"/>
  <c r="E70" i="16"/>
  <c r="E68" i="16"/>
  <c r="E66" i="16"/>
  <c r="E67" i="16"/>
  <c r="E65" i="16"/>
  <c r="E63" i="16"/>
  <c r="E64" i="16"/>
  <c r="E62" i="16"/>
  <c r="E60" i="16"/>
  <c r="E61" i="16"/>
  <c r="E59" i="16"/>
  <c r="E57" i="16"/>
  <c r="E58" i="16"/>
  <c r="E56" i="16"/>
  <c r="E54" i="16"/>
  <c r="E55" i="16"/>
  <c r="E53" i="16"/>
  <c r="E51" i="16"/>
  <c r="E52" i="16"/>
  <c r="E50" i="16"/>
  <c r="E48" i="16"/>
  <c r="E49" i="16"/>
  <c r="E47" i="16"/>
  <c r="E45" i="16"/>
  <c r="E46" i="16"/>
  <c r="E44" i="16"/>
  <c r="E42" i="16"/>
  <c r="E43" i="16"/>
  <c r="E41" i="16"/>
  <c r="E39" i="16"/>
  <c r="E40" i="16"/>
  <c r="E38" i="16"/>
  <c r="E36" i="16"/>
  <c r="E37" i="16"/>
  <c r="E35" i="16"/>
  <c r="E33" i="16"/>
  <c r="E34" i="16"/>
  <c r="E32" i="16"/>
  <c r="E31" i="16"/>
  <c r="E30" i="16"/>
  <c r="E29" i="16"/>
  <c r="E27" i="16"/>
  <c r="E28" i="16"/>
  <c r="E26" i="16"/>
  <c r="E24" i="16"/>
  <c r="E25" i="16"/>
  <c r="E23" i="16"/>
  <c r="E21" i="16"/>
  <c r="E22" i="16"/>
  <c r="E20" i="16"/>
  <c r="E18" i="16"/>
  <c r="E19" i="16"/>
  <c r="E17" i="16"/>
  <c r="E15" i="16"/>
  <c r="E16" i="16"/>
  <c r="E14" i="16"/>
  <c r="E12" i="16"/>
  <c r="E13" i="16"/>
  <c r="E11" i="16"/>
  <c r="E9" i="16"/>
  <c r="E10" i="16"/>
  <c r="E8" i="16"/>
  <c r="E6" i="16"/>
  <c r="E7" i="16"/>
  <c r="E5" i="16"/>
  <c r="E2" i="16"/>
  <c r="E3" i="16"/>
  <c r="E4" i="16"/>
  <c r="O41" i="3"/>
  <c r="O42" i="3"/>
  <c r="O40" i="3"/>
  <c r="N41" i="3"/>
  <c r="N42" i="3"/>
  <c r="N40" i="3"/>
  <c r="M41" i="3"/>
  <c r="M42" i="3"/>
  <c r="M40" i="3"/>
  <c r="L41" i="3"/>
  <c r="L42" i="3"/>
  <c r="L40" i="3"/>
  <c r="K41" i="3"/>
  <c r="K42" i="3"/>
  <c r="K40" i="3"/>
  <c r="J41" i="3"/>
  <c r="J42" i="3"/>
  <c r="J40" i="3"/>
  <c r="I41" i="3"/>
  <c r="I42" i="3"/>
  <c r="I40" i="3"/>
  <c r="H41" i="3"/>
  <c r="H42" i="3"/>
  <c r="H40" i="3"/>
  <c r="G41" i="3"/>
  <c r="G42" i="3"/>
  <c r="G40" i="3"/>
  <c r="F41" i="3"/>
  <c r="F42" i="3"/>
  <c r="F40" i="3"/>
  <c r="E41" i="3"/>
  <c r="E42" i="3"/>
  <c r="E40" i="3"/>
  <c r="D42" i="3"/>
  <c r="D41" i="3"/>
  <c r="D40" i="3"/>
  <c r="M21" i="3"/>
  <c r="L21" i="3"/>
  <c r="K21" i="3"/>
  <c r="J21" i="3"/>
  <c r="L3" i="3"/>
  <c r="K3" i="3"/>
  <c r="J3" i="3"/>
  <c r="B118" i="15"/>
  <c r="D117" i="15"/>
  <c r="D116" i="15"/>
  <c r="D115" i="15"/>
  <c r="D114" i="15"/>
  <c r="D113" i="15"/>
  <c r="D112" i="15"/>
  <c r="D111" i="15"/>
  <c r="D110" i="15"/>
  <c r="D109" i="15"/>
  <c r="D118" i="15" s="1"/>
  <c r="Q23" i="3" s="1"/>
  <c r="B105" i="15"/>
  <c r="D104" i="15"/>
  <c r="D103" i="15"/>
  <c r="D102" i="15"/>
  <c r="D101" i="15"/>
  <c r="D100" i="15"/>
  <c r="D99" i="15"/>
  <c r="D98" i="15"/>
  <c r="D97" i="15"/>
  <c r="D96" i="15"/>
  <c r="B92" i="15"/>
  <c r="D91" i="15"/>
  <c r="D90" i="15"/>
  <c r="D89" i="15"/>
  <c r="D88" i="15"/>
  <c r="D87" i="15"/>
  <c r="D86" i="15"/>
  <c r="D85" i="15"/>
  <c r="D84" i="15"/>
  <c r="D83" i="15"/>
  <c r="B79" i="15"/>
  <c r="D78" i="15"/>
  <c r="D77" i="15"/>
  <c r="D76" i="15"/>
  <c r="D75" i="15"/>
  <c r="D74" i="15"/>
  <c r="D79" i="15" s="1"/>
  <c r="D73" i="15"/>
  <c r="D72" i="15"/>
  <c r="D71" i="15"/>
  <c r="D70" i="15"/>
  <c r="B66" i="15"/>
  <c r="D65" i="15"/>
  <c r="D64" i="15"/>
  <c r="D63" i="15"/>
  <c r="D62" i="15"/>
  <c r="D61" i="15"/>
  <c r="D60" i="15"/>
  <c r="D59" i="15"/>
  <c r="D58" i="15"/>
  <c r="D57" i="15"/>
  <c r="D66" i="15" s="1"/>
  <c r="B53" i="15"/>
  <c r="D52" i="15"/>
  <c r="D51" i="15"/>
  <c r="D50" i="15"/>
  <c r="D53" i="15" s="1"/>
  <c r="D49" i="15"/>
  <c r="D48" i="15"/>
  <c r="D47" i="15"/>
  <c r="D46" i="15"/>
  <c r="D45" i="15"/>
  <c r="D44" i="15"/>
  <c r="B40" i="15"/>
  <c r="D39" i="15"/>
  <c r="D38" i="15"/>
  <c r="D37" i="15"/>
  <c r="D36" i="15"/>
  <c r="D35" i="15"/>
  <c r="D34" i="15"/>
  <c r="D33" i="15"/>
  <c r="D32" i="15"/>
  <c r="D31" i="15"/>
  <c r="B27" i="15"/>
  <c r="D26" i="15"/>
  <c r="D25" i="15"/>
  <c r="D24" i="15"/>
  <c r="D23" i="15"/>
  <c r="D22" i="15"/>
  <c r="D21" i="15"/>
  <c r="D20" i="15"/>
  <c r="D19" i="15"/>
  <c r="D18" i="15"/>
  <c r="B14" i="15"/>
  <c r="D13" i="15"/>
  <c r="D12" i="15"/>
  <c r="D11" i="15"/>
  <c r="D10" i="15"/>
  <c r="D9" i="15"/>
  <c r="D8" i="15"/>
  <c r="D7" i="15"/>
  <c r="D6" i="15"/>
  <c r="D5" i="15"/>
  <c r="B1" i="15"/>
  <c r="B118" i="14"/>
  <c r="D117" i="14"/>
  <c r="D116" i="14"/>
  <c r="D115" i="14"/>
  <c r="D114" i="14"/>
  <c r="D113" i="14"/>
  <c r="D112" i="14"/>
  <c r="D111" i="14"/>
  <c r="D110" i="14"/>
  <c r="D109" i="14"/>
  <c r="B105" i="14"/>
  <c r="D104" i="14"/>
  <c r="D103" i="14"/>
  <c r="D102" i="14"/>
  <c r="D101" i="14"/>
  <c r="D100" i="14"/>
  <c r="D99" i="14"/>
  <c r="D98" i="14"/>
  <c r="D97" i="14"/>
  <c r="D96" i="14"/>
  <c r="B92" i="14"/>
  <c r="D91" i="14"/>
  <c r="D90" i="14"/>
  <c r="D89" i="14"/>
  <c r="D88" i="14"/>
  <c r="D87" i="14"/>
  <c r="D86" i="14"/>
  <c r="D85" i="14"/>
  <c r="D84" i="14"/>
  <c r="D83" i="14"/>
  <c r="B79" i="14"/>
  <c r="D78" i="14"/>
  <c r="D77" i="14"/>
  <c r="D76" i="14"/>
  <c r="D75" i="14"/>
  <c r="D74" i="14"/>
  <c r="D79" i="14" s="1"/>
  <c r="D73" i="14"/>
  <c r="D72" i="14"/>
  <c r="D71" i="14"/>
  <c r="D70" i="14"/>
  <c r="B66" i="14"/>
  <c r="D65" i="14"/>
  <c r="D64" i="14"/>
  <c r="D63" i="14"/>
  <c r="D62" i="14"/>
  <c r="D61" i="14"/>
  <c r="D60" i="14"/>
  <c r="D59" i="14"/>
  <c r="D58" i="14"/>
  <c r="D57" i="14"/>
  <c r="D66" i="14" s="1"/>
  <c r="B53" i="14"/>
  <c r="D52" i="14"/>
  <c r="D51" i="14"/>
  <c r="D50" i="14"/>
  <c r="D53" i="14" s="1"/>
  <c r="D49" i="14"/>
  <c r="D48" i="14"/>
  <c r="D47" i="14"/>
  <c r="D46" i="14"/>
  <c r="D45" i="14"/>
  <c r="D44" i="14"/>
  <c r="B40" i="14"/>
  <c r="D39" i="14"/>
  <c r="D38" i="14"/>
  <c r="D37" i="14"/>
  <c r="D36" i="14"/>
  <c r="D35" i="14"/>
  <c r="D34" i="14"/>
  <c r="D33" i="14"/>
  <c r="D32" i="14"/>
  <c r="D31" i="14"/>
  <c r="B27" i="14"/>
  <c r="D26" i="14"/>
  <c r="D25" i="14"/>
  <c r="D24" i="14"/>
  <c r="D23" i="14"/>
  <c r="D22" i="14"/>
  <c r="D21" i="14"/>
  <c r="D20" i="14"/>
  <c r="D19" i="14"/>
  <c r="D18" i="14"/>
  <c r="B14" i="14"/>
  <c r="D13" i="14"/>
  <c r="D12" i="14"/>
  <c r="D11" i="14"/>
  <c r="D10" i="14"/>
  <c r="D9" i="14"/>
  <c r="D8" i="14"/>
  <c r="D7" i="14"/>
  <c r="D6" i="14"/>
  <c r="D5" i="14"/>
  <c r="D14" i="14" s="1"/>
  <c r="P3" i="3" s="1"/>
  <c r="B1" i="14"/>
  <c r="B118" i="13"/>
  <c r="D117" i="13"/>
  <c r="D116" i="13"/>
  <c r="D115" i="13"/>
  <c r="D114" i="13"/>
  <c r="D113" i="13"/>
  <c r="D112" i="13"/>
  <c r="D111" i="13"/>
  <c r="D110" i="13"/>
  <c r="D109" i="13"/>
  <c r="D118" i="13" s="1"/>
  <c r="O23" i="3" s="1"/>
  <c r="B105" i="13"/>
  <c r="D104" i="13"/>
  <c r="D103" i="13"/>
  <c r="D102" i="13"/>
  <c r="D101" i="13"/>
  <c r="D100" i="13"/>
  <c r="D99" i="13"/>
  <c r="D98" i="13"/>
  <c r="D97" i="13"/>
  <c r="D96" i="13"/>
  <c r="B92" i="13"/>
  <c r="D91" i="13"/>
  <c r="D90" i="13"/>
  <c r="D89" i="13"/>
  <c r="D88" i="13"/>
  <c r="D87" i="13"/>
  <c r="D86" i="13"/>
  <c r="D85" i="13"/>
  <c r="D84" i="13"/>
  <c r="D83" i="13"/>
  <c r="D92" i="13" s="1"/>
  <c r="O21" i="3" s="1"/>
  <c r="B79" i="13"/>
  <c r="D78" i="13"/>
  <c r="D77" i="13"/>
  <c r="D76" i="13"/>
  <c r="D75" i="13"/>
  <c r="D74" i="13"/>
  <c r="D73" i="13"/>
  <c r="D79" i="13" s="1"/>
  <c r="D72" i="13"/>
  <c r="D71" i="13"/>
  <c r="D70" i="13"/>
  <c r="B66" i="13"/>
  <c r="D65" i="13"/>
  <c r="D64" i="13"/>
  <c r="D63" i="13"/>
  <c r="D62" i="13"/>
  <c r="D61" i="13"/>
  <c r="D60" i="13"/>
  <c r="D59" i="13"/>
  <c r="D58" i="13"/>
  <c r="D57" i="13"/>
  <c r="D66" i="13" s="1"/>
  <c r="B53" i="13"/>
  <c r="D52" i="13"/>
  <c r="D51" i="13"/>
  <c r="D50" i="13"/>
  <c r="D49" i="13"/>
  <c r="D53" i="13" s="1"/>
  <c r="D48" i="13"/>
  <c r="D47" i="13"/>
  <c r="D46" i="13"/>
  <c r="D45" i="13"/>
  <c r="D44" i="13"/>
  <c r="B40" i="13"/>
  <c r="D39" i="13"/>
  <c r="D38" i="13"/>
  <c r="D37" i="13"/>
  <c r="D36" i="13"/>
  <c r="D35" i="13"/>
  <c r="D34" i="13"/>
  <c r="D33" i="13"/>
  <c r="D32" i="13"/>
  <c r="D31" i="13"/>
  <c r="B27" i="13"/>
  <c r="D26" i="13"/>
  <c r="D25" i="13"/>
  <c r="D24" i="13"/>
  <c r="D23" i="13"/>
  <c r="D22" i="13"/>
  <c r="D21" i="13"/>
  <c r="D20" i="13"/>
  <c r="D19" i="13"/>
  <c r="D18" i="13"/>
  <c r="B14" i="13"/>
  <c r="D13" i="13"/>
  <c r="D12" i="13"/>
  <c r="D11" i="13"/>
  <c r="D10" i="13"/>
  <c r="D9" i="13"/>
  <c r="D8" i="13"/>
  <c r="D7" i="13"/>
  <c r="D6" i="13"/>
  <c r="D5" i="13"/>
  <c r="B1" i="13"/>
  <c r="B118" i="12"/>
  <c r="D117" i="12"/>
  <c r="D116" i="12"/>
  <c r="D115" i="12"/>
  <c r="D114" i="12"/>
  <c r="D113" i="12"/>
  <c r="D112" i="12"/>
  <c r="D111" i="12"/>
  <c r="D110" i="12"/>
  <c r="D109" i="12"/>
  <c r="B105" i="12"/>
  <c r="D104" i="12"/>
  <c r="D103" i="12"/>
  <c r="D102" i="12"/>
  <c r="D101" i="12"/>
  <c r="D100" i="12"/>
  <c r="D99" i="12"/>
  <c r="D98" i="12"/>
  <c r="D97" i="12"/>
  <c r="D96" i="12"/>
  <c r="B92" i="12"/>
  <c r="D91" i="12"/>
  <c r="D90" i="12"/>
  <c r="D89" i="12"/>
  <c r="D88" i="12"/>
  <c r="D87" i="12"/>
  <c r="D86" i="12"/>
  <c r="D85" i="12"/>
  <c r="D84" i="12"/>
  <c r="D83" i="12"/>
  <c r="B79" i="12"/>
  <c r="D78" i="12"/>
  <c r="D77" i="12"/>
  <c r="D76" i="12"/>
  <c r="D75" i="12"/>
  <c r="D74" i="12"/>
  <c r="D73" i="12"/>
  <c r="D72" i="12"/>
  <c r="D71" i="12"/>
  <c r="D70" i="12"/>
  <c r="D79" i="12" s="1"/>
  <c r="B66" i="12"/>
  <c r="D65" i="12"/>
  <c r="D64" i="12"/>
  <c r="D63" i="12"/>
  <c r="D62" i="12"/>
  <c r="D61" i="12"/>
  <c r="D60" i="12"/>
  <c r="D59" i="12"/>
  <c r="D58" i="12"/>
  <c r="D57" i="12"/>
  <c r="B53" i="12"/>
  <c r="D52" i="12"/>
  <c r="D51" i="12"/>
  <c r="D50" i="12"/>
  <c r="D49" i="12"/>
  <c r="D48" i="12"/>
  <c r="D47" i="12"/>
  <c r="D46" i="12"/>
  <c r="D45" i="12"/>
  <c r="D44" i="12"/>
  <c r="B40" i="12"/>
  <c r="D39" i="12"/>
  <c r="D38" i="12"/>
  <c r="D37" i="12"/>
  <c r="D36" i="12"/>
  <c r="D35" i="12"/>
  <c r="D34" i="12"/>
  <c r="D33" i="12"/>
  <c r="D32" i="12"/>
  <c r="D31" i="12"/>
  <c r="B27" i="12"/>
  <c r="D26" i="12"/>
  <c r="D25" i="12"/>
  <c r="D24" i="12"/>
  <c r="D23" i="12"/>
  <c r="D22" i="12"/>
  <c r="D21" i="12"/>
  <c r="D20" i="12"/>
  <c r="D19" i="12"/>
  <c r="D18" i="12"/>
  <c r="B14" i="12"/>
  <c r="D13" i="12"/>
  <c r="D12" i="12"/>
  <c r="D11" i="12"/>
  <c r="D10" i="12"/>
  <c r="D9" i="12"/>
  <c r="D8" i="12"/>
  <c r="D7" i="12"/>
  <c r="D6" i="12"/>
  <c r="D5" i="12"/>
  <c r="B1" i="12"/>
  <c r="E3" i="3"/>
  <c r="B118" i="11"/>
  <c r="D117" i="11"/>
  <c r="D116" i="11"/>
  <c r="D115" i="11"/>
  <c r="D114" i="11"/>
  <c r="D113" i="11"/>
  <c r="D112" i="11"/>
  <c r="D111" i="11"/>
  <c r="D110" i="11"/>
  <c r="D109" i="11"/>
  <c r="B105" i="11"/>
  <c r="D104" i="11"/>
  <c r="D103" i="11"/>
  <c r="D102" i="11"/>
  <c r="D101" i="11"/>
  <c r="D100" i="11"/>
  <c r="D99" i="11"/>
  <c r="D98" i="11"/>
  <c r="D97" i="11"/>
  <c r="D96" i="11"/>
  <c r="B92" i="11"/>
  <c r="D91" i="11"/>
  <c r="D90" i="11"/>
  <c r="D89" i="11"/>
  <c r="D88" i="11"/>
  <c r="D87" i="11"/>
  <c r="D86" i="11"/>
  <c r="D85" i="11"/>
  <c r="D84" i="11"/>
  <c r="D83" i="11"/>
  <c r="B79" i="11"/>
  <c r="D78" i="11"/>
  <c r="D77" i="11"/>
  <c r="D76" i="11"/>
  <c r="D75" i="11"/>
  <c r="D74" i="11"/>
  <c r="D73" i="11"/>
  <c r="D72" i="11"/>
  <c r="D71" i="11"/>
  <c r="D70" i="11"/>
  <c r="B66" i="11"/>
  <c r="D65" i="11"/>
  <c r="D64" i="11"/>
  <c r="D63" i="11"/>
  <c r="D62" i="11"/>
  <c r="D61" i="11"/>
  <c r="D60" i="11"/>
  <c r="D59" i="11"/>
  <c r="D58" i="11"/>
  <c r="D57" i="11"/>
  <c r="B53" i="11"/>
  <c r="D52" i="11"/>
  <c r="D51" i="11"/>
  <c r="D50" i="11"/>
  <c r="D49" i="11"/>
  <c r="D48" i="11"/>
  <c r="D47" i="11"/>
  <c r="D46" i="11"/>
  <c r="D45" i="11"/>
  <c r="D44" i="11"/>
  <c r="B40" i="11"/>
  <c r="D39" i="11"/>
  <c r="D38" i="11"/>
  <c r="D37" i="11"/>
  <c r="D36" i="11"/>
  <c r="D35" i="11"/>
  <c r="D34" i="11"/>
  <c r="D33" i="11"/>
  <c r="D32" i="11"/>
  <c r="D31" i="11"/>
  <c r="B27" i="11"/>
  <c r="D26" i="11"/>
  <c r="D25" i="11"/>
  <c r="D24" i="11"/>
  <c r="D23" i="11"/>
  <c r="D22" i="11"/>
  <c r="D21" i="11"/>
  <c r="D20" i="11"/>
  <c r="D19" i="11"/>
  <c r="D18" i="11"/>
  <c r="B14" i="11"/>
  <c r="D13" i="11"/>
  <c r="D12" i="11"/>
  <c r="D11" i="11"/>
  <c r="D10" i="11"/>
  <c r="D9" i="11"/>
  <c r="D8" i="11"/>
  <c r="D7" i="11"/>
  <c r="D6" i="11"/>
  <c r="D5" i="11"/>
  <c r="B1" i="11"/>
  <c r="B118" i="10"/>
  <c r="D117" i="10"/>
  <c r="D116" i="10"/>
  <c r="D115" i="10"/>
  <c r="D114" i="10"/>
  <c r="D113" i="10"/>
  <c r="D112" i="10"/>
  <c r="D111" i="10"/>
  <c r="D110" i="10"/>
  <c r="D109" i="10"/>
  <c r="B105" i="10"/>
  <c r="D104" i="10"/>
  <c r="D103" i="10"/>
  <c r="D102" i="10"/>
  <c r="D101" i="10"/>
  <c r="D100" i="10"/>
  <c r="D99" i="10"/>
  <c r="D98" i="10"/>
  <c r="D97" i="10"/>
  <c r="D96" i="10"/>
  <c r="B92" i="10"/>
  <c r="D91" i="10"/>
  <c r="D90" i="10"/>
  <c r="D89" i="10"/>
  <c r="D88" i="10"/>
  <c r="D87" i="10"/>
  <c r="D86" i="10"/>
  <c r="D85" i="10"/>
  <c r="D84" i="10"/>
  <c r="D83" i="10"/>
  <c r="B79" i="10"/>
  <c r="D78" i="10"/>
  <c r="D77" i="10"/>
  <c r="D76" i="10"/>
  <c r="D75" i="10"/>
  <c r="D74" i="10"/>
  <c r="D73" i="10"/>
  <c r="D72" i="10"/>
  <c r="D71" i="10"/>
  <c r="D70" i="10"/>
  <c r="B66" i="10"/>
  <c r="D65" i="10"/>
  <c r="D64" i="10"/>
  <c r="D63" i="10"/>
  <c r="D62" i="10"/>
  <c r="D61" i="10"/>
  <c r="D60" i="10"/>
  <c r="D59" i="10"/>
  <c r="D58" i="10"/>
  <c r="D57" i="10"/>
  <c r="B53" i="10"/>
  <c r="D52" i="10"/>
  <c r="D51" i="10"/>
  <c r="D50" i="10"/>
  <c r="D49" i="10"/>
  <c r="D48" i="10"/>
  <c r="D47" i="10"/>
  <c r="D46" i="10"/>
  <c r="D45" i="10"/>
  <c r="D44" i="10"/>
  <c r="D53" i="10" s="1"/>
  <c r="L12" i="3" s="1"/>
  <c r="B40" i="10"/>
  <c r="D39" i="10"/>
  <c r="D38" i="10"/>
  <c r="D37" i="10"/>
  <c r="D36" i="10"/>
  <c r="D35" i="10"/>
  <c r="D34" i="10"/>
  <c r="D33" i="10"/>
  <c r="D32" i="10"/>
  <c r="D31" i="10"/>
  <c r="B27" i="10"/>
  <c r="D26" i="10"/>
  <c r="D25" i="10"/>
  <c r="D24" i="10"/>
  <c r="D23" i="10"/>
  <c r="D22" i="10"/>
  <c r="D21" i="10"/>
  <c r="D20" i="10"/>
  <c r="D19" i="10"/>
  <c r="D18" i="10"/>
  <c r="B14" i="10"/>
  <c r="D13" i="10"/>
  <c r="D12" i="10"/>
  <c r="D11" i="10"/>
  <c r="D10" i="10"/>
  <c r="D9" i="10"/>
  <c r="D8" i="10"/>
  <c r="D7" i="10"/>
  <c r="D6" i="10"/>
  <c r="D5" i="10"/>
  <c r="B1" i="10"/>
  <c r="B118" i="9"/>
  <c r="D117" i="9"/>
  <c r="D116" i="9"/>
  <c r="D115" i="9"/>
  <c r="D114" i="9"/>
  <c r="D113" i="9"/>
  <c r="D112" i="9"/>
  <c r="D111" i="9"/>
  <c r="D110" i="9"/>
  <c r="D109" i="9"/>
  <c r="B105" i="9"/>
  <c r="D104" i="9"/>
  <c r="D103" i="9"/>
  <c r="D102" i="9"/>
  <c r="D101" i="9"/>
  <c r="D100" i="9"/>
  <c r="D99" i="9"/>
  <c r="D98" i="9"/>
  <c r="D97" i="9"/>
  <c r="D96" i="9"/>
  <c r="B92" i="9"/>
  <c r="D91" i="9"/>
  <c r="D90" i="9"/>
  <c r="D89" i="9"/>
  <c r="D88" i="9"/>
  <c r="D87" i="9"/>
  <c r="D86" i="9"/>
  <c r="D85" i="9"/>
  <c r="D84" i="9"/>
  <c r="D83" i="9"/>
  <c r="D92" i="9" s="1"/>
  <c r="B79" i="9"/>
  <c r="D78" i="9"/>
  <c r="D77" i="9"/>
  <c r="D76" i="9"/>
  <c r="D75" i="9"/>
  <c r="D74" i="9"/>
  <c r="D73" i="9"/>
  <c r="D72" i="9"/>
  <c r="D71" i="9"/>
  <c r="D70" i="9"/>
  <c r="B66" i="9"/>
  <c r="D65" i="9"/>
  <c r="D64" i="9"/>
  <c r="D63" i="9"/>
  <c r="D62" i="9"/>
  <c r="D61" i="9"/>
  <c r="D60" i="9"/>
  <c r="D59" i="9"/>
  <c r="D58" i="9"/>
  <c r="D57" i="9"/>
  <c r="B53" i="9"/>
  <c r="D52" i="9"/>
  <c r="D51" i="9"/>
  <c r="D50" i="9"/>
  <c r="D49" i="9"/>
  <c r="D48" i="9"/>
  <c r="D47" i="9"/>
  <c r="D46" i="9"/>
  <c r="D45" i="9"/>
  <c r="D44" i="9"/>
  <c r="B40" i="9"/>
  <c r="D39" i="9"/>
  <c r="D38" i="9"/>
  <c r="D37" i="9"/>
  <c r="D36" i="9"/>
  <c r="D35" i="9"/>
  <c r="D34" i="9"/>
  <c r="D33" i="9"/>
  <c r="D32" i="9"/>
  <c r="D31" i="9"/>
  <c r="B27" i="9"/>
  <c r="D26" i="9"/>
  <c r="D25" i="9"/>
  <c r="D24" i="9"/>
  <c r="D23" i="9"/>
  <c r="D22" i="9"/>
  <c r="D21" i="9"/>
  <c r="D20" i="9"/>
  <c r="D19" i="9"/>
  <c r="D18" i="9"/>
  <c r="B14" i="9"/>
  <c r="D13" i="9"/>
  <c r="D12" i="9"/>
  <c r="D11" i="9"/>
  <c r="D10" i="9"/>
  <c r="D9" i="9"/>
  <c r="D8" i="9"/>
  <c r="D7" i="9"/>
  <c r="D6" i="9"/>
  <c r="D5" i="9"/>
  <c r="B1" i="9"/>
  <c r="B118" i="8"/>
  <c r="D117" i="8"/>
  <c r="D116" i="8"/>
  <c r="D115" i="8"/>
  <c r="D114" i="8"/>
  <c r="D113" i="8"/>
  <c r="D112" i="8"/>
  <c r="D111" i="8"/>
  <c r="D110" i="8"/>
  <c r="D109" i="8"/>
  <c r="B105" i="8"/>
  <c r="D104" i="8"/>
  <c r="D103" i="8"/>
  <c r="D102" i="8"/>
  <c r="D101" i="8"/>
  <c r="D100" i="8"/>
  <c r="D99" i="8"/>
  <c r="D98" i="8"/>
  <c r="D97" i="8"/>
  <c r="D96" i="8"/>
  <c r="D105" i="8" s="1"/>
  <c r="J22" i="3" s="1"/>
  <c r="B92" i="8"/>
  <c r="D91" i="8"/>
  <c r="D90" i="8"/>
  <c r="D89" i="8"/>
  <c r="D88" i="8"/>
  <c r="D87" i="8"/>
  <c r="D86" i="8"/>
  <c r="D85" i="8"/>
  <c r="D84" i="8"/>
  <c r="D83" i="8"/>
  <c r="B79" i="8"/>
  <c r="D78" i="8"/>
  <c r="D77" i="8"/>
  <c r="D76" i="8"/>
  <c r="D75" i="8"/>
  <c r="D74" i="8"/>
  <c r="D73" i="8"/>
  <c r="D72" i="8"/>
  <c r="D71" i="8"/>
  <c r="D70" i="8"/>
  <c r="D79" i="8" s="1"/>
  <c r="J14" i="3" s="1"/>
  <c r="B66" i="8"/>
  <c r="D65" i="8"/>
  <c r="D64" i="8"/>
  <c r="D63" i="8"/>
  <c r="D62" i="8"/>
  <c r="D61" i="8"/>
  <c r="D60" i="8"/>
  <c r="D59" i="8"/>
  <c r="D58" i="8"/>
  <c r="D57" i="8"/>
  <c r="B53" i="8"/>
  <c r="D52" i="8"/>
  <c r="D51" i="8"/>
  <c r="D50" i="8"/>
  <c r="D49" i="8"/>
  <c r="D48" i="8"/>
  <c r="D47" i="8"/>
  <c r="D46" i="8"/>
  <c r="D45" i="8"/>
  <c r="D44" i="8"/>
  <c r="B40" i="8"/>
  <c r="D39" i="8"/>
  <c r="D38" i="8"/>
  <c r="D37" i="8"/>
  <c r="D36" i="8"/>
  <c r="D35" i="8"/>
  <c r="D34" i="8"/>
  <c r="D33" i="8"/>
  <c r="D32" i="8"/>
  <c r="D31" i="8"/>
  <c r="B27" i="8"/>
  <c r="D26" i="8"/>
  <c r="D25" i="8"/>
  <c r="D24" i="8"/>
  <c r="D23" i="8"/>
  <c r="D22" i="8"/>
  <c r="D21" i="8"/>
  <c r="D20" i="8"/>
  <c r="D19" i="8"/>
  <c r="D18" i="8"/>
  <c r="B14" i="8"/>
  <c r="D13" i="8"/>
  <c r="D12" i="8"/>
  <c r="D11" i="8"/>
  <c r="D10" i="8"/>
  <c r="D9" i="8"/>
  <c r="D8" i="8"/>
  <c r="D7" i="8"/>
  <c r="D6" i="8"/>
  <c r="D5" i="8"/>
  <c r="B1" i="8"/>
  <c r="B118" i="7"/>
  <c r="D117" i="7"/>
  <c r="D116" i="7"/>
  <c r="D115" i="7"/>
  <c r="D114" i="7"/>
  <c r="D113" i="7"/>
  <c r="D112" i="7"/>
  <c r="D111" i="7"/>
  <c r="D110" i="7"/>
  <c r="D109" i="7"/>
  <c r="B105" i="7"/>
  <c r="D104" i="7"/>
  <c r="D103" i="7"/>
  <c r="D102" i="7"/>
  <c r="D101" i="7"/>
  <c r="D100" i="7"/>
  <c r="D99" i="7"/>
  <c r="D98" i="7"/>
  <c r="D97" i="7"/>
  <c r="D96" i="7"/>
  <c r="B92" i="7"/>
  <c r="D91" i="7"/>
  <c r="D90" i="7"/>
  <c r="D89" i="7"/>
  <c r="D88" i="7"/>
  <c r="D87" i="7"/>
  <c r="D86" i="7"/>
  <c r="D85" i="7"/>
  <c r="D84" i="7"/>
  <c r="D83" i="7"/>
  <c r="B79" i="7"/>
  <c r="D78" i="7"/>
  <c r="D77" i="7"/>
  <c r="D76" i="7"/>
  <c r="D75" i="7"/>
  <c r="D74" i="7"/>
  <c r="D73" i="7"/>
  <c r="D72" i="7"/>
  <c r="D71" i="7"/>
  <c r="D70" i="7"/>
  <c r="B66" i="7"/>
  <c r="D65" i="7"/>
  <c r="D64" i="7"/>
  <c r="D63" i="7"/>
  <c r="D62" i="7"/>
  <c r="D61" i="7"/>
  <c r="D60" i="7"/>
  <c r="D59" i="7"/>
  <c r="D58" i="7"/>
  <c r="D57" i="7"/>
  <c r="B53" i="7"/>
  <c r="D52" i="7"/>
  <c r="D51" i="7"/>
  <c r="D50" i="7"/>
  <c r="D49" i="7"/>
  <c r="D48" i="7"/>
  <c r="D47" i="7"/>
  <c r="D46" i="7"/>
  <c r="D45" i="7"/>
  <c r="D44" i="7"/>
  <c r="B40" i="7"/>
  <c r="D39" i="7"/>
  <c r="D38" i="7"/>
  <c r="D37" i="7"/>
  <c r="D36" i="7"/>
  <c r="D35" i="7"/>
  <c r="D34" i="7"/>
  <c r="D33" i="7"/>
  <c r="D32" i="7"/>
  <c r="D31" i="7"/>
  <c r="B27" i="7"/>
  <c r="D26" i="7"/>
  <c r="D25" i="7"/>
  <c r="D24" i="7"/>
  <c r="D23" i="7"/>
  <c r="D22" i="7"/>
  <c r="D21" i="7"/>
  <c r="D20" i="7"/>
  <c r="D19" i="7"/>
  <c r="D18" i="7"/>
  <c r="D27" i="7" s="1"/>
  <c r="I4" i="3" s="1"/>
  <c r="B14" i="7"/>
  <c r="D13" i="7"/>
  <c r="D12" i="7"/>
  <c r="D11" i="7"/>
  <c r="D10" i="7"/>
  <c r="D9" i="7"/>
  <c r="D8" i="7"/>
  <c r="D7" i="7"/>
  <c r="D6" i="7"/>
  <c r="D5" i="7"/>
  <c r="B1" i="7"/>
  <c r="B118" i="6"/>
  <c r="D117" i="6"/>
  <c r="D116" i="6"/>
  <c r="D115" i="6"/>
  <c r="D114" i="6"/>
  <c r="D113" i="6"/>
  <c r="D112" i="6"/>
  <c r="D111" i="6"/>
  <c r="D110" i="6"/>
  <c r="D109" i="6"/>
  <c r="B105" i="6"/>
  <c r="D104" i="6"/>
  <c r="D103" i="6"/>
  <c r="D102" i="6"/>
  <c r="D101" i="6"/>
  <c r="D100" i="6"/>
  <c r="D99" i="6"/>
  <c r="D98" i="6"/>
  <c r="D97" i="6"/>
  <c r="D96" i="6"/>
  <c r="B92" i="6"/>
  <c r="D91" i="6"/>
  <c r="D90" i="6"/>
  <c r="D89" i="6"/>
  <c r="D88" i="6"/>
  <c r="D87" i="6"/>
  <c r="D86" i="6"/>
  <c r="D85" i="6"/>
  <c r="D84" i="6"/>
  <c r="D83" i="6"/>
  <c r="B79" i="6"/>
  <c r="D78" i="6"/>
  <c r="D77" i="6"/>
  <c r="D76" i="6"/>
  <c r="D75" i="6"/>
  <c r="D74" i="6"/>
  <c r="D73" i="6"/>
  <c r="D72" i="6"/>
  <c r="D71" i="6"/>
  <c r="D70" i="6"/>
  <c r="B66" i="6"/>
  <c r="D65" i="6"/>
  <c r="D64" i="6"/>
  <c r="D63" i="6"/>
  <c r="D62" i="6"/>
  <c r="D61" i="6"/>
  <c r="D60" i="6"/>
  <c r="D59" i="6"/>
  <c r="D58" i="6"/>
  <c r="D57" i="6"/>
  <c r="D66" i="6" s="1"/>
  <c r="H13" i="3" s="1"/>
  <c r="B53" i="6"/>
  <c r="D52" i="6"/>
  <c r="D51" i="6"/>
  <c r="D50" i="6"/>
  <c r="D49" i="6"/>
  <c r="D48" i="6"/>
  <c r="D47" i="6"/>
  <c r="D46" i="6"/>
  <c r="D45" i="6"/>
  <c r="D44" i="6"/>
  <c r="B40" i="6"/>
  <c r="D39" i="6"/>
  <c r="D38" i="6"/>
  <c r="D37" i="6"/>
  <c r="D36" i="6"/>
  <c r="D35" i="6"/>
  <c r="D34" i="6"/>
  <c r="D33" i="6"/>
  <c r="D32" i="6"/>
  <c r="D31" i="6"/>
  <c r="D40" i="6" s="1"/>
  <c r="H5" i="3" s="1"/>
  <c r="B27" i="6"/>
  <c r="D26" i="6"/>
  <c r="D25" i="6"/>
  <c r="D24" i="6"/>
  <c r="D23" i="6"/>
  <c r="D22" i="6"/>
  <c r="D21" i="6"/>
  <c r="D20" i="6"/>
  <c r="D19" i="6"/>
  <c r="D18" i="6"/>
  <c r="B14" i="6"/>
  <c r="D13" i="6"/>
  <c r="D12" i="6"/>
  <c r="D11" i="6"/>
  <c r="D10" i="6"/>
  <c r="D9" i="6"/>
  <c r="D8" i="6"/>
  <c r="D7" i="6"/>
  <c r="D6" i="6"/>
  <c r="D5" i="6"/>
  <c r="B1" i="6"/>
  <c r="D40" i="15" l="1"/>
  <c r="Q5" i="3" s="1"/>
  <c r="D105" i="15"/>
  <c r="Q22" i="3" s="1"/>
  <c r="D92" i="15"/>
  <c r="Q21" i="3" s="1"/>
  <c r="D27" i="15"/>
  <c r="Q4" i="3" s="1"/>
  <c r="D14" i="15"/>
  <c r="Q3" i="3" s="1"/>
  <c r="D118" i="14"/>
  <c r="P23" i="3" s="1"/>
  <c r="D40" i="14"/>
  <c r="P5" i="3" s="1"/>
  <c r="D105" i="14"/>
  <c r="P22" i="3" s="1"/>
  <c r="D27" i="14"/>
  <c r="P4" i="3" s="1"/>
  <c r="D92" i="14"/>
  <c r="P21" i="3" s="1"/>
  <c r="D40" i="13"/>
  <c r="O5" i="3" s="1"/>
  <c r="D105" i="13"/>
  <c r="O22" i="3" s="1"/>
  <c r="D27" i="13"/>
  <c r="O4" i="3" s="1"/>
  <c r="D14" i="13"/>
  <c r="O3" i="3" s="1"/>
  <c r="D27" i="12"/>
  <c r="N4" i="3" s="1"/>
  <c r="D118" i="12"/>
  <c r="N23" i="3" s="1"/>
  <c r="D105" i="12"/>
  <c r="N22" i="3" s="1"/>
  <c r="D92" i="12"/>
  <c r="N21" i="3" s="1"/>
  <c r="D66" i="12"/>
  <c r="D53" i="12"/>
  <c r="D40" i="12"/>
  <c r="N5" i="3" s="1"/>
  <c r="D14" i="12"/>
  <c r="N3" i="3" s="1"/>
  <c r="D118" i="11"/>
  <c r="M23" i="3" s="1"/>
  <c r="D27" i="11"/>
  <c r="M4" i="3" s="1"/>
  <c r="D53" i="11"/>
  <c r="M12" i="3" s="1"/>
  <c r="D14" i="11"/>
  <c r="M3" i="3" s="1"/>
  <c r="D40" i="10"/>
  <c r="L5" i="3" s="1"/>
  <c r="D27" i="10"/>
  <c r="L4" i="3" s="1"/>
  <c r="D14" i="10"/>
  <c r="D40" i="9"/>
  <c r="K5" i="3" s="1"/>
  <c r="D14" i="9"/>
  <c r="D40" i="8"/>
  <c r="J5" i="3" s="1"/>
  <c r="D14" i="8"/>
  <c r="D66" i="7"/>
  <c r="I13" i="3" s="1"/>
  <c r="D14" i="7"/>
  <c r="I3" i="3" s="1"/>
  <c r="D14" i="6"/>
  <c r="H3" i="3" s="1"/>
  <c r="D118" i="9"/>
  <c r="K23" i="3" s="1"/>
  <c r="D105" i="9"/>
  <c r="K22" i="3" s="1"/>
  <c r="D79" i="9"/>
  <c r="K14" i="3" s="1"/>
  <c r="D66" i="9"/>
  <c r="K13" i="3" s="1"/>
  <c r="D53" i="9"/>
  <c r="K12" i="3" s="1"/>
  <c r="D27" i="9"/>
  <c r="K4" i="3" s="1"/>
  <c r="D118" i="8"/>
  <c r="J23" i="3" s="1"/>
  <c r="D92" i="8"/>
  <c r="D66" i="8"/>
  <c r="J13" i="3" s="1"/>
  <c r="D53" i="8"/>
  <c r="J12" i="3" s="1"/>
  <c r="D27" i="8"/>
  <c r="J4" i="3" s="1"/>
  <c r="D118" i="7"/>
  <c r="I23" i="3" s="1"/>
  <c r="D105" i="7"/>
  <c r="I22" i="3" s="1"/>
  <c r="D92" i="7"/>
  <c r="I21" i="3" s="1"/>
  <c r="D79" i="7"/>
  <c r="I14" i="3" s="1"/>
  <c r="D53" i="7"/>
  <c r="I12" i="3" s="1"/>
  <c r="D40" i="7"/>
  <c r="I5" i="3" s="1"/>
  <c r="D118" i="10"/>
  <c r="L23" i="3" s="1"/>
  <c r="D105" i="10"/>
  <c r="L22" i="3" s="1"/>
  <c r="D92" i="10"/>
  <c r="D79" i="10"/>
  <c r="L14" i="3" s="1"/>
  <c r="D66" i="10"/>
  <c r="L13" i="3" s="1"/>
  <c r="D105" i="11"/>
  <c r="M22" i="3" s="1"/>
  <c r="D92" i="11"/>
  <c r="D79" i="11"/>
  <c r="M14" i="3" s="1"/>
  <c r="D66" i="11"/>
  <c r="M13" i="3" s="1"/>
  <c r="D40" i="11"/>
  <c r="M5" i="3" s="1"/>
  <c r="D118" i="6"/>
  <c r="H23" i="3" s="1"/>
  <c r="D105" i="6"/>
  <c r="H22" i="3" s="1"/>
  <c r="D92" i="6"/>
  <c r="H21" i="3" s="1"/>
  <c r="D79" i="6"/>
  <c r="H14" i="3" s="1"/>
  <c r="H12" i="3"/>
  <c r="D53" i="6"/>
  <c r="D27" i="6"/>
  <c r="H4" i="3" s="1"/>
  <c r="B118" i="5" l="1"/>
  <c r="B105" i="5"/>
  <c r="B92" i="5"/>
  <c r="B79" i="5"/>
  <c r="B66" i="5"/>
  <c r="B53" i="5"/>
  <c r="B40" i="5"/>
  <c r="B27" i="5"/>
  <c r="B14" i="5"/>
  <c r="B1" i="5"/>
  <c r="B118" i="2"/>
  <c r="B105" i="2"/>
  <c r="B92" i="2"/>
  <c r="B79" i="2"/>
  <c r="B66" i="2"/>
  <c r="B53" i="2"/>
  <c r="B40" i="2"/>
  <c r="B27" i="2"/>
  <c r="B14" i="2"/>
  <c r="B1" i="2"/>
  <c r="B118" i="4"/>
  <c r="B105" i="4"/>
  <c r="B92" i="4"/>
  <c r="B79" i="4"/>
  <c r="B66" i="4"/>
  <c r="B53" i="4"/>
  <c r="B40" i="4"/>
  <c r="B27" i="4"/>
  <c r="B14" i="4"/>
  <c r="B1" i="4"/>
  <c r="B118" i="1"/>
  <c r="B105" i="1"/>
  <c r="B92" i="1"/>
  <c r="B79" i="1"/>
  <c r="B66" i="1"/>
  <c r="B53" i="1"/>
  <c r="B40" i="1"/>
  <c r="B27" i="1"/>
  <c r="B1" i="1"/>
  <c r="D117" i="5" l="1"/>
  <c r="D116" i="5"/>
  <c r="D115" i="5"/>
  <c r="D114" i="5"/>
  <c r="D113" i="5"/>
  <c r="D112" i="5"/>
  <c r="D111" i="5"/>
  <c r="D110" i="5"/>
  <c r="D109" i="5"/>
  <c r="D104" i="5"/>
  <c r="D103" i="5"/>
  <c r="D102" i="5"/>
  <c r="D101" i="5"/>
  <c r="D100" i="5"/>
  <c r="D99" i="5"/>
  <c r="D98" i="5"/>
  <c r="D97" i="5"/>
  <c r="D96" i="5"/>
  <c r="D91" i="5"/>
  <c r="D90" i="5"/>
  <c r="D89" i="5"/>
  <c r="D88" i="5"/>
  <c r="D87" i="5"/>
  <c r="D86" i="5"/>
  <c r="D85" i="5"/>
  <c r="D84" i="5"/>
  <c r="D83" i="5"/>
  <c r="D78" i="5"/>
  <c r="D77" i="5"/>
  <c r="D76" i="5"/>
  <c r="D75" i="5"/>
  <c r="D74" i="5"/>
  <c r="D73" i="5"/>
  <c r="D72" i="5"/>
  <c r="D71" i="5"/>
  <c r="D70" i="5"/>
  <c r="D65" i="5"/>
  <c r="D64" i="5"/>
  <c r="D63" i="5"/>
  <c r="D62" i="5"/>
  <c r="D61" i="5"/>
  <c r="D60" i="5"/>
  <c r="D59" i="5"/>
  <c r="D58" i="5"/>
  <c r="D57" i="5"/>
  <c r="D52" i="5"/>
  <c r="D51" i="5"/>
  <c r="D50" i="5"/>
  <c r="D49" i="5"/>
  <c r="D48" i="5"/>
  <c r="D47" i="5"/>
  <c r="D46" i="5"/>
  <c r="D45" i="5"/>
  <c r="D44" i="5"/>
  <c r="D39" i="5"/>
  <c r="D38" i="5"/>
  <c r="D37" i="5"/>
  <c r="D36" i="5"/>
  <c r="D35" i="5"/>
  <c r="D34" i="5"/>
  <c r="D33" i="5"/>
  <c r="D32" i="5"/>
  <c r="D31" i="5"/>
  <c r="D26" i="5"/>
  <c r="D25" i="5"/>
  <c r="D24" i="5"/>
  <c r="D23" i="5"/>
  <c r="D22" i="5"/>
  <c r="D21" i="5"/>
  <c r="D20" i="5"/>
  <c r="D19" i="5"/>
  <c r="D18" i="5"/>
  <c r="D13" i="5"/>
  <c r="D12" i="5"/>
  <c r="D11" i="5"/>
  <c r="D10" i="5"/>
  <c r="D9" i="5"/>
  <c r="D8" i="5"/>
  <c r="D7" i="5"/>
  <c r="D6" i="5"/>
  <c r="D5" i="5"/>
  <c r="D117" i="4"/>
  <c r="D116" i="4"/>
  <c r="D115" i="4"/>
  <c r="D114" i="4"/>
  <c r="D113" i="4"/>
  <c r="D112" i="4"/>
  <c r="D111" i="4"/>
  <c r="D110" i="4"/>
  <c r="D109" i="4"/>
  <c r="D104" i="4"/>
  <c r="D103" i="4"/>
  <c r="D102" i="4"/>
  <c r="D101" i="4"/>
  <c r="D100" i="4"/>
  <c r="D99" i="4"/>
  <c r="D98" i="4"/>
  <c r="D97" i="4"/>
  <c r="D96" i="4"/>
  <c r="D91" i="4"/>
  <c r="D90" i="4"/>
  <c r="D89" i="4"/>
  <c r="D88" i="4"/>
  <c r="D87" i="4"/>
  <c r="D86" i="4"/>
  <c r="D85" i="4"/>
  <c r="D84" i="4"/>
  <c r="D83" i="4"/>
  <c r="D78" i="4"/>
  <c r="D77" i="4"/>
  <c r="D76" i="4"/>
  <c r="D75" i="4"/>
  <c r="D74" i="4"/>
  <c r="D73" i="4"/>
  <c r="D72" i="4"/>
  <c r="D71" i="4"/>
  <c r="D70" i="4"/>
  <c r="D65" i="4"/>
  <c r="D64" i="4"/>
  <c r="D63" i="4"/>
  <c r="D62" i="4"/>
  <c r="D61" i="4"/>
  <c r="D60" i="4"/>
  <c r="D59" i="4"/>
  <c r="D58" i="4"/>
  <c r="D57" i="4"/>
  <c r="D52" i="4"/>
  <c r="D51" i="4"/>
  <c r="D50" i="4"/>
  <c r="D49" i="4"/>
  <c r="D48" i="4"/>
  <c r="D47" i="4"/>
  <c r="D46" i="4"/>
  <c r="D45" i="4"/>
  <c r="D44" i="4"/>
  <c r="D39" i="4"/>
  <c r="D38" i="4"/>
  <c r="D37" i="4"/>
  <c r="D36" i="4"/>
  <c r="D35" i="4"/>
  <c r="D34" i="4"/>
  <c r="D33" i="4"/>
  <c r="D32" i="4"/>
  <c r="D31" i="4"/>
  <c r="D26" i="4"/>
  <c r="D25" i="4"/>
  <c r="D24" i="4"/>
  <c r="D23" i="4"/>
  <c r="D22" i="4"/>
  <c r="D21" i="4"/>
  <c r="D20" i="4"/>
  <c r="D19" i="4"/>
  <c r="D18" i="4"/>
  <c r="D13" i="4"/>
  <c r="D12" i="4"/>
  <c r="D11" i="4"/>
  <c r="D10" i="4"/>
  <c r="D9" i="4"/>
  <c r="D8" i="4"/>
  <c r="D7" i="4"/>
  <c r="D6" i="4"/>
  <c r="D5" i="4"/>
  <c r="D117" i="2"/>
  <c r="D116" i="2"/>
  <c r="D115" i="2"/>
  <c r="D114" i="2"/>
  <c r="D113" i="2"/>
  <c r="D112" i="2"/>
  <c r="D111" i="2"/>
  <c r="D110" i="2"/>
  <c r="D109" i="2"/>
  <c r="D104" i="2"/>
  <c r="D103" i="2"/>
  <c r="D102" i="2"/>
  <c r="D101" i="2"/>
  <c r="D100" i="2"/>
  <c r="D99" i="2"/>
  <c r="D98" i="2"/>
  <c r="D97" i="2"/>
  <c r="D96" i="2"/>
  <c r="D91" i="2"/>
  <c r="D90" i="2"/>
  <c r="D89" i="2"/>
  <c r="D88" i="2"/>
  <c r="D87" i="2"/>
  <c r="D86" i="2"/>
  <c r="D85" i="2"/>
  <c r="D84" i="2"/>
  <c r="D83" i="2"/>
  <c r="D78" i="2"/>
  <c r="D77" i="2"/>
  <c r="D76" i="2"/>
  <c r="D75" i="2"/>
  <c r="D74" i="2"/>
  <c r="D73" i="2"/>
  <c r="D72" i="2"/>
  <c r="D71" i="2"/>
  <c r="D70" i="2"/>
  <c r="D65" i="2"/>
  <c r="D64" i="2"/>
  <c r="D63" i="2"/>
  <c r="D62" i="2"/>
  <c r="D61" i="2"/>
  <c r="D60" i="2"/>
  <c r="D59" i="2"/>
  <c r="D58" i="2"/>
  <c r="D57" i="2"/>
  <c r="D52" i="2"/>
  <c r="D51" i="2"/>
  <c r="D50" i="2"/>
  <c r="D49" i="2"/>
  <c r="D48" i="2"/>
  <c r="D47" i="2"/>
  <c r="D46" i="2"/>
  <c r="D45" i="2"/>
  <c r="D44" i="2"/>
  <c r="D39" i="2"/>
  <c r="D38" i="2"/>
  <c r="D37" i="2"/>
  <c r="D36" i="2"/>
  <c r="D35" i="2"/>
  <c r="D34" i="2"/>
  <c r="D33" i="2"/>
  <c r="D32" i="2"/>
  <c r="D31" i="2"/>
  <c r="D26" i="2"/>
  <c r="D25" i="2"/>
  <c r="D24" i="2"/>
  <c r="D23" i="2"/>
  <c r="D22" i="2"/>
  <c r="D21" i="2"/>
  <c r="D20" i="2"/>
  <c r="D19" i="2"/>
  <c r="D18" i="2"/>
  <c r="D13" i="2"/>
  <c r="D12" i="2"/>
  <c r="D11" i="2"/>
  <c r="D10" i="2"/>
  <c r="D9" i="2"/>
  <c r="D8" i="2"/>
  <c r="D7" i="2"/>
  <c r="D6" i="2"/>
  <c r="D5" i="2"/>
  <c r="D117" i="1"/>
  <c r="D116" i="1"/>
  <c r="D115" i="1"/>
  <c r="D114" i="1"/>
  <c r="D113" i="1"/>
  <c r="D112" i="1"/>
  <c r="D111" i="1"/>
  <c r="D110" i="1"/>
  <c r="D109" i="1"/>
  <c r="D104" i="1"/>
  <c r="D103" i="1"/>
  <c r="D102" i="1"/>
  <c r="D101" i="1"/>
  <c r="D100" i="1"/>
  <c r="D99" i="1"/>
  <c r="D98" i="1"/>
  <c r="D97" i="1"/>
  <c r="D96" i="1"/>
  <c r="D91" i="1"/>
  <c r="D90" i="1"/>
  <c r="D89" i="1"/>
  <c r="D88" i="1"/>
  <c r="D87" i="1"/>
  <c r="D86" i="1"/>
  <c r="D85" i="1"/>
  <c r="D84" i="1"/>
  <c r="D83" i="1"/>
  <c r="D78" i="1"/>
  <c r="D77" i="1"/>
  <c r="D76" i="1"/>
  <c r="D75" i="1"/>
  <c r="D74" i="1"/>
  <c r="D73" i="1"/>
  <c r="D72" i="1"/>
  <c r="D71" i="1"/>
  <c r="D70" i="1"/>
  <c r="D65" i="1"/>
  <c r="D64" i="1"/>
  <c r="D63" i="1"/>
  <c r="D62" i="1"/>
  <c r="D61" i="1"/>
  <c r="D60" i="1"/>
  <c r="D59" i="1"/>
  <c r="D58" i="1"/>
  <c r="D57" i="1"/>
  <c r="D52" i="1"/>
  <c r="D51" i="1"/>
  <c r="D50" i="1"/>
  <c r="D49" i="1"/>
  <c r="D48" i="1"/>
  <c r="D47" i="1"/>
  <c r="D46" i="1"/>
  <c r="D45" i="1"/>
  <c r="D44" i="1"/>
  <c r="D39" i="1"/>
  <c r="D38" i="1"/>
  <c r="D37" i="1"/>
  <c r="D36" i="1"/>
  <c r="D35" i="1"/>
  <c r="D34" i="1"/>
  <c r="D33" i="1"/>
  <c r="D32" i="1"/>
  <c r="D31" i="1"/>
  <c r="D26" i="1"/>
  <c r="D25" i="1"/>
  <c r="D24" i="1"/>
  <c r="D23" i="1"/>
  <c r="D22" i="1"/>
  <c r="D21" i="1"/>
  <c r="D20" i="1"/>
  <c r="D19" i="1"/>
  <c r="D18" i="1"/>
  <c r="D12" i="1"/>
  <c r="D11" i="1"/>
  <c r="B14" i="1"/>
  <c r="D8" i="1"/>
  <c r="D13" i="1"/>
  <c r="D6" i="1"/>
  <c r="D7" i="1"/>
  <c r="D9" i="1"/>
  <c r="D10" i="1"/>
  <c r="D5" i="1"/>
  <c r="D27" i="5" l="1"/>
  <c r="G4" i="3" s="1"/>
  <c r="D118" i="2"/>
  <c r="F23" i="3" s="1"/>
  <c r="D105" i="2"/>
  <c r="F22" i="3" s="1"/>
  <c r="D53" i="2"/>
  <c r="F12" i="3" s="1"/>
  <c r="D14" i="2"/>
  <c r="F3" i="3" s="1"/>
  <c r="D27" i="1"/>
  <c r="D4" i="3" s="1"/>
  <c r="D14" i="4"/>
  <c r="D40" i="4"/>
  <c r="E5" i="3" s="1"/>
  <c r="D27" i="4"/>
  <c r="E4" i="3" s="1"/>
  <c r="D79" i="1"/>
  <c r="D14" i="3" s="1"/>
  <c r="D105" i="5"/>
  <c r="G22" i="3" s="1"/>
  <c r="D79" i="5"/>
  <c r="G14" i="3" s="1"/>
  <c r="D118" i="5"/>
  <c r="G23" i="3" s="1"/>
  <c r="D92" i="5"/>
  <c r="G21" i="3" s="1"/>
  <c r="D53" i="5"/>
  <c r="G12" i="3" s="1"/>
  <c r="D66" i="5"/>
  <c r="G13" i="3" s="1"/>
  <c r="D14" i="5"/>
  <c r="G3" i="3" s="1"/>
  <c r="D40" i="5"/>
  <c r="G5" i="3" s="1"/>
  <c r="D79" i="2"/>
  <c r="F14" i="3" s="1"/>
  <c r="D92" i="2"/>
  <c r="F21" i="3" s="1"/>
  <c r="D27" i="2"/>
  <c r="F4" i="3" s="1"/>
  <c r="D66" i="2"/>
  <c r="F13" i="3" s="1"/>
  <c r="D40" i="2"/>
  <c r="F5" i="3" s="1"/>
  <c r="D79" i="4"/>
  <c r="E14" i="3" s="1"/>
  <c r="D105" i="4"/>
  <c r="E22" i="3" s="1"/>
  <c r="D118" i="4"/>
  <c r="E23" i="3" s="1"/>
  <c r="D53" i="4"/>
  <c r="E12" i="3" s="1"/>
  <c r="D92" i="4"/>
  <c r="E21" i="3" s="1"/>
  <c r="D66" i="4"/>
  <c r="E13" i="3" s="1"/>
  <c r="D118" i="1"/>
  <c r="D23" i="3" s="1"/>
  <c r="D105" i="1"/>
  <c r="D22" i="3" s="1"/>
  <c r="D92" i="1"/>
  <c r="D21" i="3" s="1"/>
  <c r="D66" i="1"/>
  <c r="D13" i="3" s="1"/>
  <c r="D53" i="1"/>
  <c r="D12" i="3" s="1"/>
  <c r="D40" i="1"/>
  <c r="D5" i="3" s="1"/>
  <c r="D14" i="1"/>
  <c r="D3" i="3" s="1"/>
</calcChain>
</file>

<file path=xl/sharedStrings.xml><?xml version="1.0" encoding="utf-8"?>
<sst xmlns="http://schemas.openxmlformats.org/spreadsheetml/2006/main" count="11482" uniqueCount="3544">
  <si>
    <t>Metric</t>
  </si>
  <si>
    <t>Weight</t>
  </si>
  <si>
    <t>Input Structure:</t>
  </si>
  <si>
    <t>Weighted Score</t>
  </si>
  <si>
    <t xml:space="preserve">Max Score: </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</si>
  <si>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</si>
  <si>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</si>
  <si>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</si>
  <si>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</si>
  <si>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</si>
  <si>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</si>
  <si>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</si>
  <si>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</si>
  <si>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</si>
  <si>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</si>
  <si>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</si>
  <si>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</si>
  <si>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</si>
  <si>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</si>
  <si>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</si>
  <si>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</si>
  <si>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</si>
  <si>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</si>
  <si>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</si>
  <si>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</si>
  <si>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</si>
  <si>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</si>
  <si>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</si>
  <si>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</si>
  <si>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</si>
  <si>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</si>
  <si>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</si>
  <si>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</si>
  <si>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</si>
  <si>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</si>
  <si>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</si>
  <si>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</si>
  <si>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</si>
  <si>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</si>
  <si>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</si>
  <si>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</si>
  <si>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</si>
  <si>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</si>
  <si>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</si>
  <si>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</si>
  <si>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</si>
  <si>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</si>
  <si>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</si>
  <si>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</si>
  <si>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</si>
  <si>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</si>
  <si>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</si>
  <si>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</si>
  <si>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</si>
  <si>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</si>
  <si>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</si>
  <si>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</si>
  <si>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</si>
  <si>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</si>
  <si>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</si>
  <si>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</si>
  <si>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</si>
  <si>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</si>
  <si>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</si>
  <si>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</si>
  <si>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</si>
  <si>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</si>
  <si>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</si>
  <si>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</si>
  <si>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</si>
  <si>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</si>
  <si>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</si>
  <si>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</si>
  <si>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</si>
  <si>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</si>
  <si>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</si>
  <si>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</si>
  <si>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</si>
  <si>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      "terrain": "lowland",</t>
  </si>
  <si>
    <t>      "tz": "UTC-5",</t>
  </si>
  <si>
    <t>      "urbanization": "rural",</t>
  </si>
  <si>
    <t>    "rural": {</t>
  </si>
  <si>
    <t>    "UTC-5": {</t>
  </si>
  <si>
    <t>    "lowland": {</t>
  </si>
  <si>
    <t>    "problem_pattern": "tag_specific",</t>
  </si>
  <si>
    <t>* The data has entries up until July 2024 treat the data as if today is the 1st July 2024.</t>
  </si>
  <si>
    <t>* The data consists of multiple local models that are running on the weather station to predict the temperature.</t>
  </si>
  <si>
    <t>Schema:</t>
  </si>
  <si>
    <t xml:space="preserve">Does it help the decision-making and provide actionability? </t>
  </si>
  <si>
    <t>Is it clear and easy to understand for non-experts?</t>
  </si>
  <si>
    <t>Is external or domain knowledge integrated into reasoning?</t>
  </si>
  <si>
    <t>Is there a correct interpretation of relationships?</t>
  </si>
  <si>
    <t>d88</t>
  </si>
  <si>
    <t>AM</t>
  </si>
  <si>
    <t>WS</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</si>
  <si>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</si>
  <si>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</si>
  <si>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</si>
  <si>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</si>
  <si>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</si>
  <si>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</si>
  <si>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</si>
  <si>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</si>
  <si>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</si>
  <si>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</si>
  <si>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</si>
  <si>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</si>
  <si>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</si>
  <si>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</si>
  <si>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</si>
  <si>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</si>
  <si>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</si>
  <si>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</si>
  <si>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</si>
  <si>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</si>
  <si>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</si>
  <si>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</si>
  <si>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</si>
  <si>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</si>
  <si>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</si>
  <si>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</si>
  <si>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</si>
  <si>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</si>
  <si>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</si>
  <si>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</si>
  <si>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</si>
  <si>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</si>
  <si>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</si>
  <si>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</si>
  <si>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</si>
  <si>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</si>
  <si>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</si>
  <si>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</si>
  <si>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</si>
  <si>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</si>
  <si>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</si>
  <si>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</si>
  <si>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</si>
  <si>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</si>
  <si>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</si>
  <si>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</si>
  <si>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</si>
  <si>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</si>
  <si>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</si>
  <si>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</si>
  <si>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</si>
  <si>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</si>
  <si>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</si>
  <si>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</si>
  <si>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</si>
  <si>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</si>
  <si>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</si>
  <si>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</si>
  <si>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</si>
  <si>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</si>
  <si>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</si>
  <si>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</si>
  <si>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</si>
  <si>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</si>
  <si>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</si>
  <si>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</si>
  <si>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</si>
  <si>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</si>
  <si>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</si>
  <si>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</si>
  <si>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</si>
  <si>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</si>
  <si>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</si>
  <si>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"trend": "stable",</t>
  </si>
  <si>
    <t xml:space="preserve">  "Model Version History": {</t>
  </si>
  <si>
    <t xml:space="preserve">    "trend": "degrading",</t>
  </si>
  <si>
    <t xml:space="preserve">    "active_model_error_score": 27.577198028564453,</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</si>
  <si>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</si>
  <si>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</si>
  <si>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</si>
  <si>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</si>
  <si>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</si>
  <si>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</si>
  <si>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</si>
  <si>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</si>
  <si>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</si>
  <si>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</si>
  <si>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</si>
  <si>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</si>
  <si>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</si>
  <si>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</si>
  <si>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</si>
  <si>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</si>
  <si>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</si>
  <si>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</si>
  <si>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</si>
  <si>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</si>
  <si>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</si>
  <si>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</si>
  <si>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</si>
  <si>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</si>
  <si>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</si>
  <si>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</si>
  <si>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</si>
  <si>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</si>
  <si>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Every weather station has multiple tags that show the attributes of the device.  For each of these tags an outlier score exists that signalizes how different the weather station performance is compared to weather stations with the same tag.</t>
  </si>
  <si>
    <t>Score [1,5]</t>
  </si>
  <si>
    <t>Is all the available information used for the reasoning? (Performance/Feature Importance)</t>
  </si>
  <si>
    <t>Does it provide a clear and concise explanation? (writing style)</t>
  </si>
  <si>
    <t>Does it avoid irrelevant or excessive information? (information provided)</t>
  </si>
  <si>
    <t>Does it answer the question of why this is an anomaly or performs bad?</t>
  </si>
  <si>
    <t>Is there a coherent argumentation and reasoning provided for the interpretation?</t>
  </si>
  <si>
    <r>
      <t xml:space="preserve">Experiment 1 </t>
    </r>
    <r>
      <rPr>
        <sz val="11"/>
        <color theme="5"/>
        <rFont val="Calibri"/>
        <family val="2"/>
        <scheme val="minor"/>
      </rPr>
      <t>(mainly num)</t>
    </r>
  </si>
  <si>
    <r>
      <t xml:space="preserve">Experiment 2 </t>
    </r>
    <r>
      <rPr>
        <sz val="11"/>
        <color theme="5"/>
        <rFont val="Calibri"/>
        <family val="2"/>
        <scheme val="minor"/>
      </rPr>
      <t>(mainly text)</t>
    </r>
  </si>
  <si>
    <r>
      <t xml:space="preserve">Experiment 4 </t>
    </r>
    <r>
      <rPr>
        <sz val="11"/>
        <color theme="5"/>
        <rFont val="Calibri"/>
        <family val="2"/>
        <scheme val="minor"/>
      </rPr>
      <t>(mainly visual)</t>
    </r>
  </si>
  <si>
    <r>
      <t xml:space="preserve">Experiment 6 </t>
    </r>
    <r>
      <rPr>
        <sz val="11"/>
        <color theme="5"/>
        <rFont val="Calibri"/>
        <family val="2"/>
        <scheme val="minor"/>
      </rPr>
      <t>(Combinaiton)</t>
    </r>
  </si>
  <si>
    <t>qwen3.5</t>
  </si>
  <si>
    <t>d1456</t>
  </si>
  <si>
    <t>d1383</t>
  </si>
  <si>
    <r>
      <t xml:space="preserve">Experiment 3 </t>
    </r>
    <r>
      <rPr>
        <sz val="11"/>
        <color theme="5"/>
        <rFont val="Calibri"/>
        <family val="2"/>
        <scheme val="minor"/>
      </rPr>
      <t>(mainly text + other models)</t>
    </r>
  </si>
  <si>
    <t>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t>
  </si>
  <si>
    <t>Important information regarding the data in the schema at hand:</t>
  </si>
  <si>
    <t>The data has entries up until July 2024 treat the data as if today is the 1st July 2024.</t>
  </si>
  <si>
    <t>The data consists of multiple local models that are running on the weather station to predict the temperature.</t>
  </si>
  <si>
    <t>The local model on each weather station is continuously updated using federated learning.</t>
  </si>
  <si>
    <t>Every weather station has multiple tags that show the attributes of the device.  For each of these tags an outlier score exists that signalizes how different the weather station performance is compared to weather stations with the same tag.</t>
  </si>
  <si>
    <t>Chain of thought instructions:</t>
  </si>
  <si>
    <t>Step 1: Read and understand the schema carefully.</t>
  </si>
  <si>
    <t>Step 2: Identify the most important signals and determine which parts of the schema are most relevant for explaining the unusual behaviour.</t>
  </si>
  <si>
    <t>Step 3: Analyze relationships between the different pieces of information and think about how the different inputs relate to each other.</t>
  </si>
  <si>
    <t>Step 4: Put the weather station 88 into context (interpret the station not in isolation).</t>
  </si>
  <si>
    <t>Step 5: Use additional background knowledge when helpful (domain knowledge, environmental conditions etc.).</t>
  </si>
  <si>
    <t>Step 6: Generate possible reasons for the unusual behaviour.</t>
  </si>
  <si>
    <t>Step 7: Check your reasoning critically.</t>
  </si>
  <si>
    <t>Step 8: Create practical recommendations.</t>
  </si>
  <si>
    <t>Step 9: Write the final explanation for a non-expert industrial user based on the previous steps.</t>
  </si>
  <si>
    <t>Output Instructions:</t>
  </si>
  <si>
    <t>The answer has to be provided in an easy language that a user without a data background can understand. Make sure to provide short and concise answers that answer the questions at hand without unnecessary information. </t>
  </si>
  <si>
    <t>What is important:</t>
  </si>
  <si>
    <t>Clarity: Deliver straightforward and easily comprehensible summaries. </t>
  </si>
  <si>
    <t>Relevance: Ensure insights are directly applicable to the end user. </t>
  </si>
  <si>
    <t>Actionability: Focus on providing practical suggestions or conclusions. </t>
  </si>
  <si>
    <t>Do not include obvious elements (numbers, text) from the given input unless needed.</t>
  </si>
  <si>
    <t>The output should have the following structure:</t>
  </si>
  <si>
    <t>1. Interpretation: Why is this weather station 88 behaving unusually? Explain to the engineer why the weather station is showcasing this unusual behaviour!</t>
  </si>
  <si>
    <t>2. Future Predictions: What does this mean for future predictions of the weather station 88? Give recommendations on what the engineer should do!</t>
  </si>
  <si>
    <t>3. Reasoning: Provide a short statement of reasoning to justify your answer, but keep it concise and non-technical.</t>
  </si>
  <si>
    <t>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t>
  </si>
  <si>
    <t>Step 4: Put the weather station 131 into context (interpret the station not in isolation).</t>
  </si>
  <si>
    <t>1. Interpretation: Why is this weather station 131 behaving unusually? Explain to the engineer why the weather station is showcasing this unusual behaviour!</t>
  </si>
  <si>
    <t>2. Future Predictions: What does this mean for future predictions of the weather station 131? Give recommendations on what the engineer should do!</t>
  </si>
  <si>
    <t xml:space="preserve">    "weather_station_classification": "Partial Outlier",</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</si>
  <si>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</si>
  <si>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</si>
  <si>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</si>
  <si>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</si>
  <si>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</si>
  <si>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</si>
  <si>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</si>
  <si>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</si>
  <si>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"model_performance_trend": "stable",</t>
  </si>
  <si>
    <t xml:space="preserve">    "performance": {</t>
  </si>
  <si>
    <t xml:space="preserve">      "2024-06-22 22:00:00.000000": 13.783648490905762</t>
  </si>
  <si>
    <t xml:space="preserve">    "active_model_error_score": 13.783648490905762,</t>
  </si>
  <si>
    <t xml:space="preserve">    "historical_models_error_score": 8.186551988739328</t>
  </si>
  <si>
    <t xml:space="preserve">      "temperature": 1.3362564251022722,</t>
  </si>
  <si>
    <t xml:space="preserve">      "dew_point_temperature": 0.5444265831001174,</t>
  </si>
  <si>
    <t xml:space="preserve">      "wind_direction": 0.3337700273948302</t>
  </si>
  <si>
    <t xml:space="preserve">      "temperature": 0.9178090962886913,</t>
  </si>
  <si>
    <t xml:space="preserve">      "dew_point_temperature": 0.5532316446581149,</t>
  </si>
  <si>
    <t xml:space="preserve">      "wind_direction-yesterday": 0.3475051080924656</t>
  </si>
  <si>
    <t xml:space="preserve">    "hill": {</t>
  </si>
  <si>
    <t xml:space="preserve">      "error_score": 13.359774589538574,</t>
  </si>
  <si>
    <t xml:space="preserve">      "outlier_score": "moderate"</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</si>
  <si>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</si>
  <si>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</si>
  <si>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</si>
  <si>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</si>
  <si>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</si>
  <si>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</si>
  <si>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</si>
  <si>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</si>
  <si>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</si>
  <si>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</si>
  <si>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 </t>
  </si>
  <si>
    <t>Special rules:</t>
  </si>
  <si>
    <t>* Important information regarding the data in the schema at hand:</t>
  </si>
  <si>
    <t>* The local model on each weather station is continuously updated using federated learning.</t>
  </si>
  <si>
    <t xml:space="preserve">The answer has to be provided in an easy language that a user without a data background can understand. Make sure to provide short and concise answers that answer the questions at hand without unnecessary information. </t>
  </si>
  <si>
    <t xml:space="preserve">* Clarity: Deliver straightforward and easily comprehensible summaries. </t>
  </si>
  <si>
    <t xml:space="preserve">* Relevance: Ensure insights are directly applicable to the end user. </t>
  </si>
  <si>
    <t xml:space="preserve">* Actionability: Focus on providing practical suggestions or conclusions. </t>
  </si>
  <si>
    <t>* Use these images together with the schema.</t>
  </si>
  <si>
    <t>* Only refer to what is clearly visible in the images.</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</si>
  <si>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</si>
  <si>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</si>
  <si>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</si>
  <si>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</si>
  <si>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</si>
  <si>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</si>
  <si>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</si>
  <si>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</si>
  <si>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</si>
  <si>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</si>
  <si>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"historical_models_error_score": 23.842185316414668</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</si>
  <si>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 </t>
  </si>
  <si>
    <t xml:space="preserve">      "city": "Vernal",</t>
  </si>
  <si>
    <t xml:space="preserve">      "station_id": "USW00094030",</t>
  </si>
  <si>
    <t xml:space="preserve">      "state": "Utah",</t>
  </si>
  <si>
    <t xml:space="preserve">      "country": "United States",</t>
  </si>
  <si>
    <t xml:space="preserve">      "tz": "UTC-7",</t>
  </si>
  <si>
    <t xml:space="preserve">      "urbanization": "town",</t>
  </si>
  <si>
    <t xml:space="preserve">      "name": "VERNAL MUNI AP",</t>
  </si>
  <si>
    <t xml:space="preserve">      "terrain": "mountain class 4"</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</si>
  <si>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</si>
  <si>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</si>
  <si>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</si>
  <si>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</si>
  <si>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</si>
  <si>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</si>
  <si>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</si>
  <si>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</si>
  <si>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</si>
  <si>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</si>
  <si>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"active_model_error_score": 7.350872993469238,</t>
  </si>
  <si>
    <t xml:space="preserve">    "historical_models_error_score": 6.85739901330736</t>
  </si>
  <si>
    <t xml:space="preserve">      "wind_direction": 1.0155805808841598,</t>
  </si>
  <si>
    <t xml:space="preserve">      "dew_point_temperature": 0.7599447203813187,</t>
  </si>
  <si>
    <t xml:space="preserve">      "temperature": 0.675348908891818</t>
  </si>
  <si>
    <t xml:space="preserve">      "temperature": 1.2961654753215395,</t>
  </si>
  <si>
    <t xml:space="preserve">      "wind_speed-yesterday": 0.4175738940259065,</t>
  </si>
  <si>
    <t xml:space="preserve">      "dew_point_temperature": 0.417404554316345</t>
  </si>
  <si>
    <t xml:space="preserve">    "town": {</t>
  </si>
  <si>
    <t xml:space="preserve">      "error_score": 7.539164066314697,</t>
  </si>
  <si>
    <t xml:space="preserve">    "United States": {</t>
  </si>
  <si>
    <t xml:space="preserve">      "error_score": 6.695772171020508,</t>
  </si>
  <si>
    <t xml:space="preserve">    "mountain class 4": {</t>
  </si>
  <si>
    <t xml:space="preserve">      "error_score": 6.387510299682617,</t>
  </si>
  <si>
    <t xml:space="preserve">    "UTC-7": {</t>
  </si>
  <si>
    <t xml:space="preserve">      "error_score": 5.5507707595825195,</t>
  </si>
  <si>
    <t xml:space="preserve">    "worst_performance_tag": "town",</t>
  </si>
  <si>
    <t xml:space="preserve">    "worst_outlier_tag": "town",</t>
  </si>
  <si>
    <t xml:space="preserve">    "problem_pattern": "tag_specific",</t>
  </si>
  <si>
    <t xml:space="preserve">    "outlier_ratio": 0.5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</si>
  <si>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1383 is an anomaly. What does that mean for future predictions of the weather station? </t>
  </si>
  <si>
    <t>Step 4: Put the weather station 1383 into context (interpret the station not in isolation).</t>
  </si>
  <si>
    <t>1. Interpretation: Why is this weather station 1383 behaving unusually? Explain to the engineer why the weather station is showcasing this unusual behaviour!</t>
  </si>
  <si>
    <t>2. Future Predictions: What does this mean for future predictions of the weather station 1383? Give recommendations on what the engineer should do!</t>
  </si>
  <si>
    <t xml:space="preserve">    Schema:</t>
  </si>
  <si>
    <t xml:space="preserve">      "station_id": "CAN01182285",</t>
  </si>
  <si>
    <t xml:space="preserve">      "state": "British Columbia",</t>
  </si>
  <si>
    <t xml:space="preserve">      "name": "DAWSON CREEK A",</t>
  </si>
  <si>
    <t xml:space="preserve">      "terrain": "mountain class 6",</t>
  </si>
  <si>
    <t xml:space="preserve">      "city": "Dawson Creek"</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</si>
  <si>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</si>
  <si>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</si>
  <si>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</si>
  <si>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</si>
  <si>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</si>
  <si>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</si>
  <si>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</si>
  <si>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</si>
  <si>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</si>
  <si>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</si>
  <si>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"active_model_error_score": 28.968345642089844,</t>
  </si>
  <si>
    <t xml:space="preserve">    "historical_models_error_score": 28.70091724395752</t>
  </si>
  <si>
    <t xml:space="preserve">      "temperature": 0.6314551319194421,</t>
  </si>
  <si>
    <t xml:space="preserve">      "dew_point_temperature": 0.38300341798624055,</t>
  </si>
  <si>
    <t xml:space="preserve">      "wind_speed": 0.3021008593269999</t>
  </si>
  <si>
    <t xml:space="preserve">      "temperature": 0.6078108542006215,</t>
  </si>
  <si>
    <t xml:space="preserve">      "dew_point_temperature": 0.34621290747843714,</t>
  </si>
  <si>
    <t xml:space="preserve">      "wind_speed": 0.27365511421336397</t>
  </si>
  <si>
    <t xml:space="preserve">    "mountain class 6": {</t>
  </si>
  <si>
    <t xml:space="preserve">      "error_score": 30.071880340576172,</t>
  </si>
  <si>
    <t xml:space="preserve">      "error_score": 29.59516143798828,</t>
  </si>
  <si>
    <t xml:space="preserve">      "error_score": 19.502784729003906,</t>
  </si>
  <si>
    <t xml:space="preserve">      "error_score": 9.450776100158691,</t>
  </si>
  <si>
    <t xml:space="preserve">    "British Columbia": {</t>
  </si>
  <si>
    <t xml:space="preserve">      "error_score": 8.662469863891602,</t>
  </si>
  <si>
    <t xml:space="preserve">    "worst_performance_tag": "mountain class 6",</t>
  </si>
  <si>
    <t xml:space="preserve">    "problem_pattern": "uncertain",</t>
  </si>
  <si>
    <t xml:space="preserve">    "outlier_ratio": 0.2</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</si>
  <si>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1456 is an anomaly. What does that mean for future predictions of the weather station? </t>
  </si>
  <si>
    <t>Step 4: Put the weather station 1456 into context (interpret the station not in isolation).</t>
  </si>
  <si>
    <t>1. Interpretation: Why is this weather station 1456 behaving unusually? Explain to the engineer why the weather station is showcasing this unusual behaviour!</t>
  </si>
  <si>
    <t>2. Future Predictions: What does this mean for future predictions of the weather station 1456? Give recommendations on what the engineer should do!</t>
  </si>
  <si>
    <t xml:space="preserve">  "to_be_evaluated_weather_station": {</t>
  </si>
  <si>
    <t xml:space="preserve">    "Weather Station Information": {</t>
  </si>
  <si>
    <t xml:space="preserve">      "weather_station_classification": "Underperforming",</t>
  </si>
  <si>
    <t xml:space="preserve">      "tags": {</t>
  </si>
  <si>
    <t xml:space="preserve">        "station_id": "CAN01182285",</t>
  </si>
  <si>
    <t xml:space="preserve">        "country": "Canada",</t>
  </si>
  <si>
    <t xml:space="preserve">        "state": "British Columbia",</t>
  </si>
  <si>
    <t xml:space="preserve">        "name": "DAWSON CREEK A",</t>
  </si>
  <si>
    <t xml:space="preserve">        "tz": "UTC-7",</t>
  </si>
  <si>
    <t xml:space="preserve">        "urbanization": "town",</t>
  </si>
  <si>
    <t xml:space="preserve">        "terrain": "mountain class 6",</t>
  </si>
  <si>
    <t xml:space="preserve">        "city": "Dawson Creek"</t>
  </si>
  <si>
    <t xml:space="preserve">      },</t>
  </si>
  <si>
    <t xml:space="preserve">      "weather_station_id": "d1456"</t>
  </si>
  <si>
    <t xml:space="preserve">    "Model Performance Context": {</t>
  </si>
  <si>
    <t xml:space="preserve">      "model_version_performance_trend": "stable",</t>
  </si>
  <si>
    <t xml:space="preserve">      "model_performance_trend": "stable",</t>
  </si>
  <si>
    <t xml:space="preserve">      "performance": {</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</si>
  <si>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</si>
  <si>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</si>
  <si>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</si>
  <si>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</si>
  <si>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</si>
  <si>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</si>
  <si>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</si>
  <si>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</si>
  <si>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</si>
  <si>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</si>
  <si>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t>
  </si>
  <si>
    <t xml:space="preserve">    "Feature Importance": {</t>
  </si>
  <si>
    <t xml:space="preserve">      "top_5_features_active_model": {</t>
  </si>
  <si>
    <t xml:space="preserve">        "temperature": 0.6314551319194421,</t>
  </si>
  <si>
    <t xml:space="preserve">        "dew_point_temperature": 0.38300341798624055,</t>
  </si>
  <si>
    <t xml:space="preserve">        "wind_speed": 0.3021008593269999,</t>
  </si>
  <si>
    <t xml:space="preserve">        "wind_direction": 0.11536777151319877,</t>
  </si>
  <si>
    <t xml:space="preserve">        "temperature-yesterday": 0.10919984331526374</t>
  </si>
  <si>
    <t xml:space="preserve">    "Tag Diagnostics": {</t>
  </si>
  <si>
    <t xml:space="preserve">      "mountain class 6": {</t>
  </si>
  <si>
    <t xml:space="preserve">        "error_score": 30.071880340576172,</t>
  </si>
  <si>
    <t xml:space="preserve">        "outlier_score": "no_outlier"</t>
  </si>
  <si>
    <t xml:space="preserve">      "town": {</t>
  </si>
  <si>
    <t xml:space="preserve">        "error_score": 29.59516143798828,</t>
  </si>
  <si>
    <t xml:space="preserve">        "outlier_score": "moderate"</t>
  </si>
  <si>
    <t xml:space="preserve">      "UTC-7": {</t>
  </si>
  <si>
    <t xml:space="preserve">        "error_score": 19.502784729003906,</t>
  </si>
  <si>
    <t xml:space="preserve">      "Canada": {</t>
  </si>
  <si>
    <t xml:space="preserve">        "error_score": 9.450776100158691,</t>
  </si>
  <si>
    <t xml:space="preserve">      "British Columbia": {</t>
  </si>
  <si>
    <t xml:space="preserve">        "error_score": 8.662469863891602,</t>
  </si>
  <si>
    <t xml:space="preserve">    "Cross Tag Context": {</t>
  </si>
  <si>
    <t xml:space="preserve">      "worst_performance_tag": "mountain class 6",</t>
  </si>
  <si>
    <t xml:space="preserve">      "worst_outlier_tag": "town",</t>
  </si>
  <si>
    <t xml:space="preserve">      "problem_pattern": "uncertain",</t>
  </si>
  <si>
    <t xml:space="preserve">      "outlier_ratio": 0.2</t>
  </si>
  <si>
    <t xml:space="preserve">  "functioning_weather_stations": [</t>
  </si>
  <si>
    <t xml:space="preserve">    {</t>
  </si>
  <si>
    <t xml:space="preserve">      "weather_station_information": {</t>
  </si>
  <si>
    <t xml:space="preserve">        "weather_station_classification": "No Outlier",</t>
  </si>
  <si>
    <t xml:space="preserve">        "tags": {</t>
  </si>
  <si>
    <t xml:space="preserve">          "terrain": "lowland",</t>
  </si>
  <si>
    <t xml:space="preserve">          "country": "Canada",</t>
  </si>
  <si>
    <t xml:space="preserve">          "name": "SPARWOOD A",</t>
  </si>
  <si>
    <t xml:space="preserve">          "state": "British Columbia",</t>
  </si>
  <si>
    <t xml:space="preserve">          "tz": "UTC-7",</t>
  </si>
  <si>
    <t xml:space="preserve">          "urbanization": "rural",</t>
  </si>
  <si>
    <t xml:space="preserve">          "station_id": "CAN01157635",</t>
  </si>
  <si>
    <t xml:space="preserve">          "city": "Sparwood"</t>
  </si>
  <si>
    <t xml:space="preserve">        }</t>
  </si>
  <si>
    <t xml:space="preserve">      "model_performance_context": {</t>
  </si>
  <si>
    <t xml:space="preserve">        "model_version_performance_trend": "degrading",</t>
  </si>
  <si>
    <t xml:space="preserve">        "model_performance_trend": "stable",</t>
  </si>
  <si>
    <t xml:space="preserve">        "performance": {</t>
  </si>
  <si>
    <t xml:space="preserve">          "2024-06-22 22:00:00.000000": 10.71127986907959,</t>
  </si>
  <si>
    <t xml:space="preserve">          "2024-06-15 22:00:00.000000": 10.59146499633789,</t>
  </si>
  <si>
    <t xml:space="preserve">          "2024-06-08 22:00:00.000000": 10.105866432189941,</t>
  </si>
  <si>
    <t xml:space="preserve">          "2024-06-06 22:00:00.000000": 10.341601371765137,</t>
  </si>
  <si>
    <t xml:space="preserve">          "2024-06-05 22:00:00.000000": 10.667369842529297,</t>
  </si>
  <si>
    <t xml:space="preserve">          "2024-06-02 22:00:00.000000": 10.347702980041504,</t>
  </si>
  <si>
    <t xml:space="preserve">          "2024-06-01 22:00:00.000000": 10.551647186279297,</t>
  </si>
  <si>
    <t xml:space="preserve">          "2024-05-29 22:00:00.000000": 10.262120246887207,</t>
  </si>
  <si>
    <t xml:space="preserve">          "2024-05-24 22:00:00.000000": 10.071296691894531,</t>
  </si>
  <si>
    <t xml:space="preserve">          "2024-05-20 22:00:00.000000": 9.931302070617676</t>
  </si>
  <si>
    <t xml:space="preserve">      "feature_importance": {</t>
  </si>
  <si>
    <t xml:space="preserve">        "top_5_features_active_model": {</t>
  </si>
  <si>
    <t xml:space="preserve">          "temperature": 1.1225009138160298,</t>
  </si>
  <si>
    <t xml:space="preserve">          "dew_point_temperature": 0.3589183835076194,</t>
  </si>
  <si>
    <t xml:space="preserve">          "wind_direction": 0.08336180063217469,</t>
  </si>
  <si>
    <t xml:space="preserve">          "wind_direction-yesterday": 0.07566093012822947,</t>
  </si>
  <si>
    <t xml:space="preserve">          "wind_speed": 0.07301733499157217</t>
  </si>
  <si>
    <t xml:space="preserve">      "tag_diagnostics": {</t>
  </si>
  <si>
    <t xml:space="preserve">        "lowland": {</t>
  </si>
  <si>
    <t xml:space="preserve">          "error_score": 10.307153701782227,</t>
  </si>
  <si>
    <t xml:space="preserve">          "outlier_score": "no_outlier"</t>
  </si>
  <si>
    <t xml:space="preserve">        },</t>
  </si>
  <si>
    <t xml:space="preserve">        "rural": {</t>
  </si>
  <si>
    <t xml:space="preserve">          "error_score": 8.373645782470703,</t>
  </si>
  <si>
    <t xml:space="preserve">        "UTC-7": {</t>
  </si>
  <si>
    <t xml:space="preserve">          "error_score": 5.614889621734619,</t>
  </si>
  <si>
    <t xml:space="preserve">        "British Columbia": {</t>
  </si>
  <si>
    <t xml:space="preserve">          "error_score": 4.386220455169678,</t>
  </si>
  <si>
    <t xml:space="preserve">        "Canada": {</t>
  </si>
  <si>
    <t xml:space="preserve">          "error_score": 4.292490005493164,</t>
  </si>
  <si>
    <t xml:space="preserve">          "tz": "UTC-8",</t>
  </si>
  <si>
    <t xml:space="preserve">          "name": "STEWART A",</t>
  </si>
  <si>
    <t xml:space="preserve">          "station_id": "CAN01067742",</t>
  </si>
  <si>
    <t xml:space="preserve">          "urbanization": "town",</t>
  </si>
  <si>
    <t xml:space="preserve">          "city": "Prince Rupert"</t>
  </si>
  <si>
    <t xml:space="preserve">        "model_version_performance_trend": "stable",</t>
  </si>
  <si>
    <t xml:space="preserve">          "2024-06-22 22:00:00.000000": 5.792168617248535,</t>
  </si>
  <si>
    <t xml:space="preserve">          "2024-06-15 22:00:00.000000": 5.736513614654541,</t>
  </si>
  <si>
    <t xml:space="preserve">          "2024-06-08 22:00:00.000000": 5.7393269538879395,</t>
  </si>
  <si>
    <t xml:space="preserve">          "2024-06-06 22:00:00.000000": 5.602437973022461,</t>
  </si>
  <si>
    <t xml:space="preserve">          "2024-06-05 22:00:00.000000": 5.631166458129883,</t>
  </si>
  <si>
    <t xml:space="preserve">          "2024-06-02 22:00:00.000000": 5.488137245178223,</t>
  </si>
  <si>
    <t xml:space="preserve">          "2024-06-01 22:00:00.000000": 5.554745197296143,</t>
  </si>
  <si>
    <t xml:space="preserve">          "2024-05-29 22:00:00.000000": 5.417914390563965,</t>
  </si>
  <si>
    <t xml:space="preserve">          "2024-05-24 22:00:00.000000": 5.310355186462402,</t>
  </si>
  <si>
    <t xml:space="preserve">          "2024-05-20 22:00:00.000000": 5.114912033081055</t>
  </si>
  <si>
    <t xml:space="preserve">          "temperature": 0.8661020285614203,</t>
  </si>
  <si>
    <t xml:space="preserve">          "dew_point_temperature": 0.450376203028154,</t>
  </si>
  <si>
    <t xml:space="preserve">          "temperature-yesterday": 0.20762894103210372,</t>
  </si>
  <si>
    <t xml:space="preserve">          "wind_speed": 0.15220619717102293,</t>
  </si>
  <si>
    <t xml:space="preserve">          "wind_speed-yesterday": 0.13682450329116672</t>
  </si>
  <si>
    <t xml:space="preserve">        "town": {</t>
  </si>
  <si>
    <t xml:space="preserve">          "error_score": 6.1705780029296875,</t>
  </si>
  <si>
    <t xml:space="preserve">          "error_score": 5.624518394470215,</t>
  </si>
  <si>
    <t xml:space="preserve">          "error_score": 3.977684736251831,</t>
  </si>
  <si>
    <t xml:space="preserve">        "UTC-8": {</t>
  </si>
  <si>
    <t xml:space="preserve">          "error_score": 3.5943703651428223,</t>
  </si>
  <si>
    <t xml:space="preserve">          "error_score": 2.8387157917022705,</t>
  </si>
  <si>
    <t xml:space="preserve">          "city": "Oak Bay",</t>
  </si>
  <si>
    <t xml:space="preserve">          "name": "DISCOVERY ISLAND",</t>
  </si>
  <si>
    <t xml:space="preserve">          "station_id": "CAN01012475"</t>
  </si>
  <si>
    <t xml:space="preserve">          "2024-06-22 22:00:00.000000": 4.444321632385254,</t>
  </si>
  <si>
    <t xml:space="preserve">          "2024-06-15 22:00:00.000000": 4.059703826904297,</t>
  </si>
  <si>
    <t xml:space="preserve">          "2024-06-08 22:00:00.000000": 4.189202785491943,</t>
  </si>
  <si>
    <t xml:space="preserve">          "2024-06-06 22:00:00.000000": 4.242342948913574,</t>
  </si>
  <si>
    <t xml:space="preserve">          "2024-06-05 22:00:00.000000": 4.205297946929932,</t>
  </si>
  <si>
    <t xml:space="preserve">          "2024-06-02 22:00:00.000000": 4.287710666656494,</t>
  </si>
  <si>
    <t xml:space="preserve">          "2024-06-01 22:00:00.000000": 4.177659034729004,</t>
  </si>
  <si>
    <t xml:space="preserve">          "2024-05-29 22:00:00.000000": 3.9680235385894775,</t>
  </si>
  <si>
    <t xml:space="preserve">          "2024-05-24 22:00:00.000000": 3.8839874267578125,</t>
  </si>
  <si>
    <t xml:space="preserve">          "2024-05-20 22:00:00.000000": 3.932871103286743</t>
  </si>
  <si>
    <t xml:space="preserve">          "temperature": 1.4498612322612896,</t>
  </si>
  <si>
    <t xml:space="preserve">          "dew_point_temperature": 0.18668130269847052,</t>
  </si>
  <si>
    <t xml:space="preserve">          "wind_direction-yesterday": 0.06359733715508076,</t>
  </si>
  <si>
    <t xml:space="preserve">          "wind_direction": 0.025976504314408545,</t>
  </si>
  <si>
    <t xml:space="preserve">          "temperature-yesterday": 0.022800750844329688</t>
  </si>
  <si>
    <t xml:space="preserve">          "error_score": 6.262923717498779,</t>
  </si>
  <si>
    <t xml:space="preserve">          "error_score": 4.654093265533447,</t>
  </si>
  <si>
    <t xml:space="preserve">          "error_score": 4.142368316650391,</t>
  </si>
  <si>
    <t xml:space="preserve">          "error_score": 2.5442311763763428,</t>
  </si>
  <si>
    <t xml:space="preserve">          "error_score": 2.478908061981201,</t>
  </si>
  <si>
    <t xml:space="preserve">          "name": "TATLAYOKO LAKE RCS",</t>
  </si>
  <si>
    <t xml:space="preserve">          "terrain": "mountain class 6",</t>
  </si>
  <si>
    <t xml:space="preserve">          "station_id": "CAN01088015",</t>
  </si>
  <si>
    <t xml:space="preserve">          "city": "Hanceville"</t>
  </si>
  <si>
    <t xml:space="preserve">          "2024-06-22 22:00:00.000000": 7.219961166381836,</t>
  </si>
  <si>
    <t xml:space="preserve">          "2024-06-15 22:00:00.000000": 6.827495574951172,</t>
  </si>
  <si>
    <t xml:space="preserve">          "2024-06-08 22:00:00.000000": 6.825579643249512,</t>
  </si>
  <si>
    <t xml:space="preserve">          "2024-06-06 22:00:00.000000": 6.855927467346191,</t>
  </si>
  <si>
    <t xml:space="preserve">          "2024-06-05 22:00:00.000000": 6.941348552703857,</t>
  </si>
  <si>
    <t xml:space="preserve">          "2024-06-02 22:00:00.000000": 6.814198970794678,</t>
  </si>
  <si>
    <t xml:space="preserve">          "2024-06-01 22:00:00.000000": 6.782731056213379,</t>
  </si>
  <si>
    <t xml:space="preserve">          "2024-05-29 22:00:00.000000": 7.0559258460998535,</t>
  </si>
  <si>
    <t xml:space="preserve">          "2024-05-24 22:00:00.000000": 6.743103981018066,</t>
  </si>
  <si>
    <t xml:space="preserve">          "2024-05-20 22:00:00.000000": 6.854272365570068</t>
  </si>
  <si>
    <t xml:space="preserve">          "temperature": 1.0062413736291458,</t>
  </si>
  <si>
    <t xml:space="preserve">          "dew_point_temperature": 0.3091731598547304,</t>
  </si>
  <si>
    <t xml:space="preserve">          "temperature-yesterday": 0.09067205771311684,</t>
  </si>
  <si>
    <t xml:space="preserve">          "wind_speed": 0.0428219356516605,</t>
  </si>
  <si>
    <t xml:space="preserve">          "dew_point_temperature-yesterday": 0.02991900637458491</t>
  </si>
  <si>
    <t xml:space="preserve">        "mountain class 6": {</t>
  </si>
  <si>
    <t xml:space="preserve">          "error_score": 7.421194076538086,</t>
  </si>
  <si>
    <t xml:space="preserve">          "error_score": 7.080540180206299,</t>
  </si>
  <si>
    <t xml:space="preserve">          "error_score": 5.5755295753479,</t>
  </si>
  <si>
    <t xml:space="preserve">          "error_score": 4.643410682678223,</t>
  </si>
  <si>
    <t xml:space="preserve">          "error_score": 3.703026294708252,</t>
  </si>
  <si>
    <t xml:space="preserve">          "name": "FORT NELSON A",</t>
  </si>
  <si>
    <t xml:space="preserve">          "city": "Fort Nelson",</t>
  </si>
  <si>
    <t xml:space="preserve">          "station_id": "CAN01192940"</t>
  </si>
  <si>
    <t xml:space="preserve">          "2024-06-22 22:00:00.000000": 12.319396018981934,</t>
  </si>
  <si>
    <t xml:space="preserve">          "2024-06-15 22:00:00.000000": 11.96117877960205,</t>
  </si>
  <si>
    <t xml:space="preserve">          "2024-06-08 22:00:00.000000": 12.20907211303711,</t>
  </si>
  <si>
    <t xml:space="preserve">          "2024-06-06 22:00:00.000000": 12.485199928283691,</t>
  </si>
  <si>
    <t xml:space="preserve">          "2024-06-05 22:00:00.000000": 12.589950561523438,</t>
  </si>
  <si>
    <t xml:space="preserve">          "2024-06-02 22:00:00.000000": 12.120980262756348,</t>
  </si>
  <si>
    <t xml:space="preserve">          "2024-06-01 22:00:00.000000": 12.494587898254395,</t>
  </si>
  <si>
    <t xml:space="preserve">          "2024-05-29 22:00:00.000000": 11.856760025024414,</t>
  </si>
  <si>
    <t xml:space="preserve">          "2024-05-24 22:00:00.000000": 11.87475299835205,</t>
  </si>
  <si>
    <t xml:space="preserve">          "2024-05-20 22:00:00.000000": 12.004655838012695</t>
  </si>
  <si>
    <t xml:space="preserve">          "temperature": 0.941493620403936,</t>
  </si>
  <si>
    <t xml:space="preserve">          "dew_point_temperature": 0.33436394664210595,</t>
  </si>
  <si>
    <t xml:space="preserve">          "temperature-yesterday": 0.05856105937496572,</t>
  </si>
  <si>
    <t xml:space="preserve">          "wind_direction": 0.04345325242649869,</t>
  </si>
  <si>
    <t xml:space="preserve">          "wind_direction-yesterday": 0.0387096097559797</t>
  </si>
  <si>
    <t xml:space="preserve">          "error_score": 11.847867965698242,</t>
  </si>
  <si>
    <t xml:space="preserve">          "error_score": 10.67520523071289,</t>
  </si>
  <si>
    <t xml:space="preserve">          "error_score": 7.7175068855285645,</t>
  </si>
  <si>
    <t xml:space="preserve">          "error_score": 6.367445945739746,</t>
  </si>
  <si>
    <t xml:space="preserve">          "error_score": 6.045149803161621,</t>
  </si>
  <si>
    <t xml:space="preserve">          "city": "Vanderhoof",</t>
  </si>
  <si>
    <t xml:space="preserve">          "station_id": "CAN01092975",</t>
  </si>
  <si>
    <t xml:space="preserve">          "name": "FORT ST JAMES AUTO"</t>
  </si>
  <si>
    <t xml:space="preserve">          "2024-06-22 22:00:00.000000": 7.134108066558838,</t>
  </si>
  <si>
    <t xml:space="preserve">          "2024-06-15 22:00:00.000000": 6.933497428894043,</t>
  </si>
  <si>
    <t xml:space="preserve">          "2024-06-08 22:00:00.000000": 6.801544666290283,</t>
  </si>
  <si>
    <t xml:space="preserve">          "2024-06-06 22:00:00.000000": 6.896285057067871,</t>
  </si>
  <si>
    <t xml:space="preserve">          "2024-06-05 22:00:00.000000": 7.306535720825195,</t>
  </si>
  <si>
    <t xml:space="preserve">          "2024-06-02 22:00:00.000000": 6.979501247406006,</t>
  </si>
  <si>
    <t xml:space="preserve">          "2024-06-01 22:00:00.000000": 6.9387617111206055,</t>
  </si>
  <si>
    <t xml:space="preserve">          "2024-05-29 22:00:00.000000": 7.104816913604736,</t>
  </si>
  <si>
    <t xml:space="preserve">          "2024-05-24 22:00:00.000000": 7.146176815032959,</t>
  </si>
  <si>
    <t xml:space="preserve">          "2024-05-20 22:00:00.000000": 6.729105472564697</t>
  </si>
  <si>
    <t xml:space="preserve">          "temperature": 0.7132149923167641,</t>
  </si>
  <si>
    <t xml:space="preserve">          "dew_point_temperature": 0.395630605804147,</t>
  </si>
  <si>
    <t xml:space="preserve">          "temperature-yesterday": 0.11117343407281655,</t>
  </si>
  <si>
    <t xml:space="preserve">          "wind_direction": 0.08712531781839047,</t>
  </si>
  <si>
    <t xml:space="preserve">          "wind_speed": 0.07736703472025377</t>
  </si>
  <si>
    <t xml:space="preserve">          "error_score": 7.1902756690979,</t>
  </si>
  <si>
    <t xml:space="preserve">          "outlier_score": "moderate"</t>
  </si>
  <si>
    <t xml:space="preserve">          "error_score": 6.02295446395874,</t>
  </si>
  <si>
    <t xml:space="preserve">          "error_score": 5.818016052246094,</t>
  </si>
  <si>
    <t xml:space="preserve">          "error_score": 5.26093053817749,</t>
  </si>
  <si>
    <t xml:space="preserve">          "error_score": 5.0554046630859375,</t>
  </si>
  <si>
    <t xml:space="preserve">          "station_id": "CAN0112FN0M",</t>
  </si>
  <si>
    <t xml:space="preserve">          "city": "Princeton",</t>
  </si>
  <si>
    <t xml:space="preserve">          "name": "PRINCETON CS"</t>
  </si>
  <si>
    <t xml:space="preserve">          "2024-06-22 22:00:00.000000": 16.25971031188965,</t>
  </si>
  <si>
    <t xml:space="preserve">          "2024-06-15 22:00:00.000000": 15.864903450012207,</t>
  </si>
  <si>
    <t xml:space="preserve">          "2024-06-08 22:00:00.000000": 15.914875030517578,</t>
  </si>
  <si>
    <t xml:space="preserve">          "2024-06-06 22:00:00.000000": 16.372772216796875,</t>
  </si>
  <si>
    <t xml:space="preserve">          "2024-06-05 22:00:00.000000": 16.46277618408203,</t>
  </si>
  <si>
    <t xml:space="preserve">          "2024-06-02 22:00:00.000000": 16.059497833251953,</t>
  </si>
  <si>
    <t xml:space="preserve">          "2024-06-01 22:00:00.000000": 16.138294219970703,</t>
  </si>
  <si>
    <t xml:space="preserve">          "2024-05-29 22:00:00.000000": 15.59241008758545,</t>
  </si>
  <si>
    <t xml:space="preserve">          "2024-05-24 22:00:00.000000": 15.639446258544922,</t>
  </si>
  <si>
    <t xml:space="preserve">          "2024-05-20 22:00:00.000000": 15.790512084960938</t>
  </si>
  <si>
    <t xml:space="preserve">          "temperature": 1.7128747509699356,</t>
  </si>
  <si>
    <t xml:space="preserve">          "temperature-yesterday": 0.08212181024091955,</t>
  </si>
  <si>
    <t xml:space="preserve">          "wind_direction": 0.07977369135293597,</t>
  </si>
  <si>
    <t xml:space="preserve">          "dew_point_temperature": 0.06864187883033683,</t>
  </si>
  <si>
    <t xml:space="preserve">          "wind_speed-yesterday": 0.06381471454992041</t>
  </si>
  <si>
    <t xml:space="preserve">          "error_score": 15.86559772491455,</t>
  </si>
  <si>
    <t xml:space="preserve">          "error_score": 14.386703491210938,</t>
  </si>
  <si>
    <t xml:space="preserve">          "error_score": 13.219539642333984,</t>
  </si>
  <si>
    <t xml:space="preserve">          "error_score": 5.085411548614502,</t>
  </si>
  <si>
    <t xml:space="preserve">          "error_score": 4.944246768951416,</t>
  </si>
  <si>
    <t xml:space="preserve">          "name": "PRINCERUPERT",</t>
  </si>
  <si>
    <t xml:space="preserve">          "station_id": "CAN01066480",</t>
  </si>
  <si>
    <t xml:space="preserve">          "2024-06-22 22:00:00.000000": 11.5521240234375,</t>
  </si>
  <si>
    <t xml:space="preserve">          "2024-06-15 22:00:00.000000": 11.312713623046875,</t>
  </si>
  <si>
    <t xml:space="preserve">          "2024-06-08 22:00:00.000000": 11.33440113067627,</t>
  </si>
  <si>
    <t xml:space="preserve">          "2024-06-06 22:00:00.000000": 11.464193344116211,</t>
  </si>
  <si>
    <t xml:space="preserve">          "2024-06-05 22:00:00.000000": 11.290019989013672,</t>
  </si>
  <si>
    <t xml:space="preserve">          "2024-06-02 22:00:00.000000": 11.178476333618164,</t>
  </si>
  <si>
    <t xml:space="preserve">          "2024-06-01 22:00:00.000000": 11.164146423339844,</t>
  </si>
  <si>
    <t xml:space="preserve">          "2024-05-29 22:00:00.000000": 10.874789237976074,</t>
  </si>
  <si>
    <t xml:space="preserve">          "2024-05-24 22:00:00.000000": 10.795662879943848,</t>
  </si>
  <si>
    <t xml:space="preserve">          "2024-05-20 22:00:00.000000": 10.781033515930176</t>
  </si>
  <si>
    <t xml:space="preserve">          "temperature": 0.723599539446775,</t>
  </si>
  <si>
    <t xml:space="preserve">          "dew_point_temperature": 0.41152101294189825,</t>
  </si>
  <si>
    <t xml:space="preserve">          "wind_speed": 0.12482050780225665,</t>
  </si>
  <si>
    <t xml:space="preserve">          "temperature-yesterday": 0.12124199858240517,</t>
  </si>
  <si>
    <t xml:space="preserve">          "wind_direction": 0.1163880468013763</t>
  </si>
  <si>
    <t xml:space="preserve">          "error_score": 11.881651878356934,</t>
  </si>
  <si>
    <t xml:space="preserve">          "error_score": 11.343719482421875,</t>
  </si>
  <si>
    <t xml:space="preserve">          "error_score": 7.703603744506836,</t>
  </si>
  <si>
    <t xml:space="preserve">          "error_score": 4.133256912231445,</t>
  </si>
  <si>
    <t xml:space="preserve">          "error_score": 3.4515483379364014,</t>
  </si>
  <si>
    <t xml:space="preserve">          "station_id": "CAN01018611",</t>
  </si>
  <si>
    <t xml:space="preserve">          "name": "VICTORIA GONZALES CS",</t>
  </si>
  <si>
    <t xml:space="preserve">          "city": "Victoria",</t>
  </si>
  <si>
    <t xml:space="preserve">          "urbanization": "unknown"</t>
  </si>
  <si>
    <t xml:space="preserve">        "model_performance_trend": "degrading",</t>
  </si>
  <si>
    <t xml:space="preserve">          "2024-06-22 22:00:00.000000": 4.698593616485596,</t>
  </si>
  <si>
    <t xml:space="preserve">          "2024-06-15 22:00:00.000000": 4.550926208496094,</t>
  </si>
  <si>
    <t xml:space="preserve">          "2024-06-08 22:00:00.000000": 4.558849811553955,</t>
  </si>
  <si>
    <t xml:space="preserve">          "2024-06-06 22:00:00.000000": 4.509251594543457,</t>
  </si>
  <si>
    <t xml:space="preserve">          "2024-06-05 22:00:00.000000": 4.4709014892578125,</t>
  </si>
  <si>
    <t xml:space="preserve">          "2024-06-02 22:00:00.000000": 4.687158107757568,</t>
  </si>
  <si>
    <t xml:space="preserve">          "2024-06-01 22:00:00.000000": 4.372832298278809,</t>
  </si>
  <si>
    <t xml:space="preserve">          "2024-05-29 22:00:00.000000": 4.303135871887207,</t>
  </si>
  <si>
    <t xml:space="preserve">          "2024-05-24 22:00:00.000000": 4.071563243865967,</t>
  </si>
  <si>
    <t xml:space="preserve">          "2024-05-20 22:00:00.000000": 4.126553058624268</t>
  </si>
  <si>
    <t xml:space="preserve">          "temperature": 1.1846776323941974,</t>
  </si>
  <si>
    <t xml:space="preserve">          "dew_point_temperature": 0.23348592997985343,</t>
  </si>
  <si>
    <t xml:space="preserve">          "wind_direction-yesterday": 0.21756255740028202,</t>
  </si>
  <si>
    <t xml:space="preserve">          "temperature-yesterday": 0.1822031158260874,</t>
  </si>
  <si>
    <t xml:space="preserve">          "wind_speed": 0.16103024801655197</t>
  </si>
  <si>
    <t xml:space="preserve">        "unknown": {</t>
  </si>
  <si>
    <t xml:space="preserve">          "error_score": 7.842035293579102,</t>
  </si>
  <si>
    <t xml:space="preserve">          "error_score": 7.308663845062256,</t>
  </si>
  <si>
    <t xml:space="preserve">          "error_score": 4.630945682525635,</t>
  </si>
  <si>
    <t xml:space="preserve">          "error_score": 3.307713270187378,</t>
  </si>
  <si>
    <t xml:space="preserve">          "error_score": 2.9872593879699707,</t>
  </si>
  <si>
    <t xml:space="preserve">          "name": "VANCOUVER INTL A",</t>
  </si>
  <si>
    <t xml:space="preserve">          "city": "Richmond",</t>
  </si>
  <si>
    <t xml:space="preserve">          "station_id": "CAN01108395",</t>
  </si>
  <si>
    <t xml:space="preserve">          "2024-06-22 22:00:00.000000": 4.088242053985596,</t>
  </si>
  <si>
    <t xml:space="preserve">          "2024-06-15 22:00:00.000000": 4.080689430236816,</t>
  </si>
  <si>
    <t xml:space="preserve">          "2024-06-08 22:00:00.000000": 4.040284156799316,</t>
  </si>
  <si>
    <t xml:space="preserve">          "2024-06-06 22:00:00.000000": 3.867203950881958,</t>
  </si>
  <si>
    <t xml:space="preserve">          "2024-06-05 22:00:00.000000": 3.9885449409484863,</t>
  </si>
  <si>
    <t xml:space="preserve">          "2024-06-02 22:00:00.000000": 3.8747053146362305,</t>
  </si>
  <si>
    <t xml:space="preserve">          "2024-06-01 22:00:00.000000": 3.999476909637451,</t>
  </si>
  <si>
    <t xml:space="preserve">          "2024-05-29 22:00:00.000000": 3.849839687347412,</t>
  </si>
  <si>
    <t xml:space="preserve">          "2024-05-24 22:00:00.000000": 3.7579705715179443,</t>
  </si>
  <si>
    <t xml:space="preserve">          "2024-05-20 22:00:00.000000": 3.7639732360839844</t>
  </si>
  <si>
    <t xml:space="preserve">          "temperature": 0.9790264615689758,</t>
  </si>
  <si>
    <t xml:space="preserve">          "dew_point_temperature": 0.35074129063580883,</t>
  </si>
  <si>
    <t xml:space="preserve">          "temperature-yesterday": 0.14459232613407363,</t>
  </si>
  <si>
    <t xml:space="preserve">          "wind_direction-yesterday": 0.11844629701399534,</t>
  </si>
  <si>
    <t xml:space="preserve">          "dew_point_temperature-yesterday": 0.07723425083508244</t>
  </si>
  <si>
    <t xml:space="preserve">          "error_score": 7.1623406410217285,</t>
  </si>
  <si>
    <t xml:space="preserve">          "error_score": 5.1085662841796875,</t>
  </si>
  <si>
    <t xml:space="preserve">          "error_score": 4.150149345397949,</t>
  </si>
  <si>
    <t xml:space="preserve">          "error_score": 3.0484626293182373,</t>
  </si>
  <si>
    <t xml:space="preserve">          "error_score": 2.3464035987854004,</t>
  </si>
  <si>
    <t xml:space="preserve">          "station_id": "CAN01163780",</t>
  </si>
  <si>
    <t xml:space="preserve">          "city": "Kamloops",</t>
  </si>
  <si>
    <t xml:space="preserve">          "name": "KAMLOOPS A",</t>
  </si>
  <si>
    <t xml:space="preserve">          "urbanization": "unknown",</t>
  </si>
  <si>
    <t xml:space="preserve">          "terrain": "hill"</t>
  </si>
  <si>
    <t xml:space="preserve">          "2024-06-22 22:00:00.000000": 6.836181640625,</t>
  </si>
  <si>
    <t xml:space="preserve">          "2024-06-15 22:00:00.000000": 6.684093475341797,</t>
  </si>
  <si>
    <t xml:space="preserve">          "2024-06-08 22:00:00.000000": 6.73896598815918,</t>
  </si>
  <si>
    <t xml:space="preserve">          "2024-06-06 22:00:00.000000": 6.866943836212158,</t>
  </si>
  <si>
    <t xml:space="preserve">          "2024-06-05 22:00:00.000000": 6.821262836456299,</t>
  </si>
  <si>
    <t xml:space="preserve">          "2024-06-02 22:00:00.000000": 6.47880744934082,</t>
  </si>
  <si>
    <t xml:space="preserve">          "2024-06-01 22:00:00.000000": 6.51739501953125,</t>
  </si>
  <si>
    <t xml:space="preserve">          "2024-05-29 22:00:00.000000": 6.543747425079346,</t>
  </si>
  <si>
    <t xml:space="preserve">          "2024-05-24 22:00:00.000000": 6.54129695892334,</t>
  </si>
  <si>
    <t xml:space="preserve">          "2024-05-20 22:00:00.000000": 6.388662338256836</t>
  </si>
  <si>
    <t xml:space="preserve">          "temperature": 1.3060208123741985,</t>
  </si>
  <si>
    <t xml:space="preserve">          "dew_point_temperature": 0.2131042112160874,</t>
  </si>
  <si>
    <t xml:space="preserve">          "temperature-yesterday": 0.13710747496476414,</t>
  </si>
  <si>
    <t xml:space="preserve">          "wind_speed-yesterday": 0.0656785886973148,</t>
  </si>
  <si>
    <t xml:space="preserve">          "wind_speed": 0.053947730086792434</t>
  </si>
  <si>
    <t xml:space="preserve">          "error_score": 8.7386474609375,</t>
  </si>
  <si>
    <t xml:space="preserve">        "hill": {</t>
  </si>
  <si>
    <t xml:space="preserve">          "error_score": 6.837023735046387,</t>
  </si>
  <si>
    <t xml:space="preserve">          "error_score": 5.7612810134887695,</t>
  </si>
  <si>
    <t xml:space="preserve">          "error_score": 4.363186836242676,</t>
  </si>
  <si>
    <t xml:space="preserve">          "error_score": 3.9565072059631348,</t>
  </si>
  <si>
    <t xml:space="preserve">          "name": "PRINCE GEORGE MASSEY AUTO",</t>
  </si>
  <si>
    <t xml:space="preserve">          "city": "Prince George",</t>
  </si>
  <si>
    <t xml:space="preserve">          "station_id": "CAN01096454",</t>
  </si>
  <si>
    <t xml:space="preserve">          "2024-06-22 22:00:00.000000": 7.978286266326904,</t>
  </si>
  <si>
    <t xml:space="preserve">          "2024-06-15 22:00:00.000000": 7.365748405456543,</t>
  </si>
  <si>
    <t xml:space="preserve">          "2024-06-08 22:00:00.000000": 7.629161834716797,</t>
  </si>
  <si>
    <t xml:space="preserve">          "2024-06-06 22:00:00.000000": 7.797410011291504,</t>
  </si>
  <si>
    <t xml:space="preserve">          "2024-06-05 22:00:00.000000": 7.869163990020752,</t>
  </si>
  <si>
    <t xml:space="preserve">          "2024-06-02 22:00:00.000000": 7.647083759307861,</t>
  </si>
  <si>
    <t xml:space="preserve">          "2024-06-01 22:00:00.000000": 7.832217693328857,</t>
  </si>
  <si>
    <t xml:space="preserve">          "2024-05-29 22:00:00.000000": 7.324201583862305,</t>
  </si>
  <si>
    <t xml:space="preserve">          "2024-05-24 22:00:00.000000": 7.498905181884766,</t>
  </si>
  <si>
    <t xml:space="preserve">          "2024-05-20 22:00:00.000000": 7.434793472290039</t>
  </si>
  <si>
    <t xml:space="preserve">          "temperature": 1.3025344700000072,</t>
  </si>
  <si>
    <t xml:space="preserve">          "dew_point_temperature": 0.13926501348342965,</t>
  </si>
  <si>
    <t xml:space="preserve">          "temperature-yesterday": 0.10923247321169376,</t>
  </si>
  <si>
    <t xml:space="preserve">          "wind_speed": 0.05304086156484409,</t>
  </si>
  <si>
    <t xml:space="preserve">          "wind_speed-yesterday": 0.03250499480014426</t>
  </si>
  <si>
    <t xml:space="preserve">          "error_score": 11.200008392333984,</t>
  </si>
  <si>
    <t xml:space="preserve">          "error_score": 7.3917436599731445,</t>
  </si>
  <si>
    <t xml:space="preserve">          "error_score": 5.58986759185791,</t>
  </si>
  <si>
    <t xml:space="preserve">          "error_score": 4.839959621429443,</t>
  </si>
  <si>
    <t xml:space="preserve">          "error_score": 3.874964952468872,</t>
  </si>
  <si>
    <t xml:space="preserve">          "name": "HOLLAND ROCK",</t>
  </si>
  <si>
    <t xml:space="preserve">          "city": "Prince Rupert",</t>
  </si>
  <si>
    <t xml:space="preserve">          "station_id": "CAN01063496"</t>
  </si>
  <si>
    <t xml:space="preserve">          "2024-06-22 22:00:00.000000": 6.6157917976379395,</t>
  </si>
  <si>
    <t xml:space="preserve">          "2024-06-15 22:00:00.000000": 6.314226150512695,</t>
  </si>
  <si>
    <t xml:space="preserve">          "2024-06-08 22:00:00.000000": 6.240787029266357,</t>
  </si>
  <si>
    <t xml:space="preserve">          "2024-06-06 22:00:00.000000": 6.180390357971191,</t>
  </si>
  <si>
    <t xml:space="preserve">          "2024-06-05 22:00:00.000000": 6.192930698394775,</t>
  </si>
  <si>
    <t xml:space="preserve">          "2024-06-02 22:00:00.000000": 6.336165904998779,</t>
  </si>
  <si>
    <t xml:space="preserve">          "2024-06-01 22:00:00.000000": 6.264429569244385,</t>
  </si>
  <si>
    <t xml:space="preserve">          "2024-05-29 22:00:00.000000": 6.1135993003845215,</t>
  </si>
  <si>
    <t xml:space="preserve">          "2024-05-24 22:00:00.000000": 5.943002700805664,</t>
  </si>
  <si>
    <t xml:space="preserve">          "2024-05-20 22:00:00.000000": 5.740586757659912</t>
  </si>
  <si>
    <t xml:space="preserve">          "temperature": 1.5279060928039598,</t>
  </si>
  <si>
    <t xml:space="preserve">          "dew_point_temperature": 0.1891447330277584,</t>
  </si>
  <si>
    <t xml:space="preserve">          "dew_point_temperature-yesterday": 0.14044325496293353,</t>
  </si>
  <si>
    <t xml:space="preserve">          "wind_speed-yesterday": 0.1127186494324709,</t>
  </si>
  <si>
    <t xml:space="preserve">          "temperature-yesterday": 0.09656480825099152</t>
  </si>
  <si>
    <t xml:space="preserve">          "error_score": 6.793176174163818,</t>
  </si>
  <si>
    <t xml:space="preserve">          "error_score": 6.260833740234375,</t>
  </si>
  <si>
    <t xml:space="preserve">          "error_score": 5.6349663734436035,</t>
  </si>
  <si>
    <t xml:space="preserve">          "error_score": 4.118410587310791,</t>
  </si>
  <si>
    <t xml:space="preserve">          "error_score": 3.001392364501953,</t>
  </si>
  <si>
    <t xml:space="preserve">          "station_id": "CAN01161663",</t>
  </si>
  <si>
    <t xml:space="preserve">          "city": "Clinton",</t>
  </si>
  <si>
    <t xml:space="preserve">          "name": "CLINTON RCS"</t>
  </si>
  <si>
    <t xml:space="preserve">          "2024-06-22 22:00:00.000000": 6.829425811767578,</t>
  </si>
  <si>
    <t xml:space="preserve">          "2024-06-15 22:00:00.000000": 6.606952667236328,</t>
  </si>
  <si>
    <t xml:space="preserve">          "2024-06-08 22:00:00.000000": 6.434950351715088,</t>
  </si>
  <si>
    <t xml:space="preserve">          "2024-06-06 22:00:00.000000": 6.6108927726745605,</t>
  </si>
  <si>
    <t xml:space="preserve">          "2024-06-05 22:00:00.000000": 6.448009490966797,</t>
  </si>
  <si>
    <t xml:space="preserve">          "2024-06-02 22:00:00.000000": 6.299206256866455,</t>
  </si>
  <si>
    <t xml:space="preserve">          "2024-06-01 22:00:00.000000": 6.474411487579346,</t>
  </si>
  <si>
    <t xml:space="preserve">          "2024-05-29 22:00:00.000000": 6.128850936889648,</t>
  </si>
  <si>
    <t xml:space="preserve">          "2024-05-24 22:00:00.000000": 6.194137096405029,</t>
  </si>
  <si>
    <t xml:space="preserve">          "2024-05-20 22:00:00.000000": 6.1582746505737305</t>
  </si>
  <si>
    <t xml:space="preserve">          "temperature": 1.2213710914635914,</t>
  </si>
  <si>
    <t xml:space="preserve">          "dew_point_temperature": 0.24963155273213208,</t>
  </si>
  <si>
    <t xml:space="preserve">          "temperature-yesterday": 0.2082921579409173,</t>
  </si>
  <si>
    <t xml:space="preserve">          "wind_direction": 0.11720137515270748,</t>
  </si>
  <si>
    <t xml:space="preserve">          "wind_speed": 0.06723124038459016</t>
  </si>
  <si>
    <t xml:space="preserve">          "error_score": 7.015851974487305,</t>
  </si>
  <si>
    <t xml:space="preserve">          "error_score": 6.565593719482422,</t>
  </si>
  <si>
    <t xml:space="preserve">          "error_score": 5.136216163635254,</t>
  </si>
  <si>
    <t xml:space="preserve">          "error_score": 4.909173965454102,</t>
  </si>
  <si>
    <t xml:space="preserve">          "error_score": 4.868470191955566,</t>
  </si>
  <si>
    <t xml:space="preserve">          "station_id": "CAN01152102",</t>
  </si>
  <si>
    <t xml:space="preserve">          "name": "CRANBROOKA",</t>
  </si>
  <si>
    <t xml:space="preserve">          "city": "Cranbrook"</t>
  </si>
  <si>
    <t xml:space="preserve">          "2024-06-22 22:00:00.000000": 8.524276733398438,</t>
  </si>
  <si>
    <t xml:space="preserve">          "2024-06-15 22:00:00.000000": 8.335968017578125,</t>
  </si>
  <si>
    <t xml:space="preserve">          "2024-06-08 22:00:00.000000": 8.259686470031738,</t>
  </si>
  <si>
    <t xml:space="preserve">          "2024-06-06 22:00:00.000000": 8.295048713684082,</t>
  </si>
  <si>
    <t xml:space="preserve">          "2024-06-05 22:00:00.000000": 8.286579132080078,</t>
  </si>
  <si>
    <t xml:space="preserve">          "2024-06-02 22:00:00.000000": 7.93393087387085,</t>
  </si>
  <si>
    <t xml:space="preserve">          "2024-06-01 22:00:00.000000": 8.035394668579102,</t>
  </si>
  <si>
    <t xml:space="preserve">          "2024-05-29 22:00:00.000000": 7.964566230773926,</t>
  </si>
  <si>
    <t xml:space="preserve">          "2024-05-24 22:00:00.000000": 7.864699840545654,</t>
  </si>
  <si>
    <t xml:space="preserve">          "2024-05-20 22:00:00.000000": 7.661127090454102</t>
  </si>
  <si>
    <t xml:space="preserve">          "temperature": 1.4129965275825351,</t>
  </si>
  <si>
    <t xml:space="preserve">          "dew_point_temperature": 0.24950977449070688,</t>
  </si>
  <si>
    <t xml:space="preserve">          "temperature-yesterday": 0.07832344038677944,</t>
  </si>
  <si>
    <t xml:space="preserve">          "wind_direction": 0.0697222117282135,</t>
  </si>
  <si>
    <t xml:space="preserve">          "dew_point_temperature-yesterday": 0.06067974735132538</t>
  </si>
  <si>
    <t xml:space="preserve">          "error_score": 9.00262451171875,</t>
  </si>
  <si>
    <t xml:space="preserve">          "error_score": 8.607813835144043,</t>
  </si>
  <si>
    <t xml:space="preserve">          "error_score": 3.71433162689209,</t>
  </si>
  <si>
    <t xml:space="preserve">          "error_score": 3.642458915710449,</t>
  </si>
  <si>
    <t xml:space="preserve">          "error_score": 3.0909883975982666,</t>
  </si>
  <si>
    <t xml:space="preserve">          "station_id": "CAI0000CZZP",</t>
  </si>
  <si>
    <t xml:space="preserve">          "name": "SANDSPIT 'A' (AUTO)",</t>
  </si>
  <si>
    <t xml:space="preserve">        "model_version_performance_trend": "improving",</t>
  </si>
  <si>
    <t xml:space="preserve">          "2024-06-22 22:00:00.000000": 6.974611759185791,</t>
  </si>
  <si>
    <t xml:space="preserve">          "2024-06-15 22:00:00.000000": 6.752176761627197,</t>
  </si>
  <si>
    <t xml:space="preserve">          "2024-06-08 22:00:00.000000": 6.76521635055542,</t>
  </si>
  <si>
    <t xml:space="preserve">          "2024-06-06 22:00:00.000000": 6.81058931350708,</t>
  </si>
  <si>
    <t xml:space="preserve">          "2024-06-05 22:00:00.000000": 6.746318817138672,</t>
  </si>
  <si>
    <t xml:space="preserve">          "2024-06-02 22:00:00.000000": 6.674563407897949,</t>
  </si>
  <si>
    <t xml:space="preserve">          "2024-06-01 22:00:00.000000": 6.572289943695068,</t>
  </si>
  <si>
    <t xml:space="preserve">          "2024-05-29 22:00:00.000000": 6.262792587280273,</t>
  </si>
  <si>
    <t xml:space="preserve">          "2024-05-24 22:00:00.000000": 6.309812068939209,</t>
  </si>
  <si>
    <t xml:space="preserve">          "2024-05-20 22:00:00.000000": 6.295552730560303</t>
  </si>
  <si>
    <t xml:space="preserve">          "temperature": 0.8149142161202866,</t>
  </si>
  <si>
    <t xml:space="preserve">          "dew_point_temperature": 0.5206821523684921,</t>
  </si>
  <si>
    <t xml:space="preserve">          "temperature-yesterday": 0.11101698923412347,</t>
  </si>
  <si>
    <t xml:space="preserve">          "dew_point_temperature-yesterday": 0.10098370772298919,</t>
  </si>
  <si>
    <t xml:space="preserve">          "wind_direction": 0.0753215632138162</t>
  </si>
  <si>
    <t xml:space="preserve">          "error_score": 7.273996353149414,</t>
  </si>
  <si>
    <t xml:space="preserve">          "error_score": 6.735128402709961,</t>
  </si>
  <si>
    <t xml:space="preserve">          "error_score": 5.864283561706543,</t>
  </si>
  <si>
    <t xml:space="preserve">          "error_score": 3.996161937713623,</t>
  </si>
  <si>
    <t xml:space="preserve">          "error_score": 2.955700635910034,</t>
  </si>
  <si>
    <t xml:space="preserve">          "city": "Sooke",</t>
  </si>
  <si>
    <t xml:space="preserve">          "station_id": "CAN01017254",</t>
  </si>
  <si>
    <t xml:space="preserve">          "name": "SHERINGHAM POINT",</t>
  </si>
  <si>
    <t xml:space="preserve">          "urbanization": "town"</t>
  </si>
  <si>
    <t xml:space="preserve">          "2024-06-22 22:00:00.000000": 4.05355978012085,</t>
  </si>
  <si>
    <t xml:space="preserve">          "2024-06-15 22:00:00.000000": 3.9480574131011963,</t>
  </si>
  <si>
    <t xml:space="preserve">          "2024-06-08 22:00:00.000000": 3.881535053253174,</t>
  </si>
  <si>
    <t xml:space="preserve">          "2024-06-06 22:00:00.000000": 3.8473961353302,</t>
  </si>
  <si>
    <t xml:space="preserve">          "2024-06-05 22:00:00.000000": 3.8318865299224854,</t>
  </si>
  <si>
    <t xml:space="preserve">          "2024-06-02 22:00:00.000000": 3.700458288192749,</t>
  </si>
  <si>
    <t xml:space="preserve">          "2024-06-01 22:00:00.000000": 3.855581045150757,</t>
  </si>
  <si>
    <t xml:space="preserve">          "2024-05-29 22:00:00.000000": 3.6823527812957764,</t>
  </si>
  <si>
    <t xml:space="preserve">          "2024-05-24 22:00:00.000000": 3.6237096786499023,</t>
  </si>
  <si>
    <t xml:space="preserve">          "2024-05-20 22:00:00.000000": 3.5024404525756836</t>
  </si>
  <si>
    <t xml:space="preserve">          "temperature": 1.0342409745998082,</t>
  </si>
  <si>
    <t xml:space="preserve">          "wind_speed": 0.24724818634221063,</t>
  </si>
  <si>
    <t xml:space="preserve">          "dew_point_temperature": 0.2311483345245448,</t>
  </si>
  <si>
    <t xml:space="preserve">          "temperature-yesterday": 0.2293459295697542,</t>
  </si>
  <si>
    <t xml:space="preserve">          "dew_point_temperature-yesterday": 0.14234248039698294</t>
  </si>
  <si>
    <t xml:space="preserve">          "error_score": 7.637725353240967,</t>
  </si>
  <si>
    <t xml:space="preserve">          "error_score": 4.311974048614502,</t>
  </si>
  <si>
    <t xml:space="preserve">          "error_score": 3.8023033142089844,</t>
  </si>
  <si>
    <t xml:space="preserve">          "error_score": 3.283073663711548,</t>
  </si>
  <si>
    <t xml:space="preserve">          "error_score": 2.6706418991088867,</t>
  </si>
  <si>
    <t xml:space="preserve">          "city": "Gibsons",</t>
  </si>
  <si>
    <t xml:space="preserve">          "name": "PORT MELLON",</t>
  </si>
  <si>
    <t xml:space="preserve">          "station_id": "CAN01046332"</t>
  </si>
  <si>
    <t xml:space="preserve">          "2024-06-22 22:00:00.000000": 8.267807960510254,</t>
  </si>
  <si>
    <t xml:space="preserve">          "2024-06-15 22:00:00.000000": 7.969813823699951,</t>
  </si>
  <si>
    <t xml:space="preserve">          "2024-06-08 22:00:00.000000": 8.02304458618164,</t>
  </si>
  <si>
    <t xml:space="preserve">          "2024-06-06 22:00:00.000000": 8.078141212463379,</t>
  </si>
  <si>
    <t xml:space="preserve">          "2024-06-05 22:00:00.000000": 7.871931076049805,</t>
  </si>
  <si>
    <t xml:space="preserve">          "2024-06-02 22:00:00.000000": 8.085674285888672,</t>
  </si>
  <si>
    <t xml:space="preserve">          "2024-06-01 22:00:00.000000": 8.024585723876953,</t>
  </si>
  <si>
    <t xml:space="preserve">          "2024-05-29 22:00:00.000000": 7.689225196838379,</t>
  </si>
  <si>
    <t xml:space="preserve">          "2024-05-24 22:00:00.000000": 7.619020462036133,</t>
  </si>
  <si>
    <t xml:space="preserve">          "2024-05-20 22:00:00.000000": 7.638129234313965</t>
  </si>
  <si>
    <t xml:space="preserve">          "temperature": 1.2825281316474761,</t>
  </si>
  <si>
    <t xml:space="preserve">          "temperature-yesterday": 0.35768358535531397,</t>
  </si>
  <si>
    <t xml:space="preserve">          "wind_direction-yesterday": 0.21500053861735155,</t>
  </si>
  <si>
    <t xml:space="preserve">          "wind_direction": 0.14882428593139402,</t>
  </si>
  <si>
    <t xml:space="preserve">          "wind_speed-yesterday": 0.12985823170473637</t>
  </si>
  <si>
    <t xml:space="preserve">          "error_score": 8.5977201461792,</t>
  </si>
  <si>
    <t xml:space="preserve">          "error_score": 8.044108390808105,</t>
  </si>
  <si>
    <t xml:space="preserve">          "error_score": 6.976393222808838,</t>
  </si>
  <si>
    <t xml:space="preserve">          "error_score": 5.49159049987793,</t>
  </si>
  <si>
    <t xml:space="preserve">          "error_score": 4.226737022399902,</t>
  </si>
  <si>
    <t xml:space="preserve">          "city": "Port McNeill",</t>
  </si>
  <si>
    <t xml:space="preserve">          "station_id": "CAN01063461",</t>
  </si>
  <si>
    <t xml:space="preserve">          "name": "HERBERT ISLAND (AUT)"</t>
  </si>
  <si>
    <t xml:space="preserve">          "2024-06-22 22:00:00.000000": 6.3471245765686035,</t>
  </si>
  <si>
    <t xml:space="preserve">          "2024-06-15 22:00:00.000000": 5.934795379638672,</t>
  </si>
  <si>
    <t xml:space="preserve">          "2024-06-08 22:00:00.000000": 6.039126873016357,</t>
  </si>
  <si>
    <t xml:space="preserve">          "2024-06-06 22:00:00.000000": 6.035187244415283,</t>
  </si>
  <si>
    <t xml:space="preserve">          "2024-06-05 22:00:00.000000": 5.994297504425049,</t>
  </si>
  <si>
    <t xml:space="preserve">          "2024-06-02 22:00:00.000000": 6.014862537384033,</t>
  </si>
  <si>
    <t xml:space="preserve">          "2024-06-01 22:00:00.000000": 5.87825870513916,</t>
  </si>
  <si>
    <t xml:space="preserve">          "2024-05-29 22:00:00.000000": 5.587750434875488,</t>
  </si>
  <si>
    <t xml:space="preserve">          "2024-05-24 22:00:00.000000": 5.501338958740234,</t>
  </si>
  <si>
    <t xml:space="preserve">          "2024-05-20 22:00:00.000000": 5.547723293304443</t>
  </si>
  <si>
    <t xml:space="preserve">          "temperature": 1.5414065514081303,</t>
  </si>
  <si>
    <t xml:space="preserve">          "dew_point_temperature": 0.26394150449482845,</t>
  </si>
  <si>
    <t xml:space="preserve">          "dew_point_temperature-yesterday": 0.25070610985915365,</t>
  </si>
  <si>
    <t xml:space="preserve">          "wind_direction-yesterday": 0.20141590612399005,</t>
  </si>
  <si>
    <t xml:space="preserve">          "wind_speed": 0.1659295831653087</t>
  </si>
  <si>
    <t xml:space="preserve">          "error_score": 7.608466625213623,</t>
  </si>
  <si>
    <t xml:space="preserve">          "error_score": 6.008110523223877,</t>
  </si>
  <si>
    <t xml:space="preserve">          "error_score": 4.471106052398682,</t>
  </si>
  <si>
    <t xml:space="preserve">          "error_score": 3.7392735481262207,</t>
  </si>
  <si>
    <t xml:space="preserve">          "error_score": 3.2732696533203125,</t>
  </si>
  <si>
    <t xml:space="preserve">          "city": "West Vancouver",</t>
  </si>
  <si>
    <t xml:space="preserve">          "name": "WEST VANCOUVER AUT",</t>
  </si>
  <si>
    <t xml:space="preserve">          "station_id": "CAN01108824"</t>
  </si>
  <si>
    <t xml:space="preserve">          "2024-06-22 22:00:00.000000": 8.721275329589844,</t>
  </si>
  <si>
    <t xml:space="preserve">          "2024-06-15 22:00:00.000000": 8.759758949279785,</t>
  </si>
  <si>
    <t xml:space="preserve">          "2024-06-08 22:00:00.000000": 8.794914245605469,</t>
  </si>
  <si>
    <t xml:space="preserve">          "2024-06-06 22:00:00.000000": 9.155793190002441,</t>
  </si>
  <si>
    <t xml:space="preserve">          "2024-06-05 22:00:00.000000": 8.928513526916504,</t>
  </si>
  <si>
    <t xml:space="preserve">          "2024-06-02 22:00:00.000000": 9.089764595031738,</t>
  </si>
  <si>
    <t xml:space="preserve">          "2024-06-01 22:00:00.000000": 8.794885635375977,</t>
  </si>
  <si>
    <t xml:space="preserve">          "2024-05-29 22:00:00.000000": 8.749771118164062,</t>
  </si>
  <si>
    <t xml:space="preserve">          "2024-05-24 22:00:00.000000": 9.076345443725586,</t>
  </si>
  <si>
    <t xml:space="preserve">          "2024-05-20 22:00:00.000000": 9.201119422912598</t>
  </si>
  <si>
    <t xml:space="preserve">          "temperature": 1.2655582215486674,</t>
  </si>
  <si>
    <t xml:space="preserve">          "dew_point_temperature": 0.28627797891895984,</t>
  </si>
  <si>
    <t xml:space="preserve">          "wind_speed": 0.15229258377372643,</t>
  </si>
  <si>
    <t xml:space="preserve">          "temperature-yesterday": 0.1458037827808907,</t>
  </si>
  <si>
    <t xml:space="preserve">          "wind_direction-yesterday": 0.08122393246425304</t>
  </si>
  <si>
    <t xml:space="preserve">          "error_score": 9.505422592163086,</t>
  </si>
  <si>
    <t xml:space="preserve">          "error_score": 9.015157699584961,</t>
  </si>
  <si>
    <t xml:space="preserve">          "error_score": 8.893296241760254,</t>
  </si>
  <si>
    <t xml:space="preserve">          "error_score": 8.836688041687012,</t>
  </si>
  <si>
    <t xml:space="preserve">          "error_score": 5.096479415893555,</t>
  </si>
  <si>
    <t xml:space="preserve">          "city": "Castlegar",</t>
  </si>
  <si>
    <t xml:space="preserve">          "name": "CASTLEGARA",</t>
  </si>
  <si>
    <t xml:space="preserve">          "terrain": "hill",</t>
  </si>
  <si>
    <t xml:space="preserve">          "station_id": "CAN01141455"</t>
  </si>
  <si>
    <t xml:space="preserve">          "2024-06-22 22:00:00.000000": 7.628965854644775,</t>
  </si>
  <si>
    <t xml:space="preserve">          "2024-06-15 22:00:00.000000": 7.868143558502197,</t>
  </si>
  <si>
    <t xml:space="preserve">          "2024-06-08 22:00:00.000000": 7.7761945724487305,</t>
  </si>
  <si>
    <t xml:space="preserve">          "2024-06-06 22:00:00.000000": 7.872653007507324,</t>
  </si>
  <si>
    <t xml:space="preserve">          "2024-06-05 22:00:00.000000": 7.827754974365234,</t>
  </si>
  <si>
    <t xml:space="preserve">          "2024-06-02 22:00:00.000000": 7.659275054931641,</t>
  </si>
  <si>
    <t xml:space="preserve">          "2024-06-01 22:00:00.000000": 7.870965957641602,</t>
  </si>
  <si>
    <t xml:space="preserve">          "2024-05-29 22:00:00.000000": 7.87729549407959,</t>
  </si>
  <si>
    <t xml:space="preserve">          "2024-05-24 22:00:00.000000": 7.888561248779297,</t>
  </si>
  <si>
    <t xml:space="preserve">          "2024-05-20 22:00:00.000000": 8.120636940002441</t>
  </si>
  <si>
    <t xml:space="preserve">          "temperature": 1.635081281858118,</t>
  </si>
  <si>
    <t xml:space="preserve">          "temperature-yesterday": 0.30664342390681426,</t>
  </si>
  <si>
    <t xml:space="preserve">          "dew_point_temperature": 0.08258964591056342,</t>
  </si>
  <si>
    <t xml:space="preserve">          "wind_direction-yesterday": 0.06559752791947415,</t>
  </si>
  <si>
    <t xml:space="preserve">          "wind_speed-yesterday": 0.05407595710550499</t>
  </si>
  <si>
    <t xml:space="preserve">          "error_score": 8.032958984375,</t>
  </si>
  <si>
    <t xml:space="preserve">          "error_score": 7.686666965484619,</t>
  </si>
  <si>
    <t xml:space="preserve">          "error_score": 7.607208728790283,</t>
  </si>
  <si>
    <t xml:space="preserve">          "error_score": 6.3138628005981445,</t>
  </si>
  <si>
    <t xml:space="preserve">          "error_score": 6.279341697692871,</t>
  </si>
  <si>
    <t xml:space="preserve">          "name": "PITT MEADOWS CS",</t>
  </si>
  <si>
    <t xml:space="preserve">          "city": "Pitt Meadows",</t>
  </si>
  <si>
    <t xml:space="preserve">          "station_id": "CAN01106178"</t>
  </si>
  <si>
    <t xml:space="preserve">          "2024-06-22 22:00:00.000000": 5.356052875518799,</t>
  </si>
  <si>
    <t xml:space="preserve">          "2024-06-15 22:00:00.000000": 5.260157108306885,</t>
  </si>
  <si>
    <t xml:space="preserve">          "2024-06-08 22:00:00.000000": 4.966495037078857,</t>
  </si>
  <si>
    <t xml:space="preserve">          "2024-06-06 22:00:00.000000": 5.167092323303223,</t>
  </si>
  <si>
    <t xml:space="preserve">          "2024-06-05 22:00:00.000000": 5.082560062408447,</t>
  </si>
  <si>
    <t xml:space="preserve">          "2024-06-02 22:00:00.000000": 4.862610340118408,</t>
  </si>
  <si>
    <t xml:space="preserve">          "2024-06-01 22:00:00.000000": 5.240855693817139,</t>
  </si>
  <si>
    <t xml:space="preserve">          "2024-05-29 22:00:00.000000": 5.117672920227051,</t>
  </si>
  <si>
    <t xml:space="preserve">          "2024-05-24 22:00:00.000000": 5.423424243927002,</t>
  </si>
  <si>
    <t xml:space="preserve">          "2024-05-20 22:00:00.000000": 5.047818660736084</t>
  </si>
  <si>
    <t xml:space="preserve">          "temperature": 1.1983369012874558,</t>
  </si>
  <si>
    <t xml:space="preserve">          "temperature-yesterday": 0.21553831839497012,</t>
  </si>
  <si>
    <t xml:space="preserve">          "dew_point_temperature": 0.21408234336193485,</t>
  </si>
  <si>
    <t xml:space="preserve">          "dew_point_temperature-yesterday": 0.06289552003506398,</t>
  </si>
  <si>
    <t xml:space="preserve">          "wind_direction": 0.060737056218766614</t>
  </si>
  <si>
    <t xml:space="preserve">          "error_score": 5.870564937591553,</t>
  </si>
  <si>
    <t xml:space="preserve">          "error_score": 5.674404144287109,</t>
  </si>
  <si>
    <t xml:space="preserve">          "error_score": 5.055809020996094,</t>
  </si>
  <si>
    <t xml:space="preserve">          "error_score": 4.828343868255615,</t>
  </si>
  <si>
    <t xml:space="preserve">          "error_score": 3.639991283416748,</t>
  </si>
  <si>
    <t xml:space="preserve">          "city": "Barri\u00e8re",</t>
  </si>
  <si>
    <t xml:space="preserve">          "station_id": "CAN01160H99",</t>
  </si>
  <si>
    <t xml:space="preserve">          "name": "BLUE RIVER CS"</t>
  </si>
  <si>
    <t xml:space="preserve">          "2024-06-22 22:00:00.000000": 13.343344688415527,</t>
  </si>
  <si>
    <t xml:space="preserve">          "2024-06-15 22:00:00.000000": 12.836795806884766,</t>
  </si>
  <si>
    <t xml:space="preserve">          "2024-06-08 22:00:00.000000": 12.858102798461914,</t>
  </si>
  <si>
    <t xml:space="preserve">          "2024-06-06 22:00:00.000000": 13.243435859680176,</t>
  </si>
  <si>
    <t xml:space="preserve">          "2024-06-05 22:00:00.000000": 12.852130889892578,</t>
  </si>
  <si>
    <t xml:space="preserve">          "2024-06-02 22:00:00.000000": 12.95813274383545,</t>
  </si>
  <si>
    <t xml:space="preserve">          "2024-06-01 22:00:00.000000": 13.064682006835938,</t>
  </si>
  <si>
    <t xml:space="preserve">          "2024-05-29 22:00:00.000000": 12.699113845825195,</t>
  </si>
  <si>
    <t xml:space="preserve">          "2024-05-24 22:00:00.000000": 12.860079765319824,</t>
  </si>
  <si>
    <t xml:space="preserve">          "2024-05-20 22:00:00.000000": 12.665550231933594</t>
  </si>
  <si>
    <t xml:space="preserve">          "temperature": 1.4580153492665424,</t>
  </si>
  <si>
    <t xml:space="preserve">          "dew_point_temperature": 0.19857923392658117,</t>
  </si>
  <si>
    <t xml:space="preserve">          "temperature-yesterday": 0.1527011637126786,</t>
  </si>
  <si>
    <t xml:space="preserve">          "wind_direction": 0.10078887375763981,</t>
  </si>
  <si>
    <t xml:space="preserve">          "wind_direction-yesterday": 0.09812902678956914</t>
  </si>
  <si>
    <t xml:space="preserve">          "error_score": 12.792620658874512,</t>
  </si>
  <si>
    <t xml:space="preserve">          "error_score": 11.134737968444824,</t>
  </si>
  <si>
    <t xml:space="preserve">          "error_score": 10.083806037902832,</t>
  </si>
  <si>
    <t xml:space="preserve">          "error_score": 4.993076324462891,</t>
  </si>
  <si>
    <t xml:space="preserve">          "error_score": 4.638302803039551,</t>
  </si>
  <si>
    <t xml:space="preserve">          "station_id": "CAN01057051",</t>
  </si>
  <si>
    <t xml:space="preserve">          "name": "SANDSPIT AIRPORT AUTO"</t>
  </si>
  <si>
    <t xml:space="preserve">          "2024-06-22 22:00:00.000000": 5.743302345275879,</t>
  </si>
  <si>
    <t xml:space="preserve">          "2024-06-15 22:00:00.000000": 5.486362934112549,</t>
  </si>
  <si>
    <t xml:space="preserve">          "2024-06-08 22:00:00.000000": 5.470677375793457,</t>
  </si>
  <si>
    <t xml:space="preserve">          "2024-06-06 22:00:00.000000": 5.3970046043396,</t>
  </si>
  <si>
    <t xml:space="preserve">          "2024-06-05 22:00:00.000000": 5.445693492889404,</t>
  </si>
  <si>
    <t xml:space="preserve">          "2024-06-02 22:00:00.000000": 5.383453845977783,</t>
  </si>
  <si>
    <t xml:space="preserve">          "2024-06-01 22:00:00.000000": 5.383912563323975,</t>
  </si>
  <si>
    <t xml:space="preserve">          "2024-05-29 22:00:00.000000": 5.10211181640625,</t>
  </si>
  <si>
    <t xml:space="preserve">          "2024-05-24 22:00:00.000000": 5.130239009857178,</t>
  </si>
  <si>
    <t xml:space="preserve">          "2024-05-20 22:00:00.000000": 5.035090446472168</t>
  </si>
  <si>
    <t xml:space="preserve">          "temperature": 0.7348727656142258,</t>
  </si>
  <si>
    <t xml:space="preserve">          "dew_point_temperature": 0.5260740052144628,</t>
  </si>
  <si>
    <t xml:space="preserve">          "temperature-yesterday": 0.11037261424854546,</t>
  </si>
  <si>
    <t xml:space="preserve">          "wind_speed": 0.09562267304651786,</t>
  </si>
  <si>
    <t xml:space="preserve">          "wind_speed-yesterday": 0.08403380147719539</t>
  </si>
  <si>
    <t xml:space="preserve">          "error_score": 5.9054036140441895,</t>
  </si>
  <si>
    <t xml:space="preserve">          "error_score": 5.606628894805908,</t>
  </si>
  <si>
    <t xml:space="preserve">          "error_score": 5.43245792388916,</t>
  </si>
  <si>
    <t xml:space="preserve">          "error_score": 3.257852792739868,</t>
  </si>
  <si>
    <t xml:space="preserve">          "error_score": 2.3959856033325195,</t>
  </si>
  <si>
    <t xml:space="preserve">          "name": "BLUE RIVER A",</t>
  </si>
  <si>
    <t xml:space="preserve">          "station_id": "CAN01160899"</t>
  </si>
  <si>
    <t xml:space="preserve">          "2024-06-22 22:00:00.000000": 7.443883419036865,</t>
  </si>
  <si>
    <t xml:space="preserve">          "2024-06-15 22:00:00.000000": 7.306086540222168,</t>
  </si>
  <si>
    <t xml:space="preserve">          "2024-06-08 22:00:00.000000": 7.287537097930908,</t>
  </si>
  <si>
    <t xml:space="preserve">          "2024-06-06 22:00:00.000000": 7.210228443145752,</t>
  </si>
  <si>
    <t xml:space="preserve">          "2024-06-05 22:00:00.000000": 7.123213768005371,</t>
  </si>
  <si>
    <t xml:space="preserve">          "2024-06-02 22:00:00.000000": 7.1122517585754395,</t>
  </si>
  <si>
    <t xml:space="preserve">          "2024-06-01 22:00:00.000000": 6.970341682434082,</t>
  </si>
  <si>
    <t xml:space="preserve">          "2024-05-29 22:00:00.000000": 6.945927143096924,</t>
  </si>
  <si>
    <t xml:space="preserve">          "2024-05-24 22:00:00.000000": 7.06458044052124,</t>
  </si>
  <si>
    <t xml:space="preserve">          "2024-05-20 22:00:00.000000": 6.820446968078613</t>
  </si>
  <si>
    <t xml:space="preserve">          "temperature": 1.8716484413757857,</t>
  </si>
  <si>
    <t xml:space="preserve">          "temperature-yesterday": 0.20440757452518304,</t>
  </si>
  <si>
    <t xml:space="preserve">          "dew_point_temperature": 0.15880819926296832,</t>
  </si>
  <si>
    <t xml:space="preserve">          "dew_point_temperature-yesterday": 0.05433624238611941,</t>
  </si>
  <si>
    <t xml:space="preserve">          "wind_direction": 0.04926847637048544</t>
  </si>
  <si>
    <t xml:space="preserve">          "error_score": 7.686929702758789,</t>
  </si>
  <si>
    <t xml:space="preserve">          "error_score": 5.636684417724609,</t>
  </si>
  <si>
    <t xml:space="preserve">          "error_score": 4.948675155639648,</t>
  </si>
  <si>
    <t xml:space="preserve">          "error_score": 4.3167009353637695,</t>
  </si>
  <si>
    <t xml:space="preserve">          "error_score": 4.220926761627197,</t>
  </si>
  <si>
    <t xml:space="preserve">          "name": "POWELL RIVER A",</t>
  </si>
  <si>
    <t xml:space="preserve">          "city": "Powell River",</t>
  </si>
  <si>
    <t xml:space="preserve">          "station_id": "CAN01046391"</t>
  </si>
  <si>
    <t xml:space="preserve">          "2024-06-22 22:00:00.000000": 3.8787877559661865,</t>
  </si>
  <si>
    <t xml:space="preserve">          "2024-06-15 22:00:00.000000": 4.088266849517822,</t>
  </si>
  <si>
    <t xml:space="preserve">          "2024-06-08 22:00:00.000000": 4.2109222412109375,</t>
  </si>
  <si>
    <t xml:space="preserve">          "2024-06-06 22:00:00.000000": 4.123331546783447,</t>
  </si>
  <si>
    <t xml:space="preserve">          "2024-06-05 22:00:00.000000": 4.010107517242432,</t>
  </si>
  <si>
    <t xml:space="preserve">          "2024-06-02 22:00:00.000000": 4.255166053771973,</t>
  </si>
  <si>
    <t xml:space="preserve">          "2024-06-01 22:00:00.000000": 4.248183727264404,</t>
  </si>
  <si>
    <t xml:space="preserve">          "2024-05-29 22:00:00.000000": 4.166221618652344,</t>
  </si>
  <si>
    <t xml:space="preserve">          "2024-05-24 22:00:00.000000": 4.130168437957764,</t>
  </si>
  <si>
    <t xml:space="preserve">          "2024-05-20 22:00:00.000000": 4.17583703994751</t>
  </si>
  <si>
    <t xml:space="preserve">          "temperature": 0.843520118172143,</t>
  </si>
  <si>
    <t xml:space="preserve">          "dew_point_temperature": 0.29304664866012275,</t>
  </si>
  <si>
    <t xml:space="preserve">          "wind_speed": 0.2345998896372774,</t>
  </si>
  <si>
    <t xml:space="preserve">          "temperature-yesterday": 0.21372232033822702,</t>
  </si>
  <si>
    <t xml:space="preserve">          "dew_point_temperature-yesterday": 0.09716837811276258</t>
  </si>
  <si>
    <t xml:space="preserve">          "error_score": 5.385379314422607,</t>
  </si>
  <si>
    <t xml:space="preserve">          "error_score": 4.328786849975586,</t>
  </si>
  <si>
    <t xml:space="preserve">          "error_score": 4.317392349243164,</t>
  </si>
  <si>
    <t xml:space="preserve">          "error_score": 3.9296345710754395,</t>
  </si>
  <si>
    <t xml:space="preserve">          "error_score": 2.5245277881622314,</t>
  </si>
  <si>
    <t xml:space="preserve">          "name": "VICTORIA INTL A",</t>
  </si>
  <si>
    <t xml:space="preserve">          "station_id": "CAN01018621",</t>
  </si>
  <si>
    <t xml:space="preserve">          "city": "North Saanich"</t>
  </si>
  <si>
    <t xml:space="preserve">          "2024-06-22 22:00:00.000000": 4.889027118682861,</t>
  </si>
  <si>
    <t xml:space="preserve">          "2024-06-15 22:00:00.000000": 4.8555521965026855,</t>
  </si>
  <si>
    <t xml:space="preserve">          "2024-06-08 22:00:00.000000": 4.950097560882568,</t>
  </si>
  <si>
    <t xml:space="preserve">          "2024-06-06 22:00:00.000000": 4.841386795043945,</t>
  </si>
  <si>
    <t xml:space="preserve">          "2024-06-05 22:00:00.000000": 5.094079494476318,</t>
  </si>
  <si>
    <t xml:space="preserve">          "2024-06-02 22:00:00.000000": 5.176278114318848,</t>
  </si>
  <si>
    <t xml:space="preserve">          "2024-06-01 22:00:00.000000": 5.255029201507568,</t>
  </si>
  <si>
    <t xml:space="preserve">          "2024-05-29 22:00:00.000000": 4.946834564208984,</t>
  </si>
  <si>
    <t xml:space="preserve">          "2024-05-24 22:00:00.000000": 5.082688331604004,</t>
  </si>
  <si>
    <t xml:space="preserve">          "2024-05-20 22:00:00.000000": 4.979267120361328</t>
  </si>
  <si>
    <t xml:space="preserve">          "temperature": 1.34015654868161,</t>
  </si>
  <si>
    <t xml:space="preserve">          "dew_point_temperature": 0.21099480370804552,</t>
  </si>
  <si>
    <t xml:space="preserve">          "temperature-yesterday": 0.18524525027986666,</t>
  </si>
  <si>
    <t xml:space="preserve">          "wind_speed-yesterday": 0.1251271220489995,</t>
  </si>
  <si>
    <t xml:space="preserve">          "wind_speed": 0.09093140868835681</t>
  </si>
  <si>
    <t xml:space="preserve">          "error_score": 5.287136554718018,</t>
  </si>
  <si>
    <t xml:space="preserve">          "error_score": 5.27849006652832,</t>
  </si>
  <si>
    <t xml:space="preserve">          "error_score": 5.0271897315979,</t>
  </si>
  <si>
    <t xml:space="preserve">          "error_score": 4.630692005157471,</t>
  </si>
  <si>
    <t xml:space="preserve">          "error_score": 2.5159289836883545,</t>
  </si>
  <si>
    <t xml:space="preserve">          "station_id": "CAN01016640",</t>
  </si>
  <si>
    <t xml:space="preserve">          "name": "RACE ROCKS",</t>
  </si>
  <si>
    <t xml:space="preserve">          "city": "Metchosin"</t>
  </si>
  <si>
    <t xml:space="preserve">          "2024-06-22 22:00:00.000000": 5.601988315582275,</t>
  </si>
  <si>
    <t xml:space="preserve">          "2024-06-15 22:00:00.000000": 5.335405349731445,</t>
  </si>
  <si>
    <t xml:space="preserve">          "2024-06-08 22:00:00.000000": 5.237817287445068,</t>
  </si>
  <si>
    <t xml:space="preserve">          "2024-06-06 22:00:00.000000": 5.345641613006592,</t>
  </si>
  <si>
    <t xml:space="preserve">          "2024-06-05 22:00:00.000000": 5.271563529968262,</t>
  </si>
  <si>
    <t xml:space="preserve">          "2024-06-02 22:00:00.000000": 5.152134418487549,</t>
  </si>
  <si>
    <t xml:space="preserve">          "2024-06-01 22:00:00.000000": 5.121467590332031,</t>
  </si>
  <si>
    <t xml:space="preserve">          "2024-05-29 22:00:00.000000": 4.893216609954834,</t>
  </si>
  <si>
    <t xml:space="preserve">          "2024-05-24 22:00:00.000000": 4.9037251472473145,</t>
  </si>
  <si>
    <t xml:space="preserve">          "2024-05-20 22:00:00.000000": 4.857870101928711</t>
  </si>
  <si>
    <t xml:space="preserve">          "temperature": 1.8577134570157239,</t>
  </si>
  <si>
    <t xml:space="preserve">          "dew_point_temperature": 0.6503568333305574,</t>
  </si>
  <si>
    <t xml:space="preserve">          "wind_direction": 0.5415909252279583,</t>
  </si>
  <si>
    <t xml:space="preserve">          "temperature-yesterday": 0.34172912793218,</t>
  </si>
  <si>
    <t xml:space="preserve">          "dew_point_temperature-yesterday": 0.32075703696043745</t>
  </si>
  <si>
    <t xml:space="preserve">          "error_score": 10.000191688537598,</t>
  </si>
  <si>
    <t xml:space="preserve">          "error_score": 5.315822601318359,</t>
  </si>
  <si>
    <t xml:space="preserve">          "error_score": 5.304903030395508,</t>
  </si>
  <si>
    <t xml:space="preserve">          "error_score": 4.494380474090576,</t>
  </si>
  <si>
    <t xml:space="preserve">          "error_score": 2.979578971862793,</t>
  </si>
  <si>
    <t xml:space="preserve">          "city": "Burns Lake",</t>
  </si>
  <si>
    <t xml:space="preserve">          "station_id": "CAN01085836",</t>
  </si>
  <si>
    <t xml:space="preserve">          "name": "OOTSA LAKESKINS LAKE CLIMATE"</t>
  </si>
  <si>
    <t xml:space="preserve">          "2024-06-22 22:00:00.000000": 10.270415306091309,</t>
  </si>
  <si>
    <t xml:space="preserve">          "2024-06-15 22:00:00.000000": 10.363127708435059,</t>
  </si>
  <si>
    <t xml:space="preserve">          "2024-06-08 22:00:00.000000": 10.125767707824707,</t>
  </si>
  <si>
    <t xml:space="preserve">          "2024-06-06 22:00:00.000000": 10.174581527709961,</t>
  </si>
  <si>
    <t xml:space="preserve">          "2024-06-05 22:00:00.000000": 10.22140884399414,</t>
  </si>
  <si>
    <t xml:space="preserve">          "2024-06-02 22:00:00.000000": 9.871039390563965,</t>
  </si>
  <si>
    <t xml:space="preserve">          "2024-06-01 22:00:00.000000": 10.047272682189941,</t>
  </si>
  <si>
    <t xml:space="preserve">          "2024-05-29 22:00:00.000000": 10.036030769348145,</t>
  </si>
  <si>
    <t xml:space="preserve">          "2024-05-24 22:00:00.000000": 9.899620056152344,</t>
  </si>
  <si>
    <t xml:space="preserve">          "2024-05-20 22:00:00.000000": 9.732185363769531</t>
  </si>
  <si>
    <t xml:space="preserve">          "temperature": 1.1117390454567537,</t>
  </si>
  <si>
    <t xml:space="preserve">          "wind_speed": 0.16415845650555694,</t>
  </si>
  <si>
    <t xml:space="preserve">          "wind_speed-yesterday": 0.14071535957899503,</t>
  </si>
  <si>
    <t xml:space="preserve">          "temperature-yesterday": 0.1399900625864854,</t>
  </si>
  <si>
    <t xml:space="preserve">          "dew_point_temperature": 0.12111465214724215</t>
  </si>
  <si>
    <t xml:space="preserve">          "error_score": 10.533454895019531,</t>
  </si>
  <si>
    <t xml:space="preserve">          "error_score": 8.164381980895996,</t>
  </si>
  <si>
    <t xml:space="preserve">          "error_score": 7.580642223358154,</t>
  </si>
  <si>
    <t xml:space="preserve">          "error_score": 5.661293029785156,</t>
  </si>
  <si>
    <t xml:space="preserve">          "error_score": 3.8961493968963623,</t>
  </si>
  <si>
    <t xml:space="preserve">          "station_id": "CAN01027403",</t>
  </si>
  <si>
    <t xml:space="preserve">          "city": "French Creek",</t>
  </si>
  <si>
    <t xml:space="preserve">          "name": "SISTERS ISLAND",</t>
  </si>
  <si>
    <t xml:space="preserve">          "urbanization": "rural"</t>
  </si>
  <si>
    <t xml:space="preserve">          "2024-06-22 22:00:00.000000": 3.9687464237213135,</t>
  </si>
  <si>
    <t xml:space="preserve">          "2024-06-15 22:00:00.000000": 3.9449586868286133,</t>
  </si>
  <si>
    <t xml:space="preserve">          "2024-06-08 22:00:00.000000": 3.965390205383301,</t>
  </si>
  <si>
    <t xml:space="preserve">          "2024-06-06 22:00:00.000000": 4.042931079864502,</t>
  </si>
  <si>
    <t xml:space="preserve">          "2024-06-05 22:00:00.000000": 3.940197467803955,</t>
  </si>
  <si>
    <t xml:space="preserve">          "2024-06-02 22:00:00.000000": 3.965419292449951,</t>
  </si>
  <si>
    <t xml:space="preserve">          "2024-06-01 22:00:00.000000": 3.9058914184570312,</t>
  </si>
  <si>
    <t xml:space="preserve">          "2024-05-29 22:00:00.000000": 3.7290143966674805,</t>
  </si>
  <si>
    <t xml:space="preserve">          "2024-05-24 22:00:00.000000": 3.804077625274658,</t>
  </si>
  <si>
    <t xml:space="preserve">          "2024-05-20 22:00:00.000000": 3.724952220916748</t>
  </si>
  <si>
    <t xml:space="preserve">          "temperature": 1.0240796420195974,</t>
  </si>
  <si>
    <t xml:space="preserve">          "dew_point_temperature": 0.28975100429615025,</t>
  </si>
  <si>
    <t xml:space="preserve">          "temperature-yesterday": 0.03811876525709059,</t>
  </si>
  <si>
    <t xml:space="preserve">          "wind_direction-yesterday": 0.02753823462943241,</t>
  </si>
  <si>
    <t xml:space="preserve">          "wind_speed": 0.023680806335786463</t>
  </si>
  <si>
    <t xml:space="preserve">          "error_score": 5.38156795501709,</t>
  </si>
  <si>
    <t xml:space="preserve">          "error_score": 3.9678971767425537,</t>
  </si>
  <si>
    <t xml:space="preserve">          "error_score": 3.002638339996338,</t>
  </si>
  <si>
    <t xml:space="preserve">          "error_score": 2.721646547317505,</t>
  </si>
  <si>
    <t xml:space="preserve">          "error_score": 2.2520556449890137,</t>
  </si>
  <si>
    <t xml:space="preserve">          "station_id": "CAN01061458",</t>
  </si>
  <si>
    <t xml:space="preserve">          "name": "CATHEDRAL POINT (AUT)"</t>
  </si>
  <si>
    <t xml:space="preserve">          "2024-06-22 22:00:00.000000": 6.335604667663574,</t>
  </si>
  <si>
    <t xml:space="preserve">          "2024-06-15 22:00:00.000000": 6.083789348602295,</t>
  </si>
  <si>
    <t xml:space="preserve">          "2024-06-08 22:00:00.000000": 6.0143890380859375,</t>
  </si>
  <si>
    <t xml:space="preserve">          "2024-06-06 22:00:00.000000": 6.099863052368164,</t>
  </si>
  <si>
    <t xml:space="preserve">          "2024-06-05 22:00:00.000000": 5.971673965454102,</t>
  </si>
  <si>
    <t xml:space="preserve">          "2024-06-02 22:00:00.000000": 6.13840913772583,</t>
  </si>
  <si>
    <t xml:space="preserve">          "2024-06-01 22:00:00.000000": 6.049657821655273,</t>
  </si>
  <si>
    <t xml:space="preserve">          "2024-05-29 22:00:00.000000": 5.687987804412842,</t>
  </si>
  <si>
    <t xml:space="preserve">          "2024-05-24 22:00:00.000000": 5.8275861740112305,</t>
  </si>
  <si>
    <t xml:space="preserve">          "2024-05-20 22:00:00.000000": 5.709470748901367</t>
  </si>
  <si>
    <t xml:space="preserve">          "temperature": 1.2415606424717809,</t>
  </si>
  <si>
    <t xml:space="preserve">          "dew_point_temperature": 0.4588246288545216,</t>
  </si>
  <si>
    <t xml:space="preserve">          "wind_speed-yesterday": 0.1415193564733287,</t>
  </si>
  <si>
    <t xml:space="preserve">          "dew_point_temperature-yesterday": 0.08783040614333415,</t>
  </si>
  <si>
    <t xml:space="preserve">          "wind_direction": 0.06053339960923607</t>
  </si>
  <si>
    <t xml:space="preserve">          "error_score": 6.037373065948486,</t>
  </si>
  <si>
    <t xml:space="preserve">          "error_score": 5.810460090637207,</t>
  </si>
  <si>
    <t xml:space="preserve">          "error_score": 4.439427852630615,</t>
  </si>
  <si>
    <t xml:space="preserve">          "error_score": 4.142502307891846,</t>
  </si>
  <si>
    <t xml:space="preserve">          "error_score": 2.7762482166290283,</t>
  </si>
  <si>
    <t xml:space="preserve">          "name": "BONILLA ISLAND (AUT)",</t>
  </si>
  <si>
    <t xml:space="preserve">          "station_id": "CAN01060R0K"</t>
  </si>
  <si>
    <t xml:space="preserve">          "2024-06-22 22:00:00.000000": 4.721232891082764,</t>
  </si>
  <si>
    <t xml:space="preserve">          "2024-06-15 22:00:00.000000": 4.740828037261963,</t>
  </si>
  <si>
    <t xml:space="preserve">          "2024-06-08 22:00:00.000000": 4.474575996398926,</t>
  </si>
  <si>
    <t xml:space="preserve">          "2024-06-06 22:00:00.000000": 4.4968132972717285,</t>
  </si>
  <si>
    <t xml:space="preserve">          "2024-06-05 22:00:00.000000": 4.455689430236816,</t>
  </si>
  <si>
    <t xml:space="preserve">          "2024-06-02 22:00:00.000000": 4.369129180908203,</t>
  </si>
  <si>
    <t xml:space="preserve">          "2024-06-01 22:00:00.000000": 4.454306125640869,</t>
  </si>
  <si>
    <t xml:space="preserve">          "2024-05-29 22:00:00.000000": 4.415842533111572,</t>
  </si>
  <si>
    <t xml:space="preserve">          "2024-05-24 22:00:00.000000": 4.209443092346191,</t>
  </si>
  <si>
    <t xml:space="preserve">          "2024-05-20 22:00:00.000000": 4.1683149337768555</t>
  </si>
  <si>
    <t xml:space="preserve">          "temperature": 1.074925268336592,</t>
  </si>
  <si>
    <t xml:space="preserve">          "dew_point_temperature": 0.48665349797132984,</t>
  </si>
  <si>
    <t xml:space="preserve">          "wind_speed": 0.27666379529452856,</t>
  </si>
  <si>
    <t xml:space="preserve">          "wind_direction": 0.15629845627392608,</t>
  </si>
  <si>
    <t xml:space="preserve">          "wind_direction-yesterday": 0.12839787334374642</t>
  </si>
  <si>
    <t xml:space="preserve">          "error_score": 9.008813858032227,</t>
  </si>
  <si>
    <t xml:space="preserve">          "error_score": 4.805075168609619,</t>
  </si>
  <si>
    <t xml:space="preserve">          "error_score": 4.463263034820557,</t>
  </si>
  <si>
    <t xml:space="preserve">          "error_score": 4.397495269775391,</t>
  </si>
  <si>
    <t xml:space="preserve">          "error_score": 3.1644344329833984,</t>
  </si>
  <si>
    <t xml:space="preserve">          "city": "Campbell River",</t>
  </si>
  <si>
    <t xml:space="preserve">          "name": "FANNY ISLAND",</t>
  </si>
  <si>
    <t xml:space="preserve">          "station_id": "CAN01022795"</t>
  </si>
  <si>
    <t xml:space="preserve">          "2024-06-22 22:00:00.000000": 6.265998363494873,</t>
  </si>
  <si>
    <t xml:space="preserve">          "2024-06-15 22:00:00.000000": 5.895326137542725,</t>
  </si>
  <si>
    <t xml:space="preserve">          "2024-06-08 22:00:00.000000": 6.001411437988281,</t>
  </si>
  <si>
    <t xml:space="preserve">          "2024-06-06 22:00:00.000000": 5.977458477020264,</t>
  </si>
  <si>
    <t xml:space="preserve">          "2024-06-05 22:00:00.000000": 5.948768138885498,</t>
  </si>
  <si>
    <t xml:space="preserve">          "2024-06-02 22:00:00.000000": 6.165343284606934,</t>
  </si>
  <si>
    <t xml:space="preserve">          "2024-06-01 22:00:00.000000": 5.837245464324951,</t>
  </si>
  <si>
    <t xml:space="preserve">          "2024-05-29 22:00:00.000000": 5.684192657470703,</t>
  </si>
  <si>
    <t xml:space="preserve">          "2024-05-24 22:00:00.000000": 5.4989094734191895,</t>
  </si>
  <si>
    <t xml:space="preserve">          "2024-05-20 22:00:00.000000": 5.5173845291137695</t>
  </si>
  <si>
    <t xml:space="preserve">          "temperature": 0.729541873030079,</t>
  </si>
  <si>
    <t xml:space="preserve">          "dew_point_temperature": 0.6756426454795309,</t>
  </si>
  <si>
    <t xml:space="preserve">          "wind_direction-yesterday": 0.3244762345481516,</t>
  </si>
  <si>
    <t xml:space="preserve">          "wind_direction": 0.0815115115133348,</t>
  </si>
  <si>
    <t xml:space="preserve">          "wind_speed-yesterday": 0.04985354744516775</t>
  </si>
  <si>
    <t xml:space="preserve">          "error_score": 6.486541271209717,</t>
  </si>
  <si>
    <t xml:space="preserve">          "error_score": 6.462620735168457,</t>
  </si>
  <si>
    <t xml:space="preserve">          "error_score": 5.961509704589844,</t>
  </si>
  <si>
    <t xml:space="preserve">          "error_score": 3.5704598426818848,</t>
  </si>
  <si>
    <t xml:space="preserve">          "error_score": 3.170853853225708,</t>
  </si>
  <si>
    <t xml:space="preserve">          "city": "Williams Lake",</t>
  </si>
  <si>
    <t xml:space="preserve">          "name": "WILLIAMS LAKE A",</t>
  </si>
  <si>
    <t xml:space="preserve">          "station_id": "CAN01098940",</t>
  </si>
  <si>
    <t xml:space="preserve">          "terrain": "mountain class 6"</t>
  </si>
  <si>
    <t xml:space="preserve">          "2024-06-22 22:00:00.000000": 11.033686637878418,</t>
  </si>
  <si>
    <t xml:space="preserve">          "2024-06-15 22:00:00.000000": 10.969693183898926,</t>
  </si>
  <si>
    <t xml:space="preserve">          "2024-06-08 22:00:00.000000": 10.865105628967285,</t>
  </si>
  <si>
    <t xml:space="preserve">          "2024-06-06 22:00:00.000000": 10.86501693725586,</t>
  </si>
  <si>
    <t xml:space="preserve">          "2024-06-05 22:00:00.000000": 10.79085922241211,</t>
  </si>
  <si>
    <t xml:space="preserve">          "2024-06-02 22:00:00.000000": 10.636340141296387,</t>
  </si>
  <si>
    <t xml:space="preserve">          "2024-06-01 22:00:00.000000": 10.576539993286133,</t>
  </si>
  <si>
    <t xml:space="preserve">          "2024-05-29 22:00:00.000000": 10.394533157348633,</t>
  </si>
  <si>
    <t xml:space="preserve">          "2024-05-24 22:00:00.000000": 10.265761375427246,</t>
  </si>
  <si>
    <t xml:space="preserve">          "2024-05-20 22:00:00.000000": 10.120842933654785</t>
  </si>
  <si>
    <t xml:space="preserve">          "temperature": 1.2561108124429576,</t>
  </si>
  <si>
    <t xml:space="preserve">          "dew_point_temperature": 0.2628831294635506,</t>
  </si>
  <si>
    <t xml:space="preserve">          "wind_speed": 0.1465211108113708,</t>
  </si>
  <si>
    <t xml:space="preserve">          "temperature-yesterday": 0.13550114690678136,</t>
  </si>
  <si>
    <t xml:space="preserve">          "dew_point_temperature-yesterday": 0.12292522061861615</t>
  </si>
  <si>
    <t xml:space="preserve">          "error_score": 11.68666934967041,</t>
  </si>
  <si>
    <t xml:space="preserve">          "error_score": 11.29108715057373,</t>
  </si>
  <si>
    <t xml:space="preserve">          "error_score": 7.249366760253906,</t>
  </si>
  <si>
    <t xml:space="preserve">          "error_score": 4.141533374786377,</t>
  </si>
  <si>
    <t xml:space="preserve">          "error_score": 3.9583747386932373,</t>
  </si>
  <si>
    <t xml:space="preserve">          "station_id": "CAN01062251",</t>
  </si>
  <si>
    <t xml:space="preserve">          "name": "CUMSHEWA ISLAND"</t>
  </si>
  <si>
    <t xml:space="preserve">          "2024-06-22 22:00:00.000000": 5.755560398101807,</t>
  </si>
  <si>
    <t xml:space="preserve">          "2024-06-15 22:00:00.000000": 5.507371425628662,</t>
  </si>
  <si>
    <t xml:space="preserve">          "2024-06-08 22:00:00.000000": 5.552470684051514,</t>
  </si>
  <si>
    <t xml:space="preserve">          "2024-06-06 22:00:00.000000": 5.645082950592041,</t>
  </si>
  <si>
    <t xml:space="preserve">          "2024-06-05 22:00:00.000000": 5.512003421783447,</t>
  </si>
  <si>
    <t xml:space="preserve">          "2024-06-02 22:00:00.000000": 5.607583522796631,</t>
  </si>
  <si>
    <t xml:space="preserve">          "2024-06-01 22:00:00.000000": 5.399360179901123,</t>
  </si>
  <si>
    <t xml:space="preserve">          "2024-05-29 22:00:00.000000": 5.131082534790039,</t>
  </si>
  <si>
    <t xml:space="preserve">          "2024-05-24 22:00:00.000000": 5.072669982910156,</t>
  </si>
  <si>
    <t xml:space="preserve">          "2024-05-20 22:00:00.000000": 5.0445404052734375</t>
  </si>
  <si>
    <t xml:space="preserve">          "temperature": 0.9865724528935196,</t>
  </si>
  <si>
    <t xml:space="preserve">          "dew_point_temperature": 0.5870855502575483,</t>
  </si>
  <si>
    <t xml:space="preserve">          "dew_point_temperature-yesterday": 0.18968336373359787,</t>
  </si>
  <si>
    <t xml:space="preserve">          "wind_direction-yesterday": 0.13991317570473244,</t>
  </si>
  <si>
    <t xml:space="preserve">          "temperature-yesterday": 0.12683292913347521</t>
  </si>
  <si>
    <t xml:space="preserve">          "error_score": 6.757340431213379,</t>
  </si>
  <si>
    <t xml:space="preserve">          "error_score": 5.987059593200684,</t>
  </si>
  <si>
    <t xml:space="preserve">          "error_score": 5.576694965362549,</t>
  </si>
  <si>
    <t xml:space="preserve">          "error_score": 3.3892436027526855,</t>
  </si>
  <si>
    <t xml:space="preserve">          "error_score": 3.100148916244507,</t>
  </si>
  <si>
    <t xml:space="preserve">          "station_id": "CAN01051351",</t>
  </si>
  <si>
    <t xml:space="preserve">          "name": "CAPE ST JAMES",</t>
  </si>
  <si>
    <t xml:space="preserve">          "2024-06-22 22:00:00.000000": 5.949253559112549,</t>
  </si>
  <si>
    <t xml:space="preserve">          "2024-06-15 22:00:00.000000": 5.661011219024658,</t>
  </si>
  <si>
    <t xml:space="preserve">          "2024-06-08 22:00:00.000000": 5.672799110412598,</t>
  </si>
  <si>
    <t xml:space="preserve">          "2024-06-06 22:00:00.000000": 5.729077339172363,</t>
  </si>
  <si>
    <t xml:space="preserve">          "2024-06-05 22:00:00.000000": 5.642946720123291,</t>
  </si>
  <si>
    <t xml:space="preserve">          "2024-06-02 22:00:00.000000": 5.6295928955078125,</t>
  </si>
  <si>
    <t xml:space="preserve">          "2024-06-01 22:00:00.000000": 5.51425838470459,</t>
  </si>
  <si>
    <t xml:space="preserve">          "2024-05-29 22:00:00.000000": 5.274192810058594,</t>
  </si>
  <si>
    <t xml:space="preserve">          "2024-05-24 22:00:00.000000": 5.254852294921875,</t>
  </si>
  <si>
    <t xml:space="preserve">          "2024-05-20 22:00:00.000000": 5.214377403259277</t>
  </si>
  <si>
    <t xml:space="preserve">          "temperature": 0.98686137046496,</t>
  </si>
  <si>
    <t xml:space="preserve">          "dew_point_temperature": 0.38540461773163315,</t>
  </si>
  <si>
    <t xml:space="preserve">          "temperature-yesterday": 0.1358259807514127,</t>
  </si>
  <si>
    <t xml:space="preserve">          "wind_direction": 0.11279399102241387,</t>
  </si>
  <si>
    <t xml:space="preserve">          "wind_speed": 0.09641571721186146</t>
  </si>
  <si>
    <t xml:space="preserve">          "error_score": 6.176327228546143,</t>
  </si>
  <si>
    <t xml:space="preserve">          "error_score": 6.055567741394043,</t>
  </si>
  <si>
    <t xml:space="preserve">          "error_score": 5.7144880294799805,</t>
  </si>
  <si>
    <t xml:space="preserve">          "error_score": 2.8460636138916016,</t>
  </si>
  <si>
    <t xml:space="preserve">          "error_score": 2.5391223430633545,</t>
  </si>
  <si>
    <t xml:space="preserve">          "name": "PORT ALBERNI (AUT)",</t>
  </si>
  <si>
    <t xml:space="preserve">          "city": "Port Alberni",</t>
  </si>
  <si>
    <t xml:space="preserve">          "station_id": "CAN01036B06"</t>
  </si>
  <si>
    <t xml:space="preserve">          "2024-06-22 22:00:00.000000": 5.840765476226807,</t>
  </si>
  <si>
    <t xml:space="preserve">          "2024-06-15 22:00:00.000000": 5.892773151397705,</t>
  </si>
  <si>
    <t xml:space="preserve">          "2024-06-08 22:00:00.000000": 6.149523735046387,</t>
  </si>
  <si>
    <t xml:space="preserve">          "2024-06-06 22:00:00.000000": 5.874992370605469,</t>
  </si>
  <si>
    <t xml:space="preserve">          "2024-06-05 22:00:00.000000": 5.884043216705322,</t>
  </si>
  <si>
    <t xml:space="preserve">          "2024-06-02 22:00:00.000000": 5.961911201477051,</t>
  </si>
  <si>
    <t xml:space="preserve">          "2024-06-01 22:00:00.000000": 6.112119674682617,</t>
  </si>
  <si>
    <t xml:space="preserve">          "2024-05-29 22:00:00.000000": 6.100057601928711,</t>
  </si>
  <si>
    <t xml:space="preserve">          "2024-05-24 22:00:00.000000": 6.092784881591797,</t>
  </si>
  <si>
    <t xml:space="preserve">          "2024-05-20 22:00:00.000000": 6.130209922790527</t>
  </si>
  <si>
    <t xml:space="preserve">          "temperature": 1.6773341370071808,</t>
  </si>
  <si>
    <t xml:space="preserve">          "dew_point_temperature": 0.23400403961408384,</t>
  </si>
  <si>
    <t xml:space="preserve">          "temperature-yesterday": 0.11961795719223303,</t>
  </si>
  <si>
    <t xml:space="preserve">          "dew_point_temperature-yesterday": 0.05676197607932354,</t>
  </si>
  <si>
    <t xml:space="preserve">          "wind_speed-yesterday": 0.049429995618990044</t>
  </si>
  <si>
    <t xml:space="preserve">          "error_score": 6.269465446472168,</t>
  </si>
  <si>
    <t xml:space="preserve">          "error_score": 5.900180339813232,</t>
  </si>
  <si>
    <t xml:space="preserve">          "error_score": 5.632235050201416,</t>
  </si>
  <si>
    <t xml:space="preserve">          "error_score": 5.543522834777832,</t>
  </si>
  <si>
    <t xml:space="preserve">          "error_score": 3.725863218307495,</t>
  </si>
  <si>
    <t xml:space="preserve">          "city": "Squamish",</t>
  </si>
  <si>
    <t xml:space="preserve">          "name": "SQUAMISH AIRPORT",</t>
  </si>
  <si>
    <t xml:space="preserve">          "station_id": "CAN010476F0"</t>
  </si>
  <si>
    <t xml:space="preserve">          "2024-06-22 22:00:00.000000": 11.156464576721191,</t>
  </si>
  <si>
    <t xml:space="preserve">          "2024-06-15 22:00:00.000000": 11.028948783874512,</t>
  </si>
  <si>
    <t xml:space="preserve">          "2024-06-08 22:00:00.000000": 11.310382843017578,</t>
  </si>
  <si>
    <t xml:space="preserve">          "2024-06-06 22:00:00.000000": 11.328540802001953,</t>
  </si>
  <si>
    <t xml:space="preserve">          "2024-06-05 22:00:00.000000": 11.562631607055664,</t>
  </si>
  <si>
    <t xml:space="preserve">          "2024-06-02 22:00:00.000000": 11.407963752746582,</t>
  </si>
  <si>
    <t xml:space="preserve">          "2024-06-01 22:00:00.000000": 11.588168144226074,</t>
  </si>
  <si>
    <t xml:space="preserve">          "2024-05-29 22:00:00.000000": 11.357372283935547,</t>
  </si>
  <si>
    <t xml:space="preserve">          "2024-05-24 22:00:00.000000": 11.625144958496094,</t>
  </si>
  <si>
    <t xml:space="preserve">          "2024-05-20 22:00:00.000000": 11.671255111694336</t>
  </si>
  <si>
    <t xml:space="preserve">          "temperature": 1.5134572016169971,</t>
  </si>
  <si>
    <t xml:space="preserve">          "temperature-yesterday": 0.3268853170972644,</t>
  </si>
  <si>
    <t xml:space="preserve">          "wind_direction": 0.13451285881926886,</t>
  </si>
  <si>
    <t xml:space="preserve">          "wind_direction-yesterday": 0.08398620315489827,</t>
  </si>
  <si>
    <t xml:space="preserve">          "dew_point_temperature-yesterday": 0.07352132515904237</t>
  </si>
  <si>
    <t xml:space="preserve">          "error_score": 11.264904975891113,</t>
  </si>
  <si>
    <t xml:space="preserve">          "error_score": 11.120746612548828,</t>
  </si>
  <si>
    <t xml:space="preserve">          "error_score": 11.0250244140625,</t>
  </si>
  <si>
    <t xml:space="preserve">          "error_score": 7.3207902908325195,</t>
  </si>
  <si>
    <t xml:space="preserve">          "error_score": 4.718314170837402,</t>
  </si>
  <si>
    <t xml:space="preserve">          "station_id": "CAN01126150",</t>
  </si>
  <si>
    <t xml:space="preserve">          "city": "Penticton",</t>
  </si>
  <si>
    <t xml:space="preserve">          "name": "PENTICTON A",</t>
  </si>
  <si>
    <t xml:space="preserve">          "2024-06-22 22:00:00.000000": 6.747673034667969,</t>
  </si>
  <si>
    <t xml:space="preserve">          "2024-06-15 22:00:00.000000": 6.541427135467529,</t>
  </si>
  <si>
    <t xml:space="preserve">          "2024-06-08 22:00:00.000000": 6.869960308074951,</t>
  </si>
  <si>
    <t xml:space="preserve">          "2024-06-06 22:00:00.000000": 6.773663520812988,</t>
  </si>
  <si>
    <t xml:space="preserve">          "2024-06-05 22:00:00.000000": 6.536855697631836,</t>
  </si>
  <si>
    <t xml:space="preserve">          "2024-06-02 22:00:00.000000": 6.734969615936279,</t>
  </si>
  <si>
    <t xml:space="preserve">          "2024-06-01 22:00:00.000000": 6.7969889640808105,</t>
  </si>
  <si>
    <t xml:space="preserve">          "2024-05-29 22:00:00.000000": 6.564722537994385,</t>
  </si>
  <si>
    <t xml:space="preserve">          "2024-05-24 22:00:00.000000": 6.63101053237915,</t>
  </si>
  <si>
    <t xml:space="preserve">          "2024-05-20 22:00:00.000000": 6.281645774841309</t>
  </si>
  <si>
    <t xml:space="preserve">          "temperature": 0.9610986549148336,</t>
  </si>
  <si>
    <t xml:space="preserve">          "dew_point_temperature": 0.3998350789737614,</t>
  </si>
  <si>
    <t xml:space="preserve">          "wind_speed": 0.17640787960047155,</t>
  </si>
  <si>
    <t xml:space="preserve">          "temperature-yesterday": 0.16466065357333734,</t>
  </si>
  <si>
    <t xml:space="preserve">          "wind_speed-yesterday": 0.1278459730856463</t>
  </si>
  <si>
    <t xml:space="preserve">          "error_score": 7.316045761108398,</t>
  </si>
  <si>
    <t xml:space="preserve">          "error_score": 7.137670993804932,</t>
  </si>
  <si>
    <t xml:space="preserve">          "error_score": 5.156851768493652,</t>
  </si>
  <si>
    <t xml:space="preserve">          "error_score": 4.432491302490234,</t>
  </si>
  <si>
    <t xml:space="preserve">          "error_score": 2.8611721992492676,</t>
  </si>
  <si>
    <t xml:space="preserve">          "name": "RICHMOND OPERATION CENTRE",</t>
  </si>
  <si>
    <t xml:space="preserve">          "station_id": "CAM00071112"</t>
  </si>
  <si>
    <t xml:space="preserve">          "2024-06-22 22:00:00.000000": 4.519669532775879,</t>
  </si>
  <si>
    <t xml:space="preserve">          "2024-06-15 22:00:00.000000": 4.520979881286621,</t>
  </si>
  <si>
    <t xml:space="preserve">          "2024-06-08 22:00:00.000000": 4.4624924659729,</t>
  </si>
  <si>
    <t xml:space="preserve">          "2024-06-06 22:00:00.000000": 4.468469142913818,</t>
  </si>
  <si>
    <t xml:space="preserve">          "2024-06-05 22:00:00.000000": 4.501150608062744,</t>
  </si>
  <si>
    <t xml:space="preserve">          "2024-06-02 22:00:00.000000": 4.3057661056518555,</t>
  </si>
  <si>
    <t xml:space="preserve">          "2024-06-01 22:00:00.000000": 4.286807537078857,</t>
  </si>
  <si>
    <t xml:space="preserve">          "2024-05-29 22:00:00.000000": 4.372696399688721,</t>
  </si>
  <si>
    <t xml:space="preserve">          "2024-05-24 22:00:00.000000": 3.955284357070923,</t>
  </si>
  <si>
    <t xml:space="preserve">          "2024-05-20 22:00:00.000000": 4.139038562774658</t>
  </si>
  <si>
    <t xml:space="preserve">          "temperature": 1.117867866015804,</t>
  </si>
  <si>
    <t xml:space="preserve">          "dew_point_temperature": 0.303173430679066,</t>
  </si>
  <si>
    <t xml:space="preserve">          "temperature-yesterday": 0.1880091834384136,</t>
  </si>
  <si>
    <t xml:space="preserve">          "wind_direction-yesterday": 0.06814074885284005,</t>
  </si>
  <si>
    <t xml:space="preserve">          "wind_direction": 0.06675237387875974</t>
  </si>
  <si>
    <t xml:space="preserve">          "error_score": 7.942955017089844,</t>
  </si>
  <si>
    <t xml:space="preserve">          "error_score": 6.842039585113525,</t>
  </si>
  <si>
    <t xml:space="preserve">          "error_score": 4.3657073974609375,</t>
  </si>
  <si>
    <t xml:space="preserve">          "error_score": 3.565206289291382,</t>
  </si>
  <si>
    <t xml:space="preserve">          "error_score": 3.5198471546173096,</t>
  </si>
  <si>
    <t xml:space="preserve">          "name": "GOLDEN AIRPORT",</t>
  </si>
  <si>
    <t xml:space="preserve">          "city": "Golden",</t>
  </si>
  <si>
    <t xml:space="preserve">          "station_id": "CAN01173220"</t>
  </si>
  <si>
    <t xml:space="preserve">          "2024-06-22 22:00:00.000000": 11.509578704833984,</t>
  </si>
  <si>
    <t xml:space="preserve">          "2024-06-15 22:00:00.000000": 11.14337158203125,</t>
  </si>
  <si>
    <t xml:space="preserve">          "2024-06-08 22:00:00.000000": 11.213417053222656,</t>
  </si>
  <si>
    <t xml:space="preserve">          "2024-06-06 22:00:00.000000": 11.470433235168457,</t>
  </si>
  <si>
    <t xml:space="preserve">          "2024-06-05 22:00:00.000000": 11.322973251342773,</t>
  </si>
  <si>
    <t xml:space="preserve">          "2024-06-02 22:00:00.000000": 11.222415924072266,</t>
  </si>
  <si>
    <t xml:space="preserve">          "2024-06-01 22:00:00.000000": 11.258584022521973,</t>
  </si>
  <si>
    <t xml:space="preserve">          "2024-05-29 22:00:00.000000": 10.721700668334961,</t>
  </si>
  <si>
    <t xml:space="preserve">          "2024-05-24 22:00:00.000000": 10.920672416687012,</t>
  </si>
  <si>
    <t xml:space="preserve">          "2024-05-20 22:00:00.000000": 10.92325496673584</t>
  </si>
  <si>
    <t xml:space="preserve">          "temperature": 1.2124995126534086,</t>
  </si>
  <si>
    <t xml:space="preserve">          "dew_point_temperature": 0.2232219252527572,</t>
  </si>
  <si>
    <t xml:space="preserve">          "temperature-yesterday": 0.14817783427088774,</t>
  </si>
  <si>
    <t xml:space="preserve">          "wind_direction": 0.13300195158224476,</t>
  </si>
  <si>
    <t xml:space="preserve">          "wind_speed": 0.12735049171333834</t>
  </si>
  <si>
    <t xml:space="preserve">          "error_score": 11.150053977966309,</t>
  </si>
  <si>
    <t xml:space="preserve">          "error_score": 9.097862243652344,</t>
  </si>
  <si>
    <t xml:space="preserve">          "error_score": 5.3254265785217285,</t>
  </si>
  <si>
    <t xml:space="preserve">          "error_score": 3.5744235515594482,</t>
  </si>
  <si>
    <t xml:space="preserve">          "error_score": 3.523557424545288,</t>
  </si>
  <si>
    <t xml:space="preserve">          "name": "SUMMERLAND CS",</t>
  </si>
  <si>
    <t xml:space="preserve">          "station_id": "CAN0112G8L1",</t>
  </si>
  <si>
    <t xml:space="preserve">          "city": "Summerland",</t>
  </si>
  <si>
    <t xml:space="preserve">          "2024-06-22 22:00:00.000000": 8.363393783569336,</t>
  </si>
  <si>
    <t xml:space="preserve">          "2024-06-15 22:00:00.000000": 7.976627826690674,</t>
  </si>
  <si>
    <t xml:space="preserve">          "2024-06-08 22:00:00.000000": 8.016569137573242,</t>
  </si>
  <si>
    <t xml:space="preserve">          "2024-06-06 22:00:00.000000": 8.268989562988281,</t>
  </si>
  <si>
    <t xml:space="preserve">          "2024-06-05 22:00:00.000000": 8.019124031066895,</t>
  </si>
  <si>
    <t xml:space="preserve">          "2024-06-02 22:00:00.000000": 8.273262977600098,</t>
  </si>
  <si>
    <t xml:space="preserve">          "2024-06-01 22:00:00.000000": 8.062093734741211,</t>
  </si>
  <si>
    <t xml:space="preserve">          "2024-05-29 22:00:00.000000": 7.905673503875732,</t>
  </si>
  <si>
    <t xml:space="preserve">          "2024-05-24 22:00:00.000000": 7.782993316650391,</t>
  </si>
  <si>
    <t xml:space="preserve">          "2024-05-20 22:00:00.000000": 7.869138240814209</t>
  </si>
  <si>
    <t xml:space="preserve">          "temperature": 1.4737616780786424,</t>
  </si>
  <si>
    <t xml:space="preserve">          "wind_direction": 0.13126733901720922,</t>
  </si>
  <si>
    <t xml:space="preserve">          "temperature-yesterday": 0.09251104294970855,</t>
  </si>
  <si>
    <t xml:space="preserve">          "dew_point_temperature": 0.08508695171883196,</t>
  </si>
  <si>
    <t xml:space="preserve">          "wind_speed": 0.056014637607976404</t>
  </si>
  <si>
    <t xml:space="preserve">          "error_score": 8.561308860778809,</t>
  </si>
  <si>
    <t xml:space="preserve">          "error_score": 8.347393035888672,</t>
  </si>
  <si>
    <t xml:space="preserve">          "error_score": 6.459081649780273,</t>
  </si>
  <si>
    <t xml:space="preserve">          "error_score": 5.41951847076416,</t>
  </si>
  <si>
    <t xml:space="preserve">          "error_score": 3.1359384059906006,</t>
  </si>
  <si>
    <t xml:space="preserve">          "station_id": "CAN01161662",</t>
  </si>
  <si>
    <t xml:space="preserve">          "name": "CLINTON A",</t>
  </si>
  <si>
    <t xml:space="preserve">          "city": "Clinton"</t>
  </si>
  <si>
    <t xml:space="preserve">          "2024-06-22 22:00:00.000000": 10.866219520568848,</t>
  </si>
  <si>
    <t xml:space="preserve">          "2024-06-15 22:00:00.000000": 11.132763862609863,</t>
  </si>
  <si>
    <t xml:space="preserve">          "2024-06-08 22:00:00.000000": 10.864391326904297,</t>
  </si>
  <si>
    <t xml:space="preserve">          "2024-06-06 22:00:00.000000": 10.758220672607422,</t>
  </si>
  <si>
    <t xml:space="preserve">          "2024-06-05 22:00:00.000000": 10.965906143188477,</t>
  </si>
  <si>
    <t xml:space="preserve">          "2024-06-02 22:00:00.000000": 10.93520736694336,</t>
  </si>
  <si>
    <t xml:space="preserve">          "2024-06-01 22:00:00.000000": 11.165450096130371,</t>
  </si>
  <si>
    <t xml:space="preserve">          "2024-05-29 22:00:00.000000": 10.872274398803711,</t>
  </si>
  <si>
    <t xml:space="preserve">          "2024-05-24 22:00:00.000000": 10.643316268920898,</t>
  </si>
  <si>
    <t xml:space="preserve">          "2024-05-20 22:00:00.000000": 10.751126289367676</t>
  </si>
  <si>
    <t xml:space="preserve">          "temperature": 0.6978931066937869,</t>
  </si>
  <si>
    <t xml:space="preserve">          "dew_point_temperature": 0.3849103035324247,</t>
  </si>
  <si>
    <t xml:space="preserve">          "dew_point_temperature-yesterday": 0.32109164065536655,</t>
  </si>
  <si>
    <t xml:space="preserve">          "wind_speed": 0.2629700387207903,</t>
  </si>
  <si>
    <t xml:space="preserve">          "temperature-yesterday": 0.2053404047441127</t>
  </si>
  <si>
    <t xml:space="preserve">          "error_score": 10.811651229858398,</t>
  </si>
  <si>
    <t xml:space="preserve">          "error_score": 9.22971248626709,</t>
  </si>
  <si>
    <t xml:space="preserve">          "error_score": 8.573134422302246,</t>
  </si>
  <si>
    <t xml:space="preserve">          "error_score": 6.957109451293945,</t>
  </si>
  <si>
    <t xml:space="preserve">          "error_score": 6.062272548675537,</t>
  </si>
  <si>
    <t xml:space="preserve">          "city": "Royston",</t>
  </si>
  <si>
    <t xml:space="preserve">          "station_id": "CAN01021830",</t>
  </si>
  <si>
    <t xml:space="preserve">          "name": "COMOXA"</t>
  </si>
  <si>
    <t xml:space="preserve">          "2024-06-22 22:00:00.000000": 6.3644256591796875,</t>
  </si>
  <si>
    <t xml:space="preserve">          "2024-06-15 22:00:00.000000": 6.144898891448975,</t>
  </si>
  <si>
    <t xml:space="preserve">          "2024-06-08 22:00:00.000000": 5.955957889556885,</t>
  </si>
  <si>
    <t xml:space="preserve">          "2024-06-06 22:00:00.000000": 6.098329544067383,</t>
  </si>
  <si>
    <t xml:space="preserve">          "2024-06-05 22:00:00.000000": 6.057927131652832,</t>
  </si>
  <si>
    <t xml:space="preserve">          "2024-06-02 22:00:00.000000": 5.869132995605469,</t>
  </si>
  <si>
    <t xml:space="preserve">          "2024-06-01 22:00:00.000000": 5.850313663482666,</t>
  </si>
  <si>
    <t xml:space="preserve">          "2024-05-29 22:00:00.000000": 5.71722936630249,</t>
  </si>
  <si>
    <t xml:space="preserve">          "2024-05-24 22:00:00.000000": 5.634165287017822,</t>
  </si>
  <si>
    <t xml:space="preserve">          "2024-05-20 22:00:00.000000": 5.561263561248779</t>
  </si>
  <si>
    <t xml:space="preserve">          "temperature": 0.6309210691540419,</t>
  </si>
  <si>
    <t xml:space="preserve">          "dew_point_temperature": 0.6120273157316086,</t>
  </si>
  <si>
    <t xml:space="preserve">          "temperature-yesterday": 0.2154707580492099,</t>
  </si>
  <si>
    <t xml:space="preserve">          "wind_speed": 0.09701847311111249,</t>
  </si>
  <si>
    <t xml:space="preserve">          "wind_speed-yesterday": 0.08774005359927975</t>
  </si>
  <si>
    <t xml:space="preserve">          "error_score": 6.207073211669922,</t>
  </si>
  <si>
    <t xml:space="preserve">          "error_score": 4.602637767791748,</t>
  </si>
  <si>
    <t xml:space="preserve">          "error_score": 4.060850143432617,</t>
  </si>
  <si>
    <t xml:space="preserve">          "error_score": 3.3935434818267822,</t>
  </si>
  <si>
    <t xml:space="preserve">          "error_score": 2.6112189292907715,</t>
  </si>
  <si>
    <t xml:space="preserve">          "station_id": "CAN01026270",</t>
  </si>
  <si>
    <t xml:space="preserve">          "name": "PORT HARDY A"</t>
  </si>
  <si>
    <t xml:space="preserve">          "2024-06-22 22:00:00.000000": 8.83919620513916,</t>
  </si>
  <si>
    <t xml:space="preserve">          "2024-06-15 22:00:00.000000": 8.164414405822754,</t>
  </si>
  <si>
    <t xml:space="preserve">          "2024-06-08 22:00:00.000000": 8.369073867797852,</t>
  </si>
  <si>
    <t xml:space="preserve">          "2024-06-06 22:00:00.000000": 8.554154396057129,</t>
  </si>
  <si>
    <t xml:space="preserve">          "2024-06-05 22:00:00.000000": 8.452559471130371,</t>
  </si>
  <si>
    <t xml:space="preserve">          "2024-06-02 22:00:00.000000": 8.256677627563477,</t>
  </si>
  <si>
    <t xml:space="preserve">          "2024-06-01 22:00:00.000000": 8.4281005859375,</t>
  </si>
  <si>
    <t xml:space="preserve">          "2024-05-29 22:00:00.000000": 8.038005828857422,</t>
  </si>
  <si>
    <t xml:space="preserve">          "2024-05-24 22:00:00.000000": 8.045248985290527,</t>
  </si>
  <si>
    <t xml:space="preserve">          "2024-05-20 22:00:00.000000": 8.010346412658691</t>
  </si>
  <si>
    <t xml:space="preserve">          "temperature": 0.6341181765394795,</t>
  </si>
  <si>
    <t xml:space="preserve">          "dew_point_temperature": 0.5651137096849727,</t>
  </si>
  <si>
    <t xml:space="preserve">          "temperature-yesterday": 0.16806073863173818,</t>
  </si>
  <si>
    <t xml:space="preserve">          "wind_speed-yesterday": 0.15768134389726238,</t>
  </si>
  <si>
    <t xml:space="preserve">          "wind_speed": 0.15548038476774775</t>
  </si>
  <si>
    <t xml:space="preserve">          "error_score": 8.380117416381836,</t>
  </si>
  <si>
    <t xml:space="preserve">          "error_score": 6.617372989654541,</t>
  </si>
  <si>
    <t xml:space="preserve">          "error_score": 5.6527419090271,</t>
  </si>
  <si>
    <t xml:space="preserve">          "error_score": 4.130045413970947,</t>
  </si>
  <si>
    <t xml:space="preserve">          "error_score": 2.173131227493286,</t>
  </si>
  <si>
    <t xml:space="preserve">          "station_id": "CAN011790J1",</t>
  </si>
  <si>
    <t xml:space="preserve">          "name": "YOHO PARK",</t>
  </si>
  <si>
    <t xml:space="preserve">          "terrain": "mountain class 4"</t>
  </si>
  <si>
    <t xml:space="preserve">          "2024-06-22 22:00:00.000000": 9.976901054382324,</t>
  </si>
  <si>
    <t xml:space="preserve">          "2024-06-15 22:00:00.000000": 9.937952995300293,</t>
  </si>
  <si>
    <t xml:space="preserve">          "2024-06-08 22:00:00.000000": 9.982624053955078,</t>
  </si>
  <si>
    <t xml:space="preserve">          "2024-06-06 22:00:00.000000": 9.997989654541016,</t>
  </si>
  <si>
    <t xml:space="preserve">          "2024-06-05 22:00:00.000000": 9.94577407836914,</t>
  </si>
  <si>
    <t xml:space="preserve">          "2024-06-02 22:00:00.000000": 9.724682807922363,</t>
  </si>
  <si>
    <t xml:space="preserve">          "2024-06-01 22:00:00.000000": 9.62204647064209,</t>
  </si>
  <si>
    <t xml:space="preserve">          "2024-05-29 22:00:00.000000": 9.472408294677734,</t>
  </si>
  <si>
    <t xml:space="preserve">          "2024-05-24 22:00:00.000000": 9.387359619140625,</t>
  </si>
  <si>
    <t xml:space="preserve">          "2024-05-20 22:00:00.000000": 9.342411994934082</t>
  </si>
  <si>
    <t xml:space="preserve">          "temperature": 1.7769182744305454,</t>
  </si>
  <si>
    <t xml:space="preserve">          "temperature-yesterday": 0.24450547739297335,</t>
  </si>
  <si>
    <t xml:space="preserve">          "dew_point_temperature-yesterday": 0.2403426957109173,</t>
  </si>
  <si>
    <t xml:space="preserve">          "wind_direction": 0.2242490239081786,</t>
  </si>
  <si>
    <t xml:space="preserve">          "wind_speed-yesterday": 0.2216492696024724</t>
  </si>
  <si>
    <t xml:space="preserve">        "mountain class 4": {</t>
  </si>
  <si>
    <t xml:space="preserve">          "error_score": 7.698063850402832,</t>
  </si>
  <si>
    <t xml:space="preserve">          "error_score": 7.516446590423584,</t>
  </si>
  <si>
    <t xml:space="preserve">          "error_score": 6.50599479675293,</t>
  </si>
  <si>
    <t xml:space="preserve">          "error_score": 5.063469886779785,</t>
  </si>
  <si>
    <t xml:space="preserve">          "error_score": 4.931126117706299,</t>
  </si>
  <si>
    <t xml:space="preserve">          "station_id": "CAN01047172",</t>
  </si>
  <si>
    <t xml:space="preserve">          "name": "SECHELT AUT",</t>
  </si>
  <si>
    <t xml:space="preserve">          "city": "Sechelt"</t>
  </si>
  <si>
    <t xml:space="preserve">          "2024-06-22 22:00:00.000000": 3.9544014930725098,</t>
  </si>
  <si>
    <t xml:space="preserve">          "2024-06-15 22:00:00.000000": 3.831772565841675,</t>
  </si>
  <si>
    <t xml:space="preserve">          "2024-06-08 22:00:00.000000": 4.0990471839904785,</t>
  </si>
  <si>
    <t xml:space="preserve">          "2024-06-06 22:00:00.000000": 3.913689374923706,</t>
  </si>
  <si>
    <t xml:space="preserve">          "2024-06-05 22:00:00.000000": 4.051236152648926,</t>
  </si>
  <si>
    <t xml:space="preserve">          "2024-06-02 22:00:00.000000": 3.973167657852173,</t>
  </si>
  <si>
    <t xml:space="preserve">          "2024-06-01 22:00:00.000000": 4.095843315124512,</t>
  </si>
  <si>
    <t xml:space="preserve">          "2024-05-29 22:00:00.000000": 3.916940212249756,</t>
  </si>
  <si>
    <t xml:space="preserve">          "2024-05-24 22:00:00.000000": 3.920612096786499,</t>
  </si>
  <si>
    <t xml:space="preserve">          "2024-05-20 22:00:00.000000": 3.9978160858154297</t>
  </si>
  <si>
    <t xml:space="preserve">          "temperature": 1.295251518920126,</t>
  </si>
  <si>
    <t xml:space="preserve">          "temperature-yesterday": 0.2586615618374647,</t>
  </si>
  <si>
    <t xml:space="preserve">          "dew_point_temperature": 0.17083565945917517,</t>
  </si>
  <si>
    <t xml:space="preserve">          "wind_direction": 0.0716079640902598,</t>
  </si>
  <si>
    <t xml:space="preserve">          "wind_speed": 0.07106054477790132</t>
  </si>
  <si>
    <t xml:space="preserve">          "error_score": 6.354367733001709,</t>
  </si>
  <si>
    <t xml:space="preserve">          "error_score": 4.024060249328613,</t>
  </si>
  <si>
    <t xml:space="preserve">          "error_score": 4.005492687225342,</t>
  </si>
  <si>
    <t xml:space="preserve">          "error_score": 3.7252614498138428,</t>
  </si>
  <si>
    <t xml:space="preserve">          "error_score": 3.108750104904175,</t>
  </si>
  <si>
    <t xml:space="preserve">          "name": "SARTINE ISLAND (AUT)",</t>
  </si>
  <si>
    <t xml:space="preserve">          "station_id": "CAN01037090",</t>
  </si>
  <si>
    <t xml:space="preserve">          "2024-06-22 22:00:00.000000": 7.385016441345215,</t>
  </si>
  <si>
    <t xml:space="preserve">          "2024-06-15 22:00:00.000000": 7.0971598625183105,</t>
  </si>
  <si>
    <t xml:space="preserve">          "2024-06-08 22:00:00.000000": 7.070836544036865,</t>
  </si>
  <si>
    <t xml:space="preserve">          "2024-06-06 22:00:00.000000": 7.088307857513428,</t>
  </si>
  <si>
    <t xml:space="preserve">          "2024-06-05 22:00:00.000000": 6.949049472808838,</t>
  </si>
  <si>
    <t xml:space="preserve">          "2024-06-02 22:00:00.000000": 6.962780952453613,</t>
  </si>
  <si>
    <t xml:space="preserve">          "2024-06-01 22:00:00.000000": 6.875610828399658,</t>
  </si>
  <si>
    <t xml:space="preserve">          "2024-05-29 22:00:00.000000": 6.603482246398926,</t>
  </si>
  <si>
    <t xml:space="preserve">          "2024-05-24 22:00:00.000000": 6.499279022216797,</t>
  </si>
  <si>
    <t xml:space="preserve">          "2024-05-20 22:00:00.000000": 6.521554946899414</t>
  </si>
  <si>
    <t xml:space="preserve">          "temperature": 1.0020960273568196,</t>
  </si>
  <si>
    <t xml:space="preserve">          "dew_point_temperature": 0.538460900242411,</t>
  </si>
  <si>
    <t xml:space="preserve">          "wind_direction-yesterday": 0.39702012812567744,</t>
  </si>
  <si>
    <t xml:space="preserve">          "temperature-yesterday": 0.2797812100579746,</t>
  </si>
  <si>
    <t xml:space="preserve">          "wind_speed": 0.2146168756370191</t>
  </si>
  <si>
    <t xml:space="preserve">          "error_score": 7.7929534912109375,</t>
  </si>
  <si>
    <t xml:space="preserve">          "error_score": 7.1295270919799805,</t>
  </si>
  <si>
    <t xml:space="preserve">          "error_score": 5.060819149017334,</t>
  </si>
  <si>
    <t xml:space="preserve">          "error_score": 4.489863395690918,</t>
  </si>
  <si>
    <t xml:space="preserve">          "error_score": 4.019082069396973,</t>
  </si>
  <si>
    <t xml:space="preserve">          "name": "TERRACE A",</t>
  </si>
  <si>
    <t xml:space="preserve">          "station_id": "CAN01068130",</t>
  </si>
  <si>
    <t xml:space="preserve">          "city": "Terrace",</t>
  </si>
  <si>
    <t xml:space="preserve">          "2024-06-22 22:00:00.000000": 7.648720741271973,</t>
  </si>
  <si>
    <t xml:space="preserve">          "2024-06-15 22:00:00.000000": 7.639164924621582,</t>
  </si>
  <si>
    <t xml:space="preserve">          "2024-06-08 22:00:00.000000": 7.827230453491211,</t>
  </si>
  <si>
    <t xml:space="preserve">          "2024-06-06 22:00:00.000000": 7.621826171875,</t>
  </si>
  <si>
    <t xml:space="preserve">          "2024-06-05 22:00:00.000000": 7.553447723388672,</t>
  </si>
  <si>
    <t xml:space="preserve">          "2024-06-02 22:00:00.000000": 7.817682266235352,</t>
  </si>
  <si>
    <t xml:space="preserve">          "2024-06-01 22:00:00.000000": 7.912670135498047,</t>
  </si>
  <si>
    <t xml:space="preserve">          "2024-05-29 22:00:00.000000": 7.933391094207764,</t>
  </si>
  <si>
    <t xml:space="preserve">          "2024-05-24 22:00:00.000000": 7.822883129119873,</t>
  </si>
  <si>
    <t xml:space="preserve">          "2024-05-20 22:00:00.000000": 7.68156099319458</t>
  </si>
  <si>
    <t xml:space="preserve">          "temperature": 1.5012364232675197,</t>
  </si>
  <si>
    <t xml:space="preserve">          "dew_point_temperature": 0.13986504205645428,</t>
  </si>
  <si>
    <t xml:space="preserve">          "temperature-yesterday": 0.12830416426660518,</t>
  </si>
  <si>
    <t xml:space="preserve">          "wind_direction": 0.059386035756470945,</t>
  </si>
  <si>
    <t xml:space="preserve">          "wind_direction-yesterday": 0.055514141250950264</t>
  </si>
  <si>
    <t xml:space="preserve">          "error_score": 8.105311393737793,</t>
  </si>
  <si>
    <t xml:space="preserve">          "error_score": 7.711148262023926,</t>
  </si>
  <si>
    <t xml:space="preserve">          "error_score": 7.386950492858887,</t>
  </si>
  <si>
    <t xml:space="preserve">          "error_score": 5.54804801940918,</t>
  </si>
  <si>
    <t xml:space="preserve">          "error_score": 4.32428503036499,</t>
  </si>
  <si>
    <t xml:space="preserve">          "city": "Revelstoke",</t>
  </si>
  <si>
    <t xml:space="preserve">          "name": "REVELSTOKE AIRPORT AUTO",</t>
  </si>
  <si>
    <t xml:space="preserve">          "station_id": "CAN01176755"</t>
  </si>
  <si>
    <t xml:space="preserve">          "2024-06-22 22:00:00.000000": 9.357392311096191,</t>
  </si>
  <si>
    <t xml:space="preserve">          "2024-06-15 22:00:00.000000": 9.180169105529785,</t>
  </si>
  <si>
    <t xml:space="preserve">          "2024-06-08 22:00:00.000000": 9.300917625427246,</t>
  </si>
  <si>
    <t xml:space="preserve">          "2024-06-06 22:00:00.000000": 9.296396255493164,</t>
  </si>
  <si>
    <t xml:space="preserve">          "2024-06-05 22:00:00.000000": 9.206948280334473,</t>
  </si>
  <si>
    <t xml:space="preserve">          "2024-06-02 22:00:00.000000": 9.186861991882324,</t>
  </si>
  <si>
    <t xml:space="preserve">          "2024-06-01 22:00:00.000000": 9.4298734664917,</t>
  </si>
  <si>
    <t xml:space="preserve">          "2024-05-29 22:00:00.000000": 9.039411544799805,</t>
  </si>
  <si>
    <t xml:space="preserve">          "2024-05-24 22:00:00.000000": 9.018022537231445,</t>
  </si>
  <si>
    <t xml:space="preserve">          "2024-05-20 22:00:00.000000": 9.114977836608887</t>
  </si>
  <si>
    <t xml:space="preserve">          "temperature": 1.763898327563411,</t>
  </si>
  <si>
    <t xml:space="preserve">          "temperature-yesterday": 0.13268861134965054,</t>
  </si>
  <si>
    <t xml:space="preserve">          "dew_point_temperature": 0.0907702504273099,</t>
  </si>
  <si>
    <t xml:space="preserve">          "wind_direction": 0.056303091720553054,</t>
  </si>
  <si>
    <t xml:space="preserve">          "wind_direction-yesterday": 0.04260307834279915</t>
  </si>
  <si>
    <t xml:space="preserve">          "error_score": 9.648351669311523,</t>
  </si>
  <si>
    <t xml:space="preserve">          "error_score": 9.337467193603516,</t>
  </si>
  <si>
    <t xml:space="preserve">          "error_score": 6.946920871734619,</t>
  </si>
  <si>
    <t xml:space="preserve">          "error_score": 4.496976852416992,</t>
  </si>
  <si>
    <t xml:space="preserve">          "error_score": 3.604344367980957,</t>
  </si>
  <si>
    <t xml:space="preserve">          "city": "Saanichton",</t>
  </si>
  <si>
    <t xml:space="preserve">          "name": "SAANICHTON CFIA",</t>
  </si>
  <si>
    <t xml:space="preserve">          "station_id": "CAN01016943"</t>
  </si>
  <si>
    <t xml:space="preserve">          "2024-06-22 22:00:00.000000": 4.375741958618164</t>
  </si>
  <si>
    <t xml:space="preserve">          "temperature": 0.967871827809782,</t>
  </si>
  <si>
    <t xml:space="preserve">          "dew_point_temperature": 0.2370774768460559,</t>
  </si>
  <si>
    <t xml:space="preserve">          "temperature-yesterday": 0.22371773062988237,</t>
  </si>
  <si>
    <t xml:space="preserve">          "wind_direction": 0.22006447045802674,</t>
  </si>
  <si>
    <t xml:space="preserve">          "wind_speed": 0.110404588266838</t>
  </si>
  <si>
    <t xml:space="preserve">          "error_score": 4.7676591873168945,</t>
  </si>
  <si>
    <t xml:space="preserve">          "error_score": 4.378563404083252,</t>
  </si>
  <si>
    <t xml:space="preserve">          "error_score": 2.989701509475708,</t>
  </si>
  <si>
    <t xml:space="preserve">          "error_score": 2.834935426712036,</t>
  </si>
  <si>
    <t xml:space="preserve">          "error_score": 2.2035670280456543,</t>
  </si>
  <si>
    <t xml:space="preserve">          "city": "Agassiz",</t>
  </si>
  <si>
    <t xml:space="preserve">          "station_id": "CAN01100119",</t>
  </si>
  <si>
    <t xml:space="preserve">          "name": "AGASSIZ RCS"</t>
  </si>
  <si>
    <t xml:space="preserve">          "2024-06-22 22:00:00.000000": 7.151791095733643,</t>
  </si>
  <si>
    <t xml:space="preserve">          "2024-06-15 22:00:00.000000": 7.059384346008301,</t>
  </si>
  <si>
    <t xml:space="preserve">          "2024-06-08 22:00:00.000000": 6.922065734863281,</t>
  </si>
  <si>
    <t xml:space="preserve">          "2024-06-06 22:00:00.000000": 7.054511070251465,</t>
  </si>
  <si>
    <t xml:space="preserve">          "2024-06-05 22:00:00.000000": 6.982115745544434,</t>
  </si>
  <si>
    <t xml:space="preserve">          "2024-06-02 22:00:00.000000": 6.76137113571167,</t>
  </si>
  <si>
    <t xml:space="preserve">          "2024-06-01 22:00:00.000000": 6.837097644805908,</t>
  </si>
  <si>
    <t xml:space="preserve">          "2024-05-29 22:00:00.000000": 6.614025592803955,</t>
  </si>
  <si>
    <t xml:space="preserve">          "2024-05-24 22:00:00.000000": 6.515321254730225,</t>
  </si>
  <si>
    <t xml:space="preserve">          "2024-05-20 22:00:00.000000": 6.5061750411987305</t>
  </si>
  <si>
    <t xml:space="preserve">          "temperature": 1.4039904646294858,</t>
  </si>
  <si>
    <t xml:space="preserve">          "temperature-yesterday": 0.6218997266965676,</t>
  </si>
  <si>
    <t xml:space="preserve">          "dew_point_temperature": 0.19303612317514338,</t>
  </si>
  <si>
    <t xml:space="preserve">          "wind_direction": 0.1617276964069,</t>
  </si>
  <si>
    <t xml:space="preserve">          "dew_point_temperature-yesterday": 0.13390108404508816</t>
  </si>
  <si>
    <t xml:space="preserve">          "error_score": 7.118429660797119,</t>
  </si>
  <si>
    <t xml:space="preserve">          "error_score": 6.902453899383545,</t>
  </si>
  <si>
    <t xml:space="preserve">          "error_score": 5.105796813964844,</t>
  </si>
  <si>
    <t xml:space="preserve">          "error_score": 4.25308895111084,</t>
  </si>
  <si>
    <t xml:space="preserve">          "error_score": 3.2098405361175537,</t>
  </si>
  <si>
    <t xml:space="preserve">          "name": "NELSON CS",</t>
  </si>
  <si>
    <t xml:space="preserve">          "station_id": "CAN01145M29",</t>
  </si>
  <si>
    <t xml:space="preserve">          "city": "Nelson"</t>
  </si>
  <si>
    <t xml:space="preserve">          "2024-06-22 22:00:00.000000": 4.805600643157959,</t>
  </si>
  <si>
    <t xml:space="preserve">          "2024-06-15 22:00:00.000000": 4.644865036010742,</t>
  </si>
  <si>
    <t xml:space="preserve">          "2024-06-08 22:00:00.000000": 4.692747116088867,</t>
  </si>
  <si>
    <t xml:space="preserve">          "2024-06-06 22:00:00.000000": 4.468542098999023,</t>
  </si>
  <si>
    <t xml:space="preserve">          "2024-06-05 22:00:00.000000": 4.660830497741699,</t>
  </si>
  <si>
    <t xml:space="preserve">          "2024-06-02 22:00:00.000000": 4.590618133544922,</t>
  </si>
  <si>
    <t xml:space="preserve">          "2024-06-01 22:00:00.000000": 4.424047946929932,</t>
  </si>
  <si>
    <t xml:space="preserve">          "2024-05-29 22:00:00.000000": 4.532418251037598,</t>
  </si>
  <si>
    <t xml:space="preserve">          "2024-05-24 22:00:00.000000": 4.396461009979248,</t>
  </si>
  <si>
    <t xml:space="preserve">          "2024-05-20 22:00:00.000000": 4.41840934753418</t>
  </si>
  <si>
    <t xml:space="preserve">          "temperature": 1.3259458560733615,</t>
  </si>
  <si>
    <t xml:space="preserve">          "temperature-yesterday": 0.2285356509225925,</t>
  </si>
  <si>
    <t xml:space="preserve">          "dew_point_temperature": 0.2177817351627931,</t>
  </si>
  <si>
    <t xml:space="preserve">          "wind_speed": 0.10700354360875786,</t>
  </si>
  <si>
    <t xml:space="preserve">          "wind_speed-yesterday": 0.0799710214061435</t>
  </si>
  <si>
    <t xml:space="preserve">          "error_score": 5.1258134841918945,</t>
  </si>
  <si>
    <t xml:space="preserve">          "error_score": 5.1197028160095215,</t>
  </si>
  <si>
    <t xml:space="preserve">          "error_score": 4.973483085632324,</t>
  </si>
  <si>
    <t xml:space="preserve">          "error_score": 3.4741008281707764,</t>
  </si>
  <si>
    <t xml:space="preserve">          "error_score": 2.809710741043091,</t>
  </si>
  <si>
    <t xml:space="preserve">          "city": "Whistler",</t>
  </si>
  <si>
    <t xml:space="preserve">          "station_id": "CAI0000CVOY",</t>
  </si>
  <si>
    <t xml:space="preserve">          "name": "CALLAGHAN VALLEY(BIATHALON)",</t>
  </si>
  <si>
    <t xml:space="preserve">          "2024-06-22 22:00:00.000000": 7.378232002258301,</t>
  </si>
  <si>
    <t xml:space="preserve">          "2024-06-15 22:00:00.000000": 7.245187282562256,</t>
  </si>
  <si>
    <t xml:space="preserve">          "2024-06-08 22:00:00.000000": 7.216734886169434,</t>
  </si>
  <si>
    <t xml:space="preserve">          "2024-06-06 22:00:00.000000": 7.248678207397461,</t>
  </si>
  <si>
    <t xml:space="preserve">          "2024-06-05 22:00:00.000000": 7.07673454284668,</t>
  </si>
  <si>
    <t xml:space="preserve">          "2024-06-02 22:00:00.000000": 7.079054355621338,</t>
  </si>
  <si>
    <t xml:space="preserve">          "2024-06-01 22:00:00.000000": 6.888902187347412,</t>
  </si>
  <si>
    <t xml:space="preserve">          "2024-05-29 22:00:00.000000": 6.878307342529297,</t>
  </si>
  <si>
    <t xml:space="preserve">          "2024-05-24 22:00:00.000000": 6.779898166656494,</t>
  </si>
  <si>
    <t xml:space="preserve">          "2024-05-20 22:00:00.000000": 6.790218830108643</t>
  </si>
  <si>
    <t xml:space="preserve">          "temperature": 1.8132677038185476,</t>
  </si>
  <si>
    <t xml:space="preserve">          "temperature-yesterday": 0.4660676233037746,</t>
  </si>
  <si>
    <t xml:space="preserve">          "wind_direction": 0.28791828457236324,</t>
  </si>
  <si>
    <t xml:space="preserve">          "dew_point_temperature": 0.2407363275151404,</t>
  </si>
  <si>
    <t xml:space="preserve">          "wind_speed": 0.16131030949109715</t>
  </si>
  <si>
    <t xml:space="preserve">          "error_score": 7.895820617675781,</t>
  </si>
  <si>
    <t xml:space="preserve">          "error_score": 7.674894332885742,</t>
  </si>
  <si>
    <t xml:space="preserve">          "error_score": 6.262716770172119,</t>
  </si>
  <si>
    <t xml:space="preserve">          "error_score": 5.253407001495361,</t>
  </si>
  <si>
    <t xml:space="preserve">          "error_score": 5.169814109802246,</t>
  </si>
  <si>
    <t xml:space="preserve">          "station_id": "CAN01064324",</t>
  </si>
  <si>
    <t xml:space="preserve">          "city": "Kitimat",</t>
  </si>
  <si>
    <t xml:space="preserve">          "name": "KITIMAT FOREST AVE"</t>
  </si>
  <si>
    <t xml:space="preserve">          "2024-06-22 22:00:00.000000": 8.04691219329834</t>
  </si>
  <si>
    <t xml:space="preserve">          "temperature": 1.6908664162957467,</t>
  </si>
  <si>
    <t xml:space="preserve">          "dew_point_temperature": 0.22830245647214223,</t>
  </si>
  <si>
    <t xml:space="preserve">          "temperature-yesterday": 0.1728292473777236,</t>
  </si>
  <si>
    <t xml:space="preserve">          "wind_speed": 0.1517485275091222,</t>
  </si>
  <si>
    <t xml:space="preserve">          "wind_direction": 0.13943965318325785</t>
  </si>
  <si>
    <t xml:space="preserve">          "error_score": 8.01490306854248,</t>
  </si>
  <si>
    <t xml:space="preserve">          "error_score": 7.828063011169434,</t>
  </si>
  <si>
    <t xml:space="preserve">          "error_score": 7.063166618347168,</t>
  </si>
  <si>
    <t xml:space="preserve">          "error_score": 6.2548956871032715,</t>
  </si>
  <si>
    <t xml:space="preserve">          "error_score": 5.326455116271973,</t>
  </si>
  <si>
    <t xml:space="preserve">          "station_id": "CAN01021261",</t>
  </si>
  <si>
    <t xml:space="preserve">          "name": "CAMPBELL RIVER A"</t>
  </si>
  <si>
    <t xml:space="preserve">          "2024-06-22 22:00:00.000000": 4.454115390777588,</t>
  </si>
  <si>
    <t xml:space="preserve">          "2024-06-15 22:00:00.000000": 4.585697650909424,</t>
  </si>
  <si>
    <t xml:space="preserve">          "2024-06-08 22:00:00.000000": 4.510639190673828,</t>
  </si>
  <si>
    <t xml:space="preserve">          "2024-06-06 22:00:00.000000": 4.395035266876221,</t>
  </si>
  <si>
    <t xml:space="preserve">          "2024-06-05 22:00:00.000000": 4.368980884552002,</t>
  </si>
  <si>
    <t xml:space="preserve">          "2024-06-02 22:00:00.000000": 4.5217604637146,</t>
  </si>
  <si>
    <t xml:space="preserve">          "2024-06-01 22:00:00.000000": 4.674414157867432,</t>
  </si>
  <si>
    <t xml:space="preserve">          "2024-05-29 22:00:00.000000": 4.617671966552734,</t>
  </si>
  <si>
    <t xml:space="preserve">          "2024-05-24 22:00:00.000000": 4.712969779968262,</t>
  </si>
  <si>
    <t xml:space="preserve">          "2024-05-20 22:00:00.000000": 4.39716100692749</t>
  </si>
  <si>
    <t xml:space="preserve">          "temperature": 1.3254403238646169,</t>
  </si>
  <si>
    <t xml:space="preserve">          "temperature-yesterday": 0.22032350701890796,</t>
  </si>
  <si>
    <t xml:space="preserve">          "dew_point_temperature": 0.21649947560729593,</t>
  </si>
  <si>
    <t xml:space="preserve">          "dew_point_temperature-yesterday": 0.16069706451600022,</t>
  </si>
  <si>
    <t xml:space="preserve">          "wind_speed": 0.10958515246381235</t>
  </si>
  <si>
    <t xml:space="preserve">          "error_score": 5.0189528465271,</t>
  </si>
  <si>
    <t xml:space="preserve">          "error_score": 4.746838092803955,</t>
  </si>
  <si>
    <t xml:space="preserve">          "error_score": 4.635772228240967,</t>
  </si>
  <si>
    <t xml:space="preserve">          "error_score": 3.699120044708252,</t>
  </si>
  <si>
    <t xml:space="preserve">          "error_score": 3.16191029548645,</t>
  </si>
  <si>
    <t xml:space="preserve">          "station_id": "CAN01113543",</t>
  </si>
  <si>
    <t xml:space="preserve">          "city": "Hope",</t>
  </si>
  <si>
    <t xml:space="preserve">          "name": "HOPE AIRPORT"</t>
  </si>
  <si>
    <t xml:space="preserve">          "2024-06-22 22:00:00.000000": 6.352219581604004,</t>
  </si>
  <si>
    <t xml:space="preserve">          "2024-06-15 22:00:00.000000": 6.498291492462158,</t>
  </si>
  <si>
    <t xml:space="preserve">          "2024-06-08 22:00:00.000000": 6.260976314544678,</t>
  </si>
  <si>
    <t xml:space="preserve">          "2024-06-06 22:00:00.000000": 6.217062473297119,</t>
  </si>
  <si>
    <t xml:space="preserve">          "2024-06-05 22:00:00.000000": 6.159886360168457,</t>
  </si>
  <si>
    <t xml:space="preserve">          "2024-06-02 22:00:00.000000": 6.043929576873779,</t>
  </si>
  <si>
    <t xml:space="preserve">          "2024-06-01 22:00:00.000000": 6.220592975616455,</t>
  </si>
  <si>
    <t xml:space="preserve">          "2024-05-29 22:00:00.000000": 5.960853576660156,</t>
  </si>
  <si>
    <t xml:space="preserve">          "2024-05-24 22:00:00.000000": 5.934499263763428,</t>
  </si>
  <si>
    <t xml:space="preserve">          "2024-05-20 22:00:00.000000": 5.80627965927124</t>
  </si>
  <si>
    <t xml:space="preserve">          "temperature": 1.6855289500349233,</t>
  </si>
  <si>
    <t xml:space="preserve">          "temperature-yesterday": 0.24514556503580032,</t>
  </si>
  <si>
    <t xml:space="preserve">          "wind_speed-yesterday": 0.1172589898386136,</t>
  </si>
  <si>
    <t xml:space="preserve">          "wind_speed": 0.08593929241626723,</t>
  </si>
  <si>
    <t xml:space="preserve">          "wind_direction-yesterday": 0.08430955821605794</t>
  </si>
  <si>
    <t xml:space="preserve">          "error_score": 6.373486518859863,</t>
  </si>
  <si>
    <t xml:space="preserve">          "error_score": 6.194065093994141,</t>
  </si>
  <si>
    <t xml:space="preserve">          "error_score": 4.97353982925415,</t>
  </si>
  <si>
    <t xml:space="preserve">          "error_score": 4.3937296867370605,</t>
  </si>
  <si>
    <t xml:space="preserve">          "error_score": 3.461516857147217,</t>
  </si>
  <si>
    <t xml:space="preserve">          "city": "Creston",</t>
  </si>
  <si>
    <t xml:space="preserve">          "name": "CRESTON CAMPBELL SCIENTIFIC",</t>
  </si>
  <si>
    <t xml:space="preserve">          "station_id": "CAN0114B1F0"</t>
  </si>
  <si>
    <t xml:space="preserve">          "2024-06-22 22:00:00.000000": 4.80752420425415,</t>
  </si>
  <si>
    <t xml:space="preserve">          "2024-06-15 22:00:00.000000": 5.178802490234375,</t>
  </si>
  <si>
    <t xml:space="preserve">          "2024-06-08 22:00:00.000000": 5.027134418487549,</t>
  </si>
  <si>
    <t xml:space="preserve">          "2024-06-06 22:00:00.000000": 4.664501667022705,</t>
  </si>
  <si>
    <t xml:space="preserve">          "2024-06-05 22:00:00.000000": 4.980905532836914,</t>
  </si>
  <si>
    <t xml:space="preserve">          "2024-06-02 22:00:00.000000": 4.766386985778809,</t>
  </si>
  <si>
    <t xml:space="preserve">          "2024-06-01 22:00:00.000000": 4.876986980438232,</t>
  </si>
  <si>
    <t xml:space="preserve">          "2024-05-29 22:00:00.000000": 4.967156887054443,</t>
  </si>
  <si>
    <t xml:space="preserve">          "2024-05-24 22:00:00.000000": 5.051115036010742,</t>
  </si>
  <si>
    <t xml:space="preserve">          "2024-05-20 22:00:00.000000": 4.684516429901123</t>
  </si>
  <si>
    <t xml:space="preserve">          "temperature": 1.0201993490674228,</t>
  </si>
  <si>
    <t xml:space="preserve">          "dew_point_temperature": 0.23166773747699287,</t>
  </si>
  <si>
    <t xml:space="preserve">          "temperature-yesterday": 0.10485279901267093,</t>
  </si>
  <si>
    <t xml:space="preserve">          "dew_point_temperature-yesterday": 0.08880869927332428,</t>
  </si>
  <si>
    <t xml:space="preserve">          "wind_direction": 0.07758955388446087</t>
  </si>
  <si>
    <t xml:space="preserve">          "error_score": 5.917616844177246,</t>
  </si>
  <si>
    <t xml:space="preserve">          "error_score": 5.1868510246276855,</t>
  </si>
  <si>
    <t xml:space="preserve">          "error_score": 4.917361736297607,</t>
  </si>
  <si>
    <t xml:space="preserve">          "error_score": 4.77675724029541,</t>
  </si>
  <si>
    <t xml:space="preserve">          "error_score": 3.7168097496032715,</t>
  </si>
  <si>
    <t xml:space="preserve">          "name": "SAMBAA K'E",</t>
  </si>
  <si>
    <t xml:space="preserve">          "station_id": "CAN0220CQHR",</t>
  </si>
  <si>
    <t xml:space="preserve">          "2024-06-22 22:00:00.000000": 12.152291297912598,</t>
  </si>
  <si>
    <t xml:space="preserve">          "2024-06-15 22:00:00.000000": 12.307077407836914,</t>
  </si>
  <si>
    <t xml:space="preserve">          "2024-06-08 22:00:00.000000": 11.914641380310059,</t>
  </si>
  <si>
    <t xml:space="preserve">          "2024-06-06 22:00:00.000000": 12.285964012145996,</t>
  </si>
  <si>
    <t xml:space="preserve">          "2024-06-05 22:00:00.000000": 12.099570274353027,</t>
  </si>
  <si>
    <t xml:space="preserve">          "2024-06-02 22:00:00.000000": 11.844330787658691,</t>
  </si>
  <si>
    <t xml:space="preserve">          "2024-06-01 22:00:00.000000": 12.039620399475098,</t>
  </si>
  <si>
    <t xml:space="preserve">          "2024-05-29 22:00:00.000000": 12.364107131958008,</t>
  </si>
  <si>
    <t xml:space="preserve">          "2024-05-24 22:00:00.000000": 11.750982284545898,</t>
  </si>
  <si>
    <t xml:space="preserve">          "2024-05-20 22:00:00.000000": 12.044931411743164</t>
  </si>
  <si>
    <t xml:space="preserve">          "temperature": 0.7595350128363574,</t>
  </si>
  <si>
    <t xml:space="preserve">          "dew_point_temperature": 0.3302010605955989,</t>
  </si>
  <si>
    <t xml:space="preserve">          "temperature-yesterday": 0.056942196336162224,</t>
  </si>
  <si>
    <t xml:space="preserve">          "wind_speed": 0.03846796558941719,</t>
  </si>
  <si>
    <t xml:space="preserve">          "wind_direction": 0.02960930486911446</t>
  </si>
  <si>
    <t xml:space="preserve">          "error_score": 12.537071228027344,</t>
  </si>
  <si>
    <t xml:space="preserve">          "error_score": 10.76499080657959,</t>
  </si>
  <si>
    <t xml:space="preserve">          "error_score": 9.37016487121582,</t>
  </si>
  <si>
    <t xml:space="preserve">          "error_score": 7.784738540649414,</t>
  </si>
  <si>
    <t xml:space="preserve">          "error_score": 7.356054306030273,</t>
  </si>
  <si>
    <t xml:space="preserve">          "station_id": "CAN01157631",</t>
  </si>
  <si>
    <t xml:space="preserve">          "name": "SPARWOOD CS",</t>
  </si>
  <si>
    <t xml:space="preserve">          "terrain": "mountain class 5",</t>
  </si>
  <si>
    <t xml:space="preserve">          "2024-06-22 22:00:00.000000": 9.746420860290527,</t>
  </si>
  <si>
    <t xml:space="preserve">          "2024-06-15 22:00:00.000000": 9.241074562072754,</t>
  </si>
  <si>
    <t xml:space="preserve">          "2024-06-08 22:00:00.000000": 9.282936096191406,</t>
  </si>
  <si>
    <t xml:space="preserve">          "2024-06-06 22:00:00.000000": 9.48165512084961,</t>
  </si>
  <si>
    <t xml:space="preserve">          "2024-06-05 22:00:00.000000": 9.395672798156738,</t>
  </si>
  <si>
    <t xml:space="preserve">          "2024-06-02 22:00:00.000000": 9.418777465820312,</t>
  </si>
  <si>
    <t xml:space="preserve">          "2024-06-01 22:00:00.000000": 9.714113235473633,</t>
  </si>
  <si>
    <t xml:space="preserve">          "2024-05-29 22:00:00.000000": 9.404348373413086,</t>
  </si>
  <si>
    <t xml:space="preserve">          "2024-05-24 22:00:00.000000": 9.276378631591797,</t>
  </si>
  <si>
    <t xml:space="preserve">          "2024-05-20 22:00:00.000000": 9.1224365234375</t>
  </si>
  <si>
    <t xml:space="preserve">          "temperature": 1.0829700265157927,</t>
  </si>
  <si>
    <t xml:space="preserve">          "dew_point_temperature": 0.26086760345149607,</t>
  </si>
  <si>
    <t xml:space="preserve">          "temperature-yesterday": 0.14067245380666643,</t>
  </si>
  <si>
    <t xml:space="preserve">          "wind_direction-yesterday": 0.08525192860443762,</t>
  </si>
  <si>
    <t xml:space="preserve">          "dew_point_temperature-yesterday": 0.0709878685522594</t>
  </si>
  <si>
    <t xml:space="preserve">        "mountain class 5": {</t>
  </si>
  <si>
    <t xml:space="preserve">          "error_score": 10.101378440856934,</t>
  </si>
  <si>
    <t xml:space="preserve">          "error_score": 7.827971458435059,</t>
  </si>
  <si>
    <t xml:space="preserve">          "error_score": 6.1165995597839355,</t>
  </si>
  <si>
    <t xml:space="preserve">          "error_score": 5.725001811981201,</t>
  </si>
  <si>
    <t xml:space="preserve">          "error_score": 5.335254669189453,</t>
  </si>
  <si>
    <t xml:space="preserve">          "station_id": "CAN01183001",</t>
  </si>
  <si>
    <t xml:space="preserve">          "city": "Fort St. John",</t>
  </si>
  <si>
    <t xml:space="preserve">          "name": "FORT ST. JOHN A"</t>
  </si>
  <si>
    <t xml:space="preserve">          "2024-06-22 22:00:00.000000": 14.677404403686523,</t>
  </si>
  <si>
    <t xml:space="preserve">          "2024-06-15 22:00:00.000000": 14.276200294494629,</t>
  </si>
  <si>
    <t xml:space="preserve">          "2024-06-08 22:00:00.000000": 14.525031089782715,</t>
  </si>
  <si>
    <t xml:space="preserve">          "2024-06-06 22:00:00.000000": 14.849817276000977,</t>
  </si>
  <si>
    <t xml:space="preserve">          "2024-06-05 22:00:00.000000": 14.89049243927002,</t>
  </si>
  <si>
    <t xml:space="preserve">          "2024-06-02 22:00:00.000000": 14.494123458862305,</t>
  </si>
  <si>
    <t xml:space="preserve">          "2024-06-01 22:00:00.000000": 14.765494346618652,</t>
  </si>
  <si>
    <t xml:space="preserve">          "2024-05-29 22:00:00.000000": 14.024100303649902,</t>
  </si>
  <si>
    <t xml:space="preserve">          "2024-05-24 22:00:00.000000": 14.581344604492188,</t>
  </si>
  <si>
    <t xml:space="preserve">          "2024-05-20 22:00:00.000000": 14.498714447021484</t>
  </si>
  <si>
    <t xml:space="preserve">          "temperature": 1.0334991340814499,</t>
  </si>
  <si>
    <t xml:space="preserve">          "dew_point_temperature": 0.2524002083994581,</t>
  </si>
  <si>
    <t xml:space="preserve">          "temperature-yesterday": 0.07636986964887216,</t>
  </si>
  <si>
    <t xml:space="preserve">          "wind_speed": 0.06687111964765387,</t>
  </si>
  <si>
    <t xml:space="preserve">          "wind_direction": 0.06263634195372488</t>
  </si>
  <si>
    <t xml:space="preserve">          "error_score": 15.069917678833008,</t>
  </si>
  <si>
    <t xml:space="preserve">          "error_score": 14.593172073364258,</t>
  </si>
  <si>
    <t xml:space="preserve">          "error_score": 9.051739692687988,</t>
  </si>
  <si>
    <t xml:space="preserve">          "error_score": 6.022939205169678,</t>
  </si>
  <si>
    <t xml:space="preserve">          "error_score": 5.145825386047363,</t>
  </si>
  <si>
    <t xml:space="preserve">          "station_id": "CAN01145297",</t>
  </si>
  <si>
    <t xml:space="preserve">          "city": "Nakusp",</t>
  </si>
  <si>
    <t xml:space="preserve">          "name": "NAKUSP CS"</t>
  </si>
  <si>
    <t xml:space="preserve">          "2024-06-22 22:00:00.000000": 8.405916213989258,</t>
  </si>
  <si>
    <t xml:space="preserve">          "2024-06-15 22:00:00.000000": 8.350768089294434,</t>
  </si>
  <si>
    <t xml:space="preserve">          "2024-06-08 22:00:00.000000": 8.192298889160156,</t>
  </si>
  <si>
    <t xml:space="preserve">          "2024-06-06 22:00:00.000000": 8.19737434387207,</t>
  </si>
  <si>
    <t xml:space="preserve">          "2024-06-05 22:00:00.000000": 8.318197250366211,</t>
  </si>
  <si>
    <t xml:space="preserve">          "2024-06-02 22:00:00.000000": 7.9386515617370605,</t>
  </si>
  <si>
    <t xml:space="preserve">          "2024-06-01 22:00:00.000000": 8.112433433532715,</t>
  </si>
  <si>
    <t xml:space="preserve">          "2024-05-29 22:00:00.000000": 8.260729789733887,</t>
  </si>
  <si>
    <t xml:space="preserve">          "2024-05-24 22:00:00.000000": 8.15987491607666,</t>
  </si>
  <si>
    <t xml:space="preserve">          "2024-05-20 22:00:00.000000": 7.885317802429199</t>
  </si>
  <si>
    <t xml:space="preserve">          "temperature": 1.206515398195798,</t>
  </si>
  <si>
    <t xml:space="preserve">          "temperature-yesterday": 0.20919576390650407,</t>
  </si>
  <si>
    <t xml:space="preserve">          "wind_direction-yesterday": 0.14671614171581926,</t>
  </si>
  <si>
    <t xml:space="preserve">          "dew_point_temperature": 0.1410593744696605,</t>
  </si>
  <si>
    <t xml:space="preserve">          "wind_speed-yesterday": 0.11821305135952673</t>
  </si>
  <si>
    <t xml:space="preserve">          "error_score": 8.54494857788086,</t>
  </si>
  <si>
    <t xml:space="preserve">          "error_score": 7.071944713592529,</t>
  </si>
  <si>
    <t xml:space="preserve">          "error_score": 6.971168518066406,</t>
  </si>
  <si>
    <t xml:space="preserve">          "error_score": 5.858177661895752,</t>
  </si>
  <si>
    <t xml:space="preserve">          "error_score": 5.009937286376953,</t>
  </si>
  <si>
    <t xml:space="preserve">          "station_id": "CAN03051R4R",</t>
  </si>
  <si>
    <t xml:space="preserve">          "name": "CROWSNEST",</t>
  </si>
  <si>
    <t xml:space="preserve">          "2024-06-22 22:00:00.000000": 13.178031921386719,</t>
  </si>
  <si>
    <t xml:space="preserve">          "2024-06-15 22:00:00.000000": 13.177106857299805,</t>
  </si>
  <si>
    <t xml:space="preserve">          "2024-06-08 22:00:00.000000": 12.854172706604004,</t>
  </si>
  <si>
    <t xml:space="preserve">          "2024-06-06 22:00:00.000000": 12.972494125366211,</t>
  </si>
  <si>
    <t xml:space="preserve">          "2024-06-05 22:00:00.000000": 12.938167572021484,</t>
  </si>
  <si>
    <t xml:space="preserve">          "2024-06-02 22:00:00.000000": 12.566184043884277,</t>
  </si>
  <si>
    <t xml:space="preserve">          "2024-06-01 22:00:00.000000": 12.989624977111816,</t>
  </si>
  <si>
    <t xml:space="preserve">          "2024-05-29 22:00:00.000000": 12.767827987670898,</t>
  </si>
  <si>
    <t xml:space="preserve">          "2024-05-24 22:00:00.000000": 12.596038818359375,</t>
  </si>
  <si>
    <t xml:space="preserve">          "2024-05-20 22:00:00.000000": 12.513666152954102</t>
  </si>
  <si>
    <t xml:space="preserve">          "temperature": 1.3744736707647163,</t>
  </si>
  <si>
    <t xml:space="preserve">          "temperature-yesterday": 0.5035208105074399,</t>
  </si>
  <si>
    <t xml:space="preserve">          "wind_speed": 0.18148331989211805,</t>
  </si>
  <si>
    <t xml:space="preserve">          "dew_point_temperature": 0.14760898474776152,</t>
  </si>
  <si>
    <t xml:space="preserve">          "wind_direction-yesterday": 0.14573039978680247</t>
  </si>
  <si>
    <t xml:space="preserve">          "error_score": 13.152040481567383,</t>
  </si>
  <si>
    <t xml:space="preserve">          "error_score": 10.523938179016113,</t>
  </si>
  <si>
    <t xml:space="preserve">          "error_score": 7.024250030517578,</t>
  </si>
  <si>
    <t xml:space="preserve">          "error_score": 6.572824478149414,</t>
  </si>
  <si>
    <t xml:space="preserve">          "error_score": 4.378833770751953,</t>
  </si>
  <si>
    <t xml:space="preserve">          "station_id": "CAN01022689",</t>
  </si>
  <si>
    <t xml:space="preserve">          "name": "ENTRANCE ISLAND",</t>
  </si>
  <si>
    <t xml:space="preserve">          "city": "Cedar"</t>
  </si>
  <si>
    <t xml:space="preserve">          "2024-06-22 22:00:00.000000": 5.242798328399658,</t>
  </si>
  <si>
    <t xml:space="preserve">          "2024-06-15 22:00:00.000000": 5.078354835510254,</t>
  </si>
  <si>
    <t xml:space="preserve">          "2024-06-08 22:00:00.000000": 5.045930862426758,</t>
  </si>
  <si>
    <t xml:space="preserve">          "2024-06-06 22:00:00.000000": 4.997226715087891,</t>
  </si>
  <si>
    <t xml:space="preserve">          "2024-06-05 22:00:00.000000": 4.868415355682373,</t>
  </si>
  <si>
    <t xml:space="preserve">          "2024-06-02 22:00:00.000000": 5.006042003631592,</t>
  </si>
  <si>
    <t xml:space="preserve">          "2024-06-01 22:00:00.000000": 4.816190242767334,</t>
  </si>
  <si>
    <t xml:space="preserve">          "2024-05-29 22:00:00.000000": 4.59721040725708,</t>
  </si>
  <si>
    <t xml:space="preserve">          "2024-05-24 22:00:00.000000": 4.640608310699463,</t>
  </si>
  <si>
    <t xml:space="preserve">          "2024-05-20 22:00:00.000000": 4.58713436126709</t>
  </si>
  <si>
    <t xml:space="preserve">          "temperature": 0.8054293154228269,</t>
  </si>
  <si>
    <t xml:space="preserve">          "dew_point_temperature": 0.5572118792005887,</t>
  </si>
  <si>
    <t xml:space="preserve">          "temperature-yesterday": 0.3054970435747938,</t>
  </si>
  <si>
    <t xml:space="preserve">          "wind_speed": 0.18748354129762082,</t>
  </si>
  <si>
    <t xml:space="preserve">          "wind_direction": 0.15831123326594776</t>
  </si>
  <si>
    <t xml:space="preserve">          "error_score": 7.807456016540527,</t>
  </si>
  <si>
    <t xml:space="preserve">          "error_score": 5.094918727874756,</t>
  </si>
  <si>
    <t xml:space="preserve">          "error_score": 4.065392017364502,</t>
  </si>
  <si>
    <t xml:space="preserve">          "error_score": 3.8681063652038574,</t>
  </si>
  <si>
    <t xml:space="preserve">          "error_score": 3.084150552749634,</t>
  </si>
  <si>
    <t xml:space="preserve">  ]</t>
  </si>
  <si>
    <t xml:space="preserve">      "weather_station_classification": "Partial Outlier",</t>
  </si>
  <si>
    <t xml:space="preserve">        "city": "Vernal",</t>
  </si>
  <si>
    <t xml:space="preserve">        "station_id": "USW00094030",</t>
  </si>
  <si>
    <t xml:space="preserve">        "state": "Utah",</t>
  </si>
  <si>
    <t xml:space="preserve">        "country": "United States",</t>
  </si>
  <si>
    <t xml:space="preserve">        "name": "VERNAL MUNI AP",</t>
  </si>
  <si>
    <t xml:space="preserve">        "terrain": "mountain class 4"</t>
  </si>
  <si>
    <t xml:space="preserve">      "weather_station_id": "d1383"</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</si>
  <si>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</si>
  <si>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</si>
  <si>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</si>
  <si>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</si>
  <si>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</si>
  <si>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</si>
  <si>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</si>
  <si>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</si>
  <si>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</si>
  <si>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</si>
  <si>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"wind_direction": 1.0155805808841598,</t>
  </si>
  <si>
    <t xml:space="preserve">        "dew_point_temperature": 0.7599447203813187,</t>
  </si>
  <si>
    <t xml:space="preserve">        "temperature": 0.675348908891818,</t>
  </si>
  <si>
    <t xml:space="preserve">        "wind_speed": 0.2783061212353726,</t>
  </si>
  <si>
    <t xml:space="preserve">        "wind_speed-yesterday": 0.24788369151153575</t>
  </si>
  <si>
    <t xml:space="preserve">        "error_score": 7.539164066314697,</t>
  </si>
  <si>
    <t xml:space="preserve">      "United States": {</t>
  </si>
  <si>
    <t xml:space="preserve">        "error_score": 6.695772171020508,</t>
  </si>
  <si>
    <t xml:space="preserve">      "mountain class 4": {</t>
  </si>
  <si>
    <t xml:space="preserve">        "error_score": 6.387510299682617,</t>
  </si>
  <si>
    <t xml:space="preserve">        "error_score": 5.5507707595825195,</t>
  </si>
  <si>
    <t xml:space="preserve">      "worst_performance_tag": "town",</t>
  </si>
  <si>
    <t xml:space="preserve">      "problem_pattern": "tag_specific",</t>
  </si>
  <si>
    <t xml:space="preserve">      "outlier_ratio": 0.5</t>
  </si>
  <si>
    <t xml:space="preserve">          "station_id": "USW00000480",</t>
  </si>
  <si>
    <t xml:space="preserve">          "name": "EAGLE RANGE WSO",</t>
  </si>
  <si>
    <t xml:space="preserve">          "state": "Utah",</t>
  </si>
  <si>
    <t xml:space="preserve">          "country": "United States",</t>
  </si>
  <si>
    <t xml:space="preserve">          "city": "Grantsville"</t>
  </si>
  <si>
    <t xml:space="preserve">          "2024-06-22 22:00:00.000000": 3.923433303833008,</t>
  </si>
  <si>
    <t xml:space="preserve">          "2024-06-15 22:00:00.000000": 3.85611891746521,</t>
  </si>
  <si>
    <t xml:space="preserve">          "2024-06-08 22:00:00.000000": 3.7366244792938232,</t>
  </si>
  <si>
    <t xml:space="preserve">          "2024-06-06 22:00:00.000000": 3.8540070056915283,</t>
  </si>
  <si>
    <t xml:space="preserve">          "2024-06-05 22:00:00.000000": 3.823160171508789,</t>
  </si>
  <si>
    <t xml:space="preserve">          "2024-06-02 22:00:00.000000": 3.756725311279297,</t>
  </si>
  <si>
    <t xml:space="preserve">          "2024-06-01 22:00:00.000000": 3.6889901161193848,</t>
  </si>
  <si>
    <t xml:space="preserve">          "2024-05-29 22:00:00.000000": 3.6046559810638428,</t>
  </si>
  <si>
    <t xml:space="preserve">          "2024-05-24 22:00:00.000000": 3.47461199760437,</t>
  </si>
  <si>
    <t xml:space="preserve">          "2024-05-20 22:00:00.000000": 3.6521644592285156</t>
  </si>
  <si>
    <t xml:space="preserve">          "temperature": 1.0953485582543068,</t>
  </si>
  <si>
    <t xml:space="preserve">          "temperature-yesterday": 0.3336516316813114,</t>
  </si>
  <si>
    <t xml:space="preserve">          "wind_direction-yesterday": 0.30075881405940275,</t>
  </si>
  <si>
    <t xml:space="preserve">          "dew_point_temperature": 0.29788632299702816,</t>
  </si>
  <si>
    <t xml:space="preserve">          "dew_point_temperature-yesterday": 0.22448231401070684</t>
  </si>
  <si>
    <t xml:space="preserve">          "error_score": 5.052385330200195,</t>
  </si>
  <si>
    <t xml:space="preserve">          "error_score": 4.170688152313232,</t>
  </si>
  <si>
    <t xml:space="preserve">          "error_score": 3.985506296157837,</t>
  </si>
  <si>
    <t xml:space="preserve">        "United States": {</t>
  </si>
  <si>
    <t xml:space="preserve">          "error_score": 3.416097402572632,</t>
  </si>
  <si>
    <t xml:space="preserve">        "Utah": {</t>
  </si>
  <si>
    <t xml:space="preserve">          "error_score": 2.801621675491333,</t>
  </si>
  <si>
    <t xml:space="preserve">          "name": "BRYCE CANYON AP",</t>
  </si>
  <si>
    <t xml:space="preserve">          "station_id": "USW00023159",</t>
  </si>
  <si>
    <t xml:space="preserve">          "city": "Panguitch",</t>
  </si>
  <si>
    <t xml:space="preserve">          "2024-06-22 22:00:00.000000": 5.022427082061768,</t>
  </si>
  <si>
    <t xml:space="preserve">          "2024-06-15 22:00:00.000000": 4.886483669281006,</t>
  </si>
  <si>
    <t xml:space="preserve">          "2024-06-08 22:00:00.000000": 4.7912750244140625,</t>
  </si>
  <si>
    <t xml:space="preserve">          "2024-06-06 22:00:00.000000": 4.855533123016357,</t>
  </si>
  <si>
    <t xml:space="preserve">          "2024-06-05 22:00:00.000000": 4.658030986785889,</t>
  </si>
  <si>
    <t xml:space="preserve">          "2024-06-02 22:00:00.000000": 4.349026679992676,</t>
  </si>
  <si>
    <t xml:space="preserve">          "2024-06-01 22:00:00.000000": 4.619901180267334,</t>
  </si>
  <si>
    <t xml:space="preserve">          "2024-05-29 22:00:00.000000": 4.299611568450928,</t>
  </si>
  <si>
    <t xml:space="preserve">          "2024-05-24 22:00:00.000000": 4.571249961853027,</t>
  </si>
  <si>
    <t xml:space="preserve">          "2024-05-20 22:00:00.000000": 4.327141761779785</t>
  </si>
  <si>
    <t xml:space="preserve">          "dew_point_temperature": 1.3444920847382407,</t>
  </si>
  <si>
    <t xml:space="preserve">          "temperature": 1.323209187786496,</t>
  </si>
  <si>
    <t xml:space="preserve">          "dew_point_temperature-yesterday": 0.8998112560920415,</t>
  </si>
  <si>
    <t xml:space="preserve">          "wind_speed": 0.8135384548981299,</t>
  </si>
  <si>
    <t xml:space="preserve">          "temperature-yesterday": 0.7810056887194157</t>
  </si>
  <si>
    <t xml:space="preserve">          "error_score": 8.786604881286621,</t>
  </si>
  <si>
    <t xml:space="preserve">          "error_score": 5.123302459716797,</t>
  </si>
  <si>
    <t xml:space="preserve">          "error_score": 4.792367935180664,</t>
  </si>
  <si>
    <t xml:space="preserve">          "error_score": 4.286196231842041,</t>
  </si>
  <si>
    <t xml:space="preserve">          "station_id": "USW00093129",</t>
  </si>
  <si>
    <t xml:space="preserve">          "name": "CEDAR CITY AP",</t>
  </si>
  <si>
    <t xml:space="preserve">          "terrain": "mountain class 4",</t>
  </si>
  <si>
    <t xml:space="preserve">          "city": "Cedar City"</t>
  </si>
  <si>
    <t xml:space="preserve">          "2024-06-22 22:00:00.000000": 8.261354446411133,</t>
  </si>
  <si>
    <t xml:space="preserve">          "2024-06-15 22:00:00.000000": 8.342689514160156,</t>
  </si>
  <si>
    <t xml:space="preserve">          "2024-06-08 22:00:00.000000": 8.02174186706543,</t>
  </si>
  <si>
    <t xml:space="preserve">          "2024-06-06 22:00:00.000000": 7.847182750701904,</t>
  </si>
  <si>
    <t xml:space="preserve">          "2024-06-05 22:00:00.000000": 8.187868118286133,</t>
  </si>
  <si>
    <t xml:space="preserve">          "2024-06-02 22:00:00.000000": 8.365509033203125,</t>
  </si>
  <si>
    <t xml:space="preserve">          "2024-06-01 22:00:00.000000": 8.310992240905762,</t>
  </si>
  <si>
    <t xml:space="preserve">          "2024-05-29 22:00:00.000000": 8.29321575164795,</t>
  </si>
  <si>
    <t xml:space="preserve">          "2024-05-24 22:00:00.000000": 8.121967315673828,</t>
  </si>
  <si>
    <t xml:space="preserve">          "2024-05-20 22:00:00.000000": 7.858900547027588</t>
  </si>
  <si>
    <t xml:space="preserve">          "wind_direction-yesterday": 1.2173679855792812,</t>
  </si>
  <si>
    <t xml:space="preserve">          "temperature": 0.7423776877545801,</t>
  </si>
  <si>
    <t xml:space="preserve">          "wind_direction": 0.5004529687963741,</t>
  </si>
  <si>
    <t xml:space="preserve">          "temperature-yesterday": 0.2504945145885732,</t>
  </si>
  <si>
    <t xml:space="preserve">          "wind_speed": 0.21532441157128526</t>
  </si>
  <si>
    <t xml:space="preserve">          "error_score": 8.60986614227295,</t>
  </si>
  <si>
    <t xml:space="preserve">          "error_score": 7.839687347412109,</t>
  </si>
  <si>
    <t xml:space="preserve">          "error_score": 7.552382946014404,</t>
  </si>
  <si>
    <t xml:space="preserve">          "error_score": 5.7929606437683105,</t>
  </si>
  <si>
    <t xml:space="preserve">          "name": "HANKSVILLE AP",</t>
  </si>
  <si>
    <t xml:space="preserve">          "city": "Ferron",</t>
  </si>
  <si>
    <t xml:space="preserve">          "station_id": "USW00023170"</t>
  </si>
  <si>
    <t xml:space="preserve">          "2024-06-22 22:00:00.000000": 5.5108418464660645,</t>
  </si>
  <si>
    <t xml:space="preserve">          "2024-06-15 22:00:00.000000": 5.520761489868164,</t>
  </si>
  <si>
    <t xml:space="preserve">          "2024-06-08 22:00:00.000000": 5.492088794708252</t>
  </si>
  <si>
    <t xml:space="preserve">          "temperature": 1.268988974144928,</t>
  </si>
  <si>
    <t xml:space="preserve">          "temperature-yesterday": 0.41859889336383327,</t>
  </si>
  <si>
    <t xml:space="preserve">          "wind_speed": 0.33045211254732926,</t>
  </si>
  <si>
    <t xml:space="preserve">          "dew_point_temperature": 0.2657946375382436,</t>
  </si>
  <si>
    <t xml:space="preserve">          "wind_direction": 0.23022492264464045</t>
  </si>
  <si>
    <t xml:space="preserve">          "error_score": 12.15559196472168,</t>
  </si>
  <si>
    <t xml:space="preserve">          "error_score": 7.56744384765625,</t>
  </si>
  <si>
    <t xml:space="preserve">          "error_score": 7.260786056518555,</t>
  </si>
  <si>
    <t xml:space="preserve">          "error_score": 5.357059478759766,</t>
  </si>
  <si>
    <t xml:space="preserve">          "station_id": "USW00024126",</t>
  </si>
  <si>
    <t xml:space="preserve">          "city": "Riverdale",</t>
  </si>
  <si>
    <t xml:space="preserve">          "name": "OGDEN HINKLEY AP"</t>
  </si>
  <si>
    <t xml:space="preserve">          "2024-06-22 22:00:00.000000": 5.819499492645264,</t>
  </si>
  <si>
    <t xml:space="preserve">          "2024-06-15 22:00:00.000000": 5.638230323791504,</t>
  </si>
  <si>
    <t xml:space="preserve">          "2024-06-08 22:00:00.000000": 5.593665599822998,</t>
  </si>
  <si>
    <t xml:space="preserve">          "2024-06-06 22:00:00.000000": 5.626847743988037,</t>
  </si>
  <si>
    <t xml:space="preserve">          "2024-06-05 22:00:00.000000": 5.429800987243652,</t>
  </si>
  <si>
    <t xml:space="preserve">          "2024-06-02 22:00:00.000000": 5.451957702636719,</t>
  </si>
  <si>
    <t xml:space="preserve">          "2024-06-01 22:00:00.000000": 5.415419101715088,</t>
  </si>
  <si>
    <t xml:space="preserve">          "2024-05-29 22:00:00.000000": 5.145925045013428,</t>
  </si>
  <si>
    <t xml:space="preserve">          "2024-05-24 22:00:00.000000": 5.109212398529053,</t>
  </si>
  <si>
    <t xml:space="preserve">          "2024-05-20 22:00:00.000000": 5.104799747467041</t>
  </si>
  <si>
    <t xml:space="preserve">          "dew_point_temperature": 0.9222876999259061,</t>
  </si>
  <si>
    <t xml:space="preserve">          "temperature": 0.7554588295013158,</t>
  </si>
  <si>
    <t xml:space="preserve">          "wind_direction": 0.4641350229173783,</t>
  </si>
  <si>
    <t xml:space="preserve">          "dew_point_temperature-yesterday": 0.2300196586103092,</t>
  </si>
  <si>
    <t xml:space="preserve">          "wind_speed": 0.16972784688376183</t>
  </si>
  <si>
    <t xml:space="preserve">          "error_score": 6.149023532867432,</t>
  </si>
  <si>
    <t xml:space="preserve">          "error_score": 5.955099105834961,</t>
  </si>
  <si>
    <t xml:space="preserve">          "error_score": 5.241360664367676,</t>
  </si>
  <si>
    <t xml:space="preserve">          "error_score": 4.818439483642578,</t>
  </si>
  <si>
    <t xml:space="preserve">          "name": "BRIGHAM CITY AP",</t>
  </si>
  <si>
    <t xml:space="preserve">          "city": "Brigham City",</t>
  </si>
  <si>
    <t xml:space="preserve">          "station_id": "USW00024180"</t>
  </si>
  <si>
    <t xml:space="preserve">          "2024-06-22 22:00:00.000000": 5.766905307769775,</t>
  </si>
  <si>
    <t xml:space="preserve">          "2024-06-15 22:00:00.000000": 5.617177486419678,</t>
  </si>
  <si>
    <t xml:space="preserve">          "2024-06-08 22:00:00.000000": 5.688885688781738,</t>
  </si>
  <si>
    <t xml:space="preserve">          "2024-06-06 22:00:00.000000": 5.796395301818848,</t>
  </si>
  <si>
    <t xml:space="preserve">          "2024-06-05 22:00:00.000000": 5.429859638214111,</t>
  </si>
  <si>
    <t xml:space="preserve">          "2024-06-02 22:00:00.000000": 5.573509693145752,</t>
  </si>
  <si>
    <t xml:space="preserve">          "2024-06-01 22:00:00.000000": 5.72111701965332</t>
  </si>
  <si>
    <t xml:space="preserve">          "wind_direction": 1.6835050550164272,</t>
  </si>
  <si>
    <t xml:space="preserve">          "temperature": 1.1190714775874777,</t>
  </si>
  <si>
    <t xml:space="preserve">          "dew_point_temperature": 0.5331198652446006,</t>
  </si>
  <si>
    <t xml:space="preserve">          "wind_speed-yesterday": 0.4394040522105266,</t>
  </si>
  <si>
    <t xml:space="preserve">          "temperature-yesterday": 0.4233733789387754</t>
  </si>
  <si>
    <t xml:space="preserve">          "error_score": 11.147026062011719,</t>
  </si>
  <si>
    <t xml:space="preserve">          "error_score": 7.113555908203125,</t>
  </si>
  <si>
    <t xml:space="preserve">          "error_score": 5.992663383483887,</t>
  </si>
  <si>
    <t xml:space="preserve">          "error_score": 5.800963401794434,</t>
  </si>
  <si>
    <t xml:space="preserve">          "station_id": "USW00093075",</t>
  </si>
  <si>
    <t xml:space="preserve">          "city": "Moab",</t>
  </si>
  <si>
    <t xml:space="preserve">          "name": "MOAB CANYONLAND AP"</t>
  </si>
  <si>
    <t xml:space="preserve">          "2024-06-22 22:00:00.000000": 7.283570766448975,</t>
  </si>
  <si>
    <t xml:space="preserve">          "2024-06-15 22:00:00.000000": 7.218341827392578,</t>
  </si>
  <si>
    <t xml:space="preserve">          "2024-06-08 22:00:00.000000": 7.182502269744873,</t>
  </si>
  <si>
    <t xml:space="preserve">          "2024-06-06 22:00:00.000000": 7.3846211433410645,</t>
  </si>
  <si>
    <t xml:space="preserve">          "2024-06-05 22:00:00.000000": 7.397681713104248,</t>
  </si>
  <si>
    <t xml:space="preserve">          "2024-06-02 22:00:00.000000": 7.661826133728027,</t>
  </si>
  <si>
    <t xml:space="preserve">          "2024-06-01 22:00:00.000000": 7.421218395233154,</t>
  </si>
  <si>
    <t xml:space="preserve">          "2024-05-29 22:00:00.000000": 7.565445899963379,</t>
  </si>
  <si>
    <t xml:space="preserve">          "2024-05-24 22:00:00.000000": 7.4927544593811035,</t>
  </si>
  <si>
    <t xml:space="preserve">          "2024-05-20 22:00:00.000000": 7.610599517822266</t>
  </si>
  <si>
    <t xml:space="preserve">          "temperature": 1.2059288075909962,</t>
  </si>
  <si>
    <t xml:space="preserve">          "temperature-yesterday": 0.49726694704493485,</t>
  </si>
  <si>
    <t xml:space="preserve">          "wind_direction-yesterday": 0.38476593308155327,</t>
  </si>
  <si>
    <t xml:space="preserve">          "dew_point_temperature-yesterday": 0.333014299495755,</t>
  </si>
  <si>
    <t xml:space="preserve">          "wind_speed-yesterday": 0.28784209146574213</t>
  </si>
  <si>
    <t xml:space="preserve">          "error_score": 8.190537452697754,</t>
  </si>
  <si>
    <t xml:space="preserve">          "error_score": 7.279778003692627,</t>
  </si>
  <si>
    <t xml:space="preserve">          "error_score": 7.079122066497803,</t>
  </si>
  <si>
    <t xml:space="preserve">          "error_score": 6.985833644866943,</t>
  </si>
  <si>
    <t xml:space="preserve">          "city": "Wendover",</t>
  </si>
  <si>
    <t xml:space="preserve">          "name": "WENDOVER USAF AUX FLD",</t>
  </si>
  <si>
    <t xml:space="preserve">          "station_id": "USW00024193"</t>
  </si>
  <si>
    <t xml:space="preserve">          "2024-06-22 22:00:00.000000": 9.347943305969238,</t>
  </si>
  <si>
    <t xml:space="preserve">          "2024-06-15 22:00:00.000000": 9.36544418334961,</t>
  </si>
  <si>
    <t xml:space="preserve">          "2024-06-08 22:00:00.000000": 9.360289573669434,</t>
  </si>
  <si>
    <t xml:space="preserve">          "2024-06-06 22:00:00.000000": 9.455968856811523,</t>
  </si>
  <si>
    <t xml:space="preserve">          "2024-06-05 22:00:00.000000": 9.444109916687012,</t>
  </si>
  <si>
    <t xml:space="preserve">          "2024-06-02 22:00:00.000000": 9.304727554321289,</t>
  </si>
  <si>
    <t xml:space="preserve">          "2024-06-01 22:00:00.000000": 9.41681957244873</t>
  </si>
  <si>
    <t xml:space="preserve">          "temperature": 1.7571206288953582,</t>
  </si>
  <si>
    <t xml:space="preserve">          "dew_point_temperature-yesterday": 0.6810241982439189,</t>
  </si>
  <si>
    <t xml:space="preserve">          "wind_speed": 0.27374011302055373,</t>
  </si>
  <si>
    <t xml:space="preserve">          "wind_direction": 0.2455118309219389,</t>
  </si>
  <si>
    <t xml:space="preserve">          "temperature-yesterday": 0.22711627952438268</t>
  </si>
  <si>
    <t xml:space="preserve">          "error_score": 17.078062057495117,</t>
  </si>
  <si>
    <t xml:space="preserve">          "error_score": 11.069968223571777,</t>
  </si>
  <si>
    <t xml:space="preserve">          "error_score": 10.806780815124512,</t>
  </si>
  <si>
    <t xml:space="preserve">          "error_score": 9.884822845458984,</t>
  </si>
  <si>
    <t xml:space="preserve">          "name": "PRICE CARBON CO AP",</t>
  </si>
  <si>
    <t xml:space="preserve">          "station_id": "USW00093141",</t>
  </si>
  <si>
    <t xml:space="preserve">          "city": "Price",</t>
  </si>
  <si>
    <t xml:space="preserve">          "2024-06-22 22:00:00.000000": 10.296906471252441,</t>
  </si>
  <si>
    <t xml:space="preserve">          "2024-06-15 22:00:00.000000": 9.95720386505127,</t>
  </si>
  <si>
    <t xml:space="preserve">          "2024-06-08 22:00:00.000000": 9.544772148132324,</t>
  </si>
  <si>
    <t xml:space="preserve">          "2024-06-06 22:00:00.000000": 9.722681999206543,</t>
  </si>
  <si>
    <t xml:space="preserve">          "2024-06-05 22:00:00.000000": 9.81570816040039,</t>
  </si>
  <si>
    <t xml:space="preserve">          "2024-06-02 22:00:00.000000": 9.621051788330078,</t>
  </si>
  <si>
    <t xml:space="preserve">          "2024-06-01 22:00:00.000000": 9.504088401794434</t>
  </si>
  <si>
    <t xml:space="preserve">          "temperature": 1.4167535919407162,</t>
  </si>
  <si>
    <t xml:space="preserve">          "wind_direction": 0.41718977894333326,</t>
  </si>
  <si>
    <t xml:space="preserve">          "dew_point_temperature": 0.290644060365535,</t>
  </si>
  <si>
    <t xml:space="preserve">          "dew_point_temperature-yesterday": 0.209562548492851,</t>
  </si>
  <si>
    <t xml:space="preserve">          "wind_direction-yesterday": 0.1593169681465793</t>
  </si>
  <si>
    <t xml:space="preserve">          "error_score": 10.21320629119873,</t>
  </si>
  <si>
    <t xml:space="preserve">          "error_score": 9.469698905944824,</t>
  </si>
  <si>
    <t xml:space="preserve">          "error_score": 9.42881965637207,</t>
  </si>
  <si>
    <t xml:space="preserve">          "error_score": 9.139456748962402,</t>
  </si>
  <si>
    <t xml:space="preserve">        "terrain": "lowland",</t>
  </si>
  <si>
    <t xml:space="preserve">        "name": "OGOKI POST A",</t>
  </si>
  <si>
    <t xml:space="preserve">        "tz": "UTC-5",</t>
  </si>
  <si>
    <t xml:space="preserve">        "station_id": "CAN06075786",</t>
  </si>
  <si>
    <t xml:space="preserve">        "urbanization": "rural",</t>
  </si>
  <si>
    <t xml:space="preserve">        "city": "Greenstone",</t>
  </si>
  <si>
    <t xml:space="preserve">        "state": "Ontario"</t>
  </si>
  <si>
    <t xml:space="preserve">      "weather_station_id": "d131"</t>
  </si>
  <si>
    <t xml:space="preserve">      "model_version_performance_trend": "degrading",</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</si>
  <si>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</si>
  <si>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</si>
  <si>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</si>
  <si>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</si>
  <si>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</si>
  <si>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</si>
  <si>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</si>
  <si>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</si>
  <si>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</si>
  <si>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</si>
  <si>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"temperature": 1.1146011545138748,</t>
  </si>
  <si>
    <t xml:space="preserve">        "temperature-yesterday": 0.4962712226487427,</t>
  </si>
  <si>
    <t xml:space="preserve">        "wind_direction-yesterday": 0.40130767566484826,</t>
  </si>
  <si>
    <t xml:space="preserve">        "dew_point_temperature-yesterday": 0.3586076158939073,</t>
  </si>
  <si>
    <t xml:space="preserve">        "dew_point_temperature": 0.33089646865738687</t>
  </si>
  <si>
    <t xml:space="preserve">      "lowland": {</t>
  </si>
  <si>
    <t xml:space="preserve">        "error_score": 27.19187355041504,</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</si>
  <si>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</si>
  <si>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</si>
  <si>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</si>
  <si>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</si>
  <si>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</si>
  <si>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</si>
  <si>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"error_score": 11.482319831848145,</t>
  </si>
  <si>
    <t xml:space="preserve">      "worst_performance_tag": "lowland",</t>
  </si>
  <si>
    <t xml:space="preserve">      "worst_outlier_tag": "Ontario",</t>
  </si>
  <si>
    <t xml:space="preserve">      "problem_pattern": "peer_specific",</t>
  </si>
  <si>
    <t xml:space="preserve">      "outlier_ratio": 0.0</t>
  </si>
  <si>
    <t xml:space="preserve">          "tz": "UTC-5",</t>
  </si>
  <si>
    <t xml:space="preserve">          "station_id": "CAN06075543",</t>
  </si>
  <si>
    <t xml:space="preserve">          "city": "Hearst",</t>
  </si>
  <si>
    <t xml:space="preserve">          "name": "NAGAGAMI (AUT)",</t>
  </si>
  <si>
    <t xml:space="preserve">          "state": "Ontario"</t>
  </si>
  <si>
    <t xml:space="preserve">          "2024-06-22 22:00:00.000000": 6.906111717224121,</t>
  </si>
  <si>
    <t xml:space="preserve">          "2024-06-15 22:00:00.000000": 7.22379207611084,</t>
  </si>
  <si>
    <t xml:space="preserve">          "2024-06-08 22:00:00.000000": 6.955322265625,</t>
  </si>
  <si>
    <t xml:space="preserve">          "2024-06-06 22:00:00.000000": 6.713005542755127,</t>
  </si>
  <si>
    <t xml:space="preserve">          "2024-06-05 22:00:00.000000": 7.110187530517578,</t>
  </si>
  <si>
    <t xml:space="preserve">          "2024-06-02 22:00:00.000000": 6.649306297302246,</t>
  </si>
  <si>
    <t xml:space="preserve">          "2024-06-01 22:00:00.000000": 7.109872817993164,</t>
  </si>
  <si>
    <t xml:space="preserve">          "2024-05-29 22:00:00.000000": 7.357702255249023,</t>
  </si>
  <si>
    <t xml:space="preserve">          "2024-05-24 22:00:00.000000": 7.160423755645752,</t>
  </si>
  <si>
    <t xml:space="preserve">          "2024-05-20 22:00:00.000000": 7.390129089355469</t>
  </si>
  <si>
    <t xml:space="preserve">          "temperature": 1.4619445249127498,</t>
  </si>
  <si>
    <t xml:space="preserve">          "dew_point_temperature-yesterday": 0.16884524116242844,</t>
  </si>
  <si>
    <t xml:space="preserve">          "dew_point_temperature": 0.10744845224019448,</t>
  </si>
  <si>
    <t xml:space="preserve">          "wind_speed": 0.09538039251354949,</t>
  </si>
  <si>
    <t xml:space="preserve">          "temperature-yesterday": 0.058605565120286474</t>
  </si>
  <si>
    <t xml:space="preserve">        "UTC-5": {</t>
  </si>
  <si>
    <t xml:space="preserve">          "error_score": 7.839217185974121,</t>
  </si>
  <si>
    <t xml:space="preserve">          "error_score": 7.049164772033691,</t>
  </si>
  <si>
    <t xml:space="preserve">          "error_score": 6.832826137542725,</t>
  </si>
  <si>
    <t xml:space="preserve">        "Ontario": {</t>
  </si>
  <si>
    <t xml:space="preserve">          "error_score": 5.596330642700195,</t>
  </si>
  <si>
    <t xml:space="preserve">          "error_score": 5.3421854972839355,</t>
  </si>
  <si>
    <t xml:space="preserve">          "name": "TERRACE BAY AIRPORT",</t>
  </si>
  <si>
    <t xml:space="preserve">          "city": "Greenstone",</t>
  </si>
  <si>
    <t xml:space="preserve">          "station_id": "CAN06048232",</t>
  </si>
  <si>
    <t xml:space="preserve">          "2024-06-22 22:00:00.000000": 15.822850227355957,</t>
  </si>
  <si>
    <t xml:space="preserve">          "2024-06-15 22:00:00.000000": 15.424168586730957,</t>
  </si>
  <si>
    <t xml:space="preserve">          "2024-06-08 22:00:00.000000": 15.351049423217773,</t>
  </si>
  <si>
    <t xml:space="preserve">          "2024-06-06 22:00:00.000000": 15.935500144958496,</t>
  </si>
  <si>
    <t xml:space="preserve">          "2024-06-05 22:00:00.000000": 16.10202407836914,</t>
  </si>
  <si>
    <t xml:space="preserve">          "2024-06-02 22:00:00.000000": 15.103985786437988,</t>
  </si>
  <si>
    <t xml:space="preserve">          "2024-06-01 22:00:00.000000": 15.567182540893555,</t>
  </si>
  <si>
    <t xml:space="preserve">          "2024-05-29 22:00:00.000000": 15.22034740447998,</t>
  </si>
  <si>
    <t xml:space="preserve">          "2024-05-24 22:00:00.000000": 15.52204418182373,</t>
  </si>
  <si>
    <t xml:space="preserve">          "2024-05-20 22:00:00.000000": 15.032071113586426</t>
  </si>
  <si>
    <t xml:space="preserve">          "temperature": 1.093337005377636,</t>
  </si>
  <si>
    <t xml:space="preserve">          "dew_point_temperature": 0.2396500263948044,</t>
  </si>
  <si>
    <t xml:space="preserve">          "temperature-yesterday": 0.12909791371719348,</t>
  </si>
  <si>
    <t xml:space="preserve">          "wind_direction-yesterday": 0.10325772581520445,</t>
  </si>
  <si>
    <t xml:space="preserve">          "wind_speed-yesterday": 0.09759205783622227</t>
  </si>
  <si>
    <t xml:space="preserve">          "error_score": 15.434310913085938,</t>
  </si>
  <si>
    <t xml:space="preserve">          "error_score": 13.445426940917969,</t>
  </si>
  <si>
    <t xml:space="preserve">          "error_score": 13.340986251831055,</t>
  </si>
  <si>
    <t xml:space="preserve">          "error_score": 6.038383960723877,</t>
  </si>
  <si>
    <t xml:space="preserve">          "error_score": 5.91210412979126,</t>
  </si>
  <si>
    <t xml:space="preserve">          "city": "Virgil",</t>
  </si>
  <si>
    <t xml:space="preserve">          "name": "ST CATHARINES A",</t>
  </si>
  <si>
    <t xml:space="preserve">          "station_id": "CAN06137287",</t>
  </si>
  <si>
    <t xml:space="preserve">          "2024-06-22 22:00:00.000000": 7.271189212799072,</t>
  </si>
  <si>
    <t xml:space="preserve">          "2024-06-15 22:00:00.000000": 7.243275165557861,</t>
  </si>
  <si>
    <t xml:space="preserve">          "2024-06-08 22:00:00.000000": 7.114115238189697,</t>
  </si>
  <si>
    <t xml:space="preserve">          "2024-06-06 22:00:00.000000": 6.961391925811768,</t>
  </si>
  <si>
    <t xml:space="preserve">          "2024-06-05 22:00:00.000000": 7.168303966522217,</t>
  </si>
  <si>
    <t xml:space="preserve">          "2024-06-02 22:00:00.000000": 6.958563804626465,</t>
  </si>
  <si>
    <t xml:space="preserve">          "2024-06-01 22:00:00.000000": 7.233743190765381,</t>
  </si>
  <si>
    <t xml:space="preserve">          "2024-05-29 22:00:00.000000": 7.2757487297058105,</t>
  </si>
  <si>
    <t xml:space="preserve">          "2024-05-24 22:00:00.000000": 7.055868148803711,</t>
  </si>
  <si>
    <t xml:space="preserve">          "2024-05-20 22:00:00.000000": 6.86869478225708</t>
  </si>
  <si>
    <t xml:space="preserve">          "temperature": 0.7326335311816555,</t>
  </si>
  <si>
    <t xml:space="preserve">          "dew_point_temperature": 0.3941070298651191,</t>
  </si>
  <si>
    <t xml:space="preserve">          "wind_speed": 0.09648869496239816,</t>
  </si>
  <si>
    <t xml:space="preserve">          "temperature-yesterday": 0.09448110691149467,</t>
  </si>
  <si>
    <t xml:space="preserve">          "wind_direction-yesterday": 0.06961747588630222</t>
  </si>
  <si>
    <t xml:space="preserve">          "error_score": 7.016640663146973,</t>
  </si>
  <si>
    <t xml:space="preserve">          "error_score": 6.429504871368408,</t>
  </si>
  <si>
    <t xml:space="preserve">          "error_score": 5.809655666351318,</t>
  </si>
  <si>
    <t xml:space="preserve">          "error_score": 3.9359357357025146,</t>
  </si>
  <si>
    <t xml:space="preserve">          "error_score": 3.8935036659240723,</t>
  </si>
  <si>
    <t xml:space="preserve">          "city": "Kapuskasing",</t>
  </si>
  <si>
    <t xml:space="preserve">          "name": "KAPUSKASING CDA ON",</t>
  </si>
  <si>
    <t xml:space="preserve">          "station_id": "CAN06073980",</t>
  </si>
  <si>
    <t xml:space="preserve">          "2024-06-22 22:00:00.000000": 16.853811264038086,</t>
  </si>
  <si>
    <t xml:space="preserve">          "2024-06-15 22:00:00.000000": 16.170368194580078,</t>
  </si>
  <si>
    <t xml:space="preserve">          "2024-06-08 22:00:00.000000": 16.284305572509766,</t>
  </si>
  <si>
    <t xml:space="preserve">          "2024-06-06 22:00:00.000000": 16.618608474731445,</t>
  </si>
  <si>
    <t xml:space="preserve">          "2024-06-05 22:00:00.000000": 16.410051345825195,</t>
  </si>
  <si>
    <t xml:space="preserve">          "2024-06-02 22:00:00.000000": 16.25330924987793,</t>
  </si>
  <si>
    <t xml:space="preserve">          "2024-06-01 22:00:00.000000": 16.615318298339844,</t>
  </si>
  <si>
    <t xml:space="preserve">          "2024-05-29 22:00:00.000000": 15.98033332824707,</t>
  </si>
  <si>
    <t xml:space="preserve">          "2024-05-24 22:00:00.000000": 15.89999008178711,</t>
  </si>
  <si>
    <t xml:space="preserve">          "2024-05-20 22:00:00.000000": 15.842046737670898</t>
  </si>
  <si>
    <t xml:space="preserve">          "temperature": 0.6932428596707695,</t>
  </si>
  <si>
    <t xml:space="preserve">          "dew_point_temperature": 0.4971230495816378,</t>
  </si>
  <si>
    <t xml:space="preserve">          "wind_direction": 0.1289287669235078,</t>
  </si>
  <si>
    <t xml:space="preserve">          "wind_speed": 0.09469352419418216,</t>
  </si>
  <si>
    <t xml:space="preserve">          "temperature-yesterday": 0.05019107482004783</t>
  </si>
  <si>
    <t xml:space="preserve">          "error_score": 17.23155975341797,</t>
  </si>
  <si>
    <t xml:space="preserve">          "error_score": 16.246341705322266,</t>
  </si>
  <si>
    <t xml:space="preserve">          "error_score": 13.461880683898926,</t>
  </si>
  <si>
    <t xml:space="preserve">          "error_score": 4.820964336395264,</t>
  </si>
  <si>
    <t xml:space="preserve">          "error_score": 4.457633972167969,</t>
  </si>
  <si>
    <t xml:space="preserve">          "name": "FORT SEVERN A",</t>
  </si>
  <si>
    <t xml:space="preserve">          "station_id": "CAN06012500",</t>
  </si>
  <si>
    <t xml:space="preserve">          "city": "Attawapiskat",</t>
  </si>
  <si>
    <t xml:space="preserve">          "2024-06-22 22:00:00.000000": 13.6712007522583,</t>
  </si>
  <si>
    <t xml:space="preserve">          "2024-06-15 22:00:00.000000": 13.92260456085205,</t>
  </si>
  <si>
    <t xml:space="preserve">          "2024-06-08 22:00:00.000000": 13.924132347106934,</t>
  </si>
  <si>
    <t xml:space="preserve">          "2024-06-06 22:00:00.000000": 13.733863830566406,</t>
  </si>
  <si>
    <t xml:space="preserve">          "2024-06-05 22:00:00.000000": 13.912338256835938,</t>
  </si>
  <si>
    <t xml:space="preserve">          "2024-06-02 22:00:00.000000": 13.485542297363281,</t>
  </si>
  <si>
    <t xml:space="preserve">          "2024-06-01 22:00:00.000000": 14.072501182556152,</t>
  </si>
  <si>
    <t xml:space="preserve">          "2024-05-29 22:00:00.000000": 13.168832778930664,</t>
  </si>
  <si>
    <t xml:space="preserve">          "2024-05-24 22:00:00.000000": 13.963101387023926,</t>
  </si>
  <si>
    <t xml:space="preserve">          "2024-05-20 22:00:00.000000": 13.833439826965332</t>
  </si>
  <si>
    <t xml:space="preserve">          "dew_point_temperature": 0.45746476964349825,</t>
  </si>
  <si>
    <t xml:space="preserve">          "temperature": 0.44183109622174505,</t>
  </si>
  <si>
    <t xml:space="preserve">          "temperature-yesterday": 0.28417243198522046,</t>
  </si>
  <si>
    <t xml:space="preserve">          "wind_speed": 0.1738825486230384,</t>
  </si>
  <si>
    <t xml:space="preserve">          "wind_direction": 0.15137009366137624</t>
  </si>
  <si>
    <t xml:space="preserve">          "error_score": 13.099520683288574,</t>
  </si>
  <si>
    <t xml:space="preserve">          "error_score": 12.73822021484375,</t>
  </si>
  <si>
    <t xml:space="preserve">          "error_score": 12.304360389709473,</t>
  </si>
  <si>
    <t xml:space="preserve">          "error_score": 6.596224308013916,</t>
  </si>
  <si>
    <t xml:space="preserve">          "error_score": 5.936707973480225,</t>
  </si>
  <si>
    <t xml:space="preserve">          "name": "TORONTO BUTTONVILLE A",</t>
  </si>
  <si>
    <t xml:space="preserve">          "station_id": "CAN06158409",</t>
  </si>
  <si>
    <t xml:space="preserve">          "city": "Hillcrest Village",</t>
  </si>
  <si>
    <t xml:space="preserve">          "2024-06-22 22:00:00.000000": 12.421721458435059,</t>
  </si>
  <si>
    <t xml:space="preserve">          "2024-06-15 22:00:00.000000": 12.149275779724121,</t>
  </si>
  <si>
    <t xml:space="preserve">          "2024-06-08 22:00:00.000000": 11.954225540161133,</t>
  </si>
  <si>
    <t xml:space="preserve">          "2024-06-06 22:00:00.000000": 12.184321403503418,</t>
  </si>
  <si>
    <t xml:space="preserve">          "2024-06-05 22:00:00.000000": 12.160666465759277,</t>
  </si>
  <si>
    <t xml:space="preserve">          "2024-06-02 22:00:00.000000": 11.795293807983398,</t>
  </si>
  <si>
    <t xml:space="preserve">          "2024-06-01 22:00:00.000000": 11.99637508392334,</t>
  </si>
  <si>
    <t xml:space="preserve">          "2024-05-29 22:00:00.000000": 11.690537452697754,</t>
  </si>
  <si>
    <t xml:space="preserve">          "2024-05-24 22:00:00.000000": 11.524815559387207,</t>
  </si>
  <si>
    <t xml:space="preserve">          "2024-05-20 22:00:00.000000": 11.544388771057129</t>
  </si>
  <si>
    <t xml:space="preserve">          "dew_point_temperature": 1.0963459449650812,</t>
  </si>
  <si>
    <t xml:space="preserve">          "temperature": 0.5350403955359976,</t>
  </si>
  <si>
    <t xml:space="preserve">          "temperature-yesterday": 0.1792784933607952,</t>
  </si>
  <si>
    <t xml:space="preserve">          "wind_speed": 0.12108698109916553,</t>
  </si>
  <si>
    <t xml:space="preserve">          "wind_speed-yesterday": 0.09032231285603858</t>
  </si>
  <si>
    <t xml:space="preserve">          "error_score": 12.712664604187012,</t>
  </si>
  <si>
    <t xml:space="preserve">          "error_score": 12.107738494873047,</t>
  </si>
  <si>
    <t xml:space="preserve">          "error_score": 9.342386245727539,</t>
  </si>
  <si>
    <t xml:space="preserve">          "error_score": 5.498689651489258,</t>
  </si>
  <si>
    <t xml:space="preserve">          "error_score": 5.03484582901001,</t>
  </si>
  <si>
    <t xml:space="preserve">          "name": "EARFALLS(AUT)",</t>
  </si>
  <si>
    <t xml:space="preserve">          "tz": "UTC-6",</t>
  </si>
  <si>
    <t xml:space="preserve">          "station_id": "CAN06012199",</t>
  </si>
  <si>
    <t xml:space="preserve">          "2024-06-22 22:00:00.000000": 16.552703857421875,</t>
  </si>
  <si>
    <t xml:space="preserve">          "2024-06-15 22:00:00.000000": 16.135225296020508,</t>
  </si>
  <si>
    <t xml:space="preserve">          "2024-06-08 22:00:00.000000": 16.307880401611328,</t>
  </si>
  <si>
    <t xml:space="preserve">          "2024-06-06 22:00:00.000000": 16.136526107788086,</t>
  </si>
  <si>
    <t xml:space="preserve">          "2024-06-05 22:00:00.000000": 15.977238655090332,</t>
  </si>
  <si>
    <t xml:space="preserve">          "2024-06-02 22:00:00.000000": 16.254560470581055,</t>
  </si>
  <si>
    <t xml:space="preserve">          "2024-06-01 22:00:00.000000": 16.07573699951172,</t>
  </si>
  <si>
    <t xml:space="preserve">          "2024-05-29 22:00:00.000000": 15.865676879882812,</t>
  </si>
  <si>
    <t xml:space="preserve">          "2024-05-24 22:00:00.000000": 15.708478927612305,</t>
  </si>
  <si>
    <t xml:space="preserve">          "2024-05-20 22:00:00.000000": 15.868955612182617</t>
  </si>
  <si>
    <t xml:space="preserve">          "temperature": 0.6550240436551051,</t>
  </si>
  <si>
    <t xml:space="preserve">          "dew_point_temperature": 0.39320569245133724,</t>
  </si>
  <si>
    <t xml:space="preserve">          "temperature-yesterday": 0.138168870788881,</t>
  </si>
  <si>
    <t xml:space="preserve">          "wind_speed-yesterday": 0.07038287348761492,</t>
  </si>
  <si>
    <t xml:space="preserve">          "wind_direction-yesterday": 0.05861355824258359</t>
  </si>
  <si>
    <t xml:space="preserve">          "error_score": 16.887493133544922,</t>
  </si>
  <si>
    <t xml:space="preserve">          "error_score": 14.187055587768555,</t>
  </si>
  <si>
    <t xml:space="preserve">        "UTC-6": {</t>
  </si>
  <si>
    <t xml:space="preserve">          "error_score": 13.913429260253906,</t>
  </si>
  <si>
    <t xml:space="preserve">          "error_score": 5.3766913414001465,</t>
  </si>
  <si>
    <t xml:space="preserve">          "error_score": 4.897257328033447,</t>
  </si>
  <si>
    <t xml:space="preserve">          "city": "Englehart",</t>
  </si>
  <si>
    <t xml:space="preserve">          "station_id": "CAN06072225",</t>
  </si>
  <si>
    <t xml:space="preserve">          "name": "EARLTONA",</t>
  </si>
  <si>
    <t xml:space="preserve">          "2024-06-22 22:00:00.000000": 16.476337432861328,</t>
  </si>
  <si>
    <t xml:space="preserve">          "2024-06-15 22:00:00.000000": 15.993379592895508,</t>
  </si>
  <si>
    <t xml:space="preserve">          "2024-06-08 22:00:00.000000": 15.996896743774414,</t>
  </si>
  <si>
    <t xml:space="preserve">          "2024-06-06 22:00:00.000000": 16.11951446533203,</t>
  </si>
  <si>
    <t xml:space="preserve">          "2024-06-05 22:00:00.000000": 16.19439697265625,</t>
  </si>
  <si>
    <t xml:space="preserve">          "2024-06-02 22:00:00.000000": 16.083959579467773,</t>
  </si>
  <si>
    <t xml:space="preserve">          "2024-06-01 22:00:00.000000": 16.210905075073242,</t>
  </si>
  <si>
    <t xml:space="preserve">          "2024-05-29 22:00:00.000000": 15.62911605834961,</t>
  </si>
  <si>
    <t xml:space="preserve">          "2024-05-24 22:00:00.000000": 15.756827354431152,</t>
  </si>
  <si>
    <t xml:space="preserve">          "2024-05-20 22:00:00.000000": 15.610490798950195</t>
  </si>
  <si>
    <t xml:space="preserve">          "temperature": 0.85999850210097,</t>
  </si>
  <si>
    <t xml:space="preserve">          "dew_point_temperature": 0.4302489525066783,</t>
  </si>
  <si>
    <t xml:space="preserve">          "dew_point_temperature-yesterday": 0.059344556515050106,</t>
  </si>
  <si>
    <t xml:space="preserve">          "wind_direction": 0.05794016697595337,</t>
  </si>
  <si>
    <t xml:space="preserve">          "wind_direction-yesterday": 0.043194035213572166</t>
  </si>
  <si>
    <t xml:space="preserve">          "error_score": 16.982227325439453,</t>
  </si>
  <si>
    <t xml:space="preserve">          "error_score": 13.596573829650879,</t>
  </si>
  <si>
    <t xml:space="preserve">          "error_score": 12.982142448425293,</t>
  </si>
  <si>
    <t xml:space="preserve">          "error_score": 4.209879398345947,</t>
  </si>
  <si>
    <t xml:space="preserve">          "error_score": 3.240571975708008,</t>
  </si>
  <si>
    <t xml:space="preserve">          "name": "WIARTONA",</t>
  </si>
  <si>
    <t xml:space="preserve">          "station_id": "CAN06119500",</t>
  </si>
  <si>
    <t xml:space="preserve">          "city": "Owen Sound",</t>
  </si>
  <si>
    <t xml:space="preserve">          "2024-06-22 22:00:00.000000": 8.749468803405762,</t>
  </si>
  <si>
    <t xml:space="preserve">          "2024-06-15 22:00:00.000000": 8.66868782043457,</t>
  </si>
  <si>
    <t xml:space="preserve">          "2024-06-08 22:00:00.000000": 8.5352201461792,</t>
  </si>
  <si>
    <t xml:space="preserve">          "2024-06-06 22:00:00.000000": 8.540279388427734,</t>
  </si>
  <si>
    <t xml:space="preserve">          "2024-06-05 22:00:00.000000": 8.456314086914062,</t>
  </si>
  <si>
    <t xml:space="preserve">          "2024-06-02 22:00:00.000000": 8.312860488891602,</t>
  </si>
  <si>
    <t xml:space="preserve">          "2024-06-01 22:00:00.000000": 8.206439018249512,</t>
  </si>
  <si>
    <t xml:space="preserve">          "2024-05-29 22:00:00.000000": 8.475957870483398,</t>
  </si>
  <si>
    <t xml:space="preserve">          "2024-05-24 22:00:00.000000": 8.229964256286621,</t>
  </si>
  <si>
    <t xml:space="preserve">          "2024-05-20 22:00:00.000000": 8.390151977539062</t>
  </si>
  <si>
    <t xml:space="preserve">          "temperature": 0.8894976885898384,</t>
  </si>
  <si>
    <t xml:space="preserve">          "dew_point_temperature": 0.3823076876214583,</t>
  </si>
  <si>
    <t xml:space="preserve">          "wind_speed": 0.11992192181953731,</t>
  </si>
  <si>
    <t xml:space="preserve">          "temperature-yesterday": 0.11509777708436271,</t>
  </si>
  <si>
    <t xml:space="preserve">          "wind_direction": 0.09578909496326919</t>
  </si>
  <si>
    <t xml:space="preserve">          "error_score": 8.929719924926758,</t>
  </si>
  <si>
    <t xml:space="preserve">          "error_score": 8.867408752441406,</t>
  </si>
  <si>
    <t xml:space="preserve">          "error_score": 6.9407124519348145,</t>
  </si>
  <si>
    <t xml:space="preserve">          "error_score": 4.641901969909668,</t>
  </si>
  <si>
    <t xml:space="preserve">          "error_score": 4.496016025543213,</t>
  </si>
  <si>
    <t xml:space="preserve">          "station_id": "CAN06068145",</t>
  </si>
  <si>
    <t xml:space="preserve">          "city": "Capreol",</t>
  </si>
  <si>
    <t xml:space="preserve">          "name": "SUDBURY CLIMATE",</t>
  </si>
  <si>
    <t xml:space="preserve">          "2024-06-22 22:00:00.000000": 4.999323844909668,</t>
  </si>
  <si>
    <t xml:space="preserve">          "2024-06-15 22:00:00.000000": 4.962210178375244,</t>
  </si>
  <si>
    <t xml:space="preserve">          "2024-06-08 22:00:00.000000": 4.884499549865723,</t>
  </si>
  <si>
    <t xml:space="preserve">          "2024-06-06 22:00:00.000000": 4.653870105743408,</t>
  </si>
  <si>
    <t xml:space="preserve">          "2024-06-05 22:00:00.000000": 4.789371967315674,</t>
  </si>
  <si>
    <t xml:space="preserve">          "2024-06-02 22:00:00.000000": 4.640002250671387,</t>
  </si>
  <si>
    <t xml:space="preserve">          "2024-06-01 22:00:00.000000": 4.9181647300720215,</t>
  </si>
  <si>
    <t xml:space="preserve">          "2024-05-29 22:00:00.000000": 4.7697882652282715,</t>
  </si>
  <si>
    <t xml:space="preserve">          "2024-05-24 22:00:00.000000": 4.782596111297607,</t>
  </si>
  <si>
    <t xml:space="preserve">          "2024-05-20 22:00:00.000000": 4.697822093963623</t>
  </si>
  <si>
    <t xml:space="preserve">          "temperature": 0.670218644667698,</t>
  </si>
  <si>
    <t xml:space="preserve">          "dew_point_temperature": 0.5293662750751497,</t>
  </si>
  <si>
    <t xml:space="preserve">          "temperature-yesterday": 0.18282304223016907,</t>
  </si>
  <si>
    <t xml:space="preserve">          "wind_speed-yesterday": 0.10570865792895034,</t>
  </si>
  <si>
    <t xml:space="preserve">          "wind_speed": 0.10366622226711639</t>
  </si>
  <si>
    <t xml:space="preserve">          "error_score": 6.965259552001953,</t>
  </si>
  <si>
    <t xml:space="preserve">          "error_score": 6.879382610321045,</t>
  </si>
  <si>
    <t xml:space="preserve">          "error_score": 4.877282619476318,</t>
  </si>
  <si>
    <t xml:space="preserve">          "error_score": 4.721888065338135,</t>
  </si>
  <si>
    <t xml:space="preserve">          "error_score": 4.502788066864014,</t>
  </si>
  <si>
    <t xml:space="preserve">          "station_id": "CAN06158731",</t>
  </si>
  <si>
    <t xml:space="preserve">          "name": "TORONTO INTL A",</t>
  </si>
  <si>
    <t xml:space="preserve">          "city": "West Humber-Clairville",</t>
  </si>
  <si>
    <t xml:space="preserve">          "2024-06-22 22:00:00.000000": 7.555996417999268,</t>
  </si>
  <si>
    <t xml:space="preserve">          "2024-06-15 22:00:00.000000": 7.5455732345581055,</t>
  </si>
  <si>
    <t xml:space="preserve">          "2024-06-08 22:00:00.000000": 7.469981670379639,</t>
  </si>
  <si>
    <t xml:space="preserve">          "2024-06-06 22:00:00.000000": 7.259101867675781,</t>
  </si>
  <si>
    <t xml:space="preserve">          "2024-06-05 22:00:00.000000": 7.2132487297058105,</t>
  </si>
  <si>
    <t xml:space="preserve">          "2024-06-02 22:00:00.000000": 7.3777055740356445,</t>
  </si>
  <si>
    <t xml:space="preserve">          "2024-06-01 22:00:00.000000": 7.00807523727417,</t>
  </si>
  <si>
    <t xml:space="preserve">          "2024-05-29 22:00:00.000000": 7.169647216796875,</t>
  </si>
  <si>
    <t xml:space="preserve">          "2024-05-24 22:00:00.000000": 6.874092102050781,</t>
  </si>
  <si>
    <t xml:space="preserve">          "2024-05-20 22:00:00.000000": 6.8135271072387695</t>
  </si>
  <si>
    <t xml:space="preserve">          "temperature": 0.9540730958156601,</t>
  </si>
  <si>
    <t xml:space="preserve">          "dew_point_temperature": 0.29175221254521977,</t>
  </si>
  <si>
    <t xml:space="preserve">          "temperature-yesterday": 0.09005518696793338,</t>
  </si>
  <si>
    <t xml:space="preserve">          "wind_speed-yesterday": 0.06802500806862291,</t>
  </si>
  <si>
    <t xml:space="preserve">          "wind_direction-yesterday": 0.06610320261563767</t>
  </si>
  <si>
    <t xml:space="preserve">          "error_score": 7.697577953338623,</t>
  </si>
  <si>
    <t xml:space="preserve">          "error_score": 7.6722235679626465,</t>
  </si>
  <si>
    <t xml:space="preserve">          "error_score": 5.875068187713623,</t>
  </si>
  <si>
    <t xml:space="preserve">          "error_score": 3.875823497772217,</t>
  </si>
  <si>
    <t xml:space="preserve">          "error_score": 3.8001952171325684,</t>
  </si>
  <si>
    <t xml:space="preserve">          "station_id": "CAN06073976",</t>
  </si>
  <si>
    <t xml:space="preserve">          "name": "KAPUSKASING A",</t>
  </si>
  <si>
    <t xml:space="preserve">          "2024-06-22 22:00:00.000000": 8.884542465209961,</t>
  </si>
  <si>
    <t xml:space="preserve">          "2024-06-15 22:00:00.000000": 8.769423484802246,</t>
  </si>
  <si>
    <t xml:space="preserve">          "2024-06-08 22:00:00.000000": 8.816166877746582,</t>
  </si>
  <si>
    <t xml:space="preserve">          "2024-06-06 22:00:00.000000": 8.999170303344727,</t>
  </si>
  <si>
    <t xml:space="preserve">          "2024-06-05 22:00:00.000000": 8.855677604675293,</t>
  </si>
  <si>
    <t xml:space="preserve">          "2024-06-02 22:00:00.000000": 8.70919418334961,</t>
  </si>
  <si>
    <t xml:space="preserve">          "2024-06-01 22:00:00.000000": 8.865057945251465,</t>
  </si>
  <si>
    <t xml:space="preserve">          "2024-05-29 22:00:00.000000": 8.822420120239258,</t>
  </si>
  <si>
    <t xml:space="preserve">          "2024-05-24 22:00:00.000000": 9.006208419799805,</t>
  </si>
  <si>
    <t xml:space="preserve">          "2024-05-20 22:00:00.000000": 8.914322853088379</t>
  </si>
  <si>
    <t xml:space="preserve">          "temperature": 1.0318830952052465,</t>
  </si>
  <si>
    <t xml:space="preserve">          "wind_speed-yesterday": 0.16613900939649473,</t>
  </si>
  <si>
    <t xml:space="preserve">          "dew_point_temperature": 0.16120512013074567,</t>
  </si>
  <si>
    <t xml:space="preserve">          "temperature-yesterday": 0.15203529026577484,</t>
  </si>
  <si>
    <t xml:space="preserve">          "wind_speed": 0.10525383653242656</t>
  </si>
  <si>
    <t xml:space="preserve">          "error_score": 9.104196548461914,</t>
  </si>
  <si>
    <t xml:space="preserve">          "error_score": 8.979594230651855,</t>
  </si>
  <si>
    <t xml:space="preserve">          "error_score": 7.723265647888184,</t>
  </si>
  <si>
    <t xml:space="preserve">          "error_score": 4.916515350341797,</t>
  </si>
  <si>
    <t xml:space="preserve">          "error_score": 4.854276180267334,</t>
  </si>
  <si>
    <t xml:space="preserve">          "city": "Ridgetown",</t>
  </si>
  <si>
    <t xml:space="preserve">          "name": "ERIEAU (AUT)",</t>
  </si>
  <si>
    <t xml:space="preserve">          "station_id": "CAN0613KLLM",</t>
  </si>
  <si>
    <t xml:space="preserve">          "2024-06-22 22:00:00.000000": 6.965874195098877,</t>
  </si>
  <si>
    <t xml:space="preserve">          "2024-06-15 22:00:00.000000": 6.731339931488037,</t>
  </si>
  <si>
    <t xml:space="preserve">          "2024-06-08 22:00:00.000000": 6.69034481048584,</t>
  </si>
  <si>
    <t xml:space="preserve">          "2024-06-06 22:00:00.000000": 6.774001598358154,</t>
  </si>
  <si>
    <t xml:space="preserve">          "2024-06-05 22:00:00.000000": 6.695638179779053,</t>
  </si>
  <si>
    <t xml:space="preserve">          "2024-06-02 22:00:00.000000": 6.548698425292969,</t>
  </si>
  <si>
    <t xml:space="preserve">          "2024-06-01 22:00:00.000000": 6.611616134643555,</t>
  </si>
  <si>
    <t xml:space="preserve">          "2024-05-29 22:00:00.000000": 6.3249125480651855,</t>
  </si>
  <si>
    <t xml:space="preserve">          "2024-05-24 22:00:00.000000": 6.335636615753174,</t>
  </si>
  <si>
    <t xml:space="preserve">          "2024-05-20 22:00:00.000000": 6.284620761871338</t>
  </si>
  <si>
    <t xml:space="preserve">          "temperature": 1.0787130577985935,</t>
  </si>
  <si>
    <t xml:space="preserve">          "dew_point_temperature": 0.23609605125731128,</t>
  </si>
  <si>
    <t xml:space="preserve">          "wind_direction": 0.06317940059072258,</t>
  </si>
  <si>
    <t xml:space="preserve">          "wind_direction-yesterday": 0.06272799360039331,</t>
  </si>
  <si>
    <t xml:space="preserve">          "dew_point_temperature-yesterday": 0.06204674423063337</t>
  </si>
  <si>
    <t xml:space="preserve">          "error_score": 6.801480770111084,</t>
  </si>
  <si>
    <t xml:space="preserve">          "error_score": 5.411665439605713,</t>
  </si>
  <si>
    <t xml:space="preserve">          "error_score": 4.874286651611328,</t>
  </si>
  <si>
    <t xml:space="preserve">          "error_score": 4.796877384185791,</t>
  </si>
  <si>
    <t xml:space="preserve">          "error_score": 4.6239013671875,</t>
  </si>
  <si>
    <t xml:space="preserve">          "station_id": "CAN06061361",</t>
  </si>
  <si>
    <t xml:space="preserve">          "city": "Wawa",</t>
  </si>
  <si>
    <t xml:space="preserve">          "name": "CHAPLEAUA",</t>
  </si>
  <si>
    <t xml:space="preserve">          "2024-06-22 22:00:00.000000": 10.006032943725586,</t>
  </si>
  <si>
    <t xml:space="preserve">          "2024-06-15 22:00:00.000000": 10.11923599243164,</t>
  </si>
  <si>
    <t xml:space="preserve">          "2024-06-08 22:00:00.000000": 9.679757118225098,</t>
  </si>
  <si>
    <t xml:space="preserve">          "2024-06-06 22:00:00.000000": 9.512022018432617,</t>
  </si>
  <si>
    <t xml:space="preserve">          "2024-06-05 22:00:00.000000": 9.71603012084961,</t>
  </si>
  <si>
    <t xml:space="preserve">          "2024-06-02 22:00:00.000000": 9.418646812438965,</t>
  </si>
  <si>
    <t xml:space="preserve">          "2024-06-01 22:00:00.000000": 9.415582656860352,</t>
  </si>
  <si>
    <t xml:space="preserve">          "2024-05-29 22:00:00.000000": 9.685408592224121,</t>
  </si>
  <si>
    <t xml:space="preserve">          "2024-05-24 22:00:00.000000": 9.571269035339355,</t>
  </si>
  <si>
    <t xml:space="preserve">          "2024-05-20 22:00:00.000000": 9.415826797485352</t>
  </si>
  <si>
    <t xml:space="preserve">          "temperature": 1.060535369867897,</t>
  </si>
  <si>
    <t xml:space="preserve">          "dew_point_temperature": 0.2511695230930373,</t>
  </si>
  <si>
    <t xml:space="preserve">          "wind_speed": 0.19075951872281235,</t>
  </si>
  <si>
    <t xml:space="preserve">          "wind_direction": 0.14572076023991862,</t>
  </si>
  <si>
    <t xml:space="preserve">          "wind_direction-yesterday": 0.13042329072530065</t>
  </si>
  <si>
    <t xml:space="preserve">          "error_score": 9.987662315368652,</t>
  </si>
  <si>
    <t xml:space="preserve">          "error_score": 8.567368507385254,</t>
  </si>
  <si>
    <t xml:space="preserve">          "error_score": 8.15964126586914,</t>
  </si>
  <si>
    <t xml:space="preserve">          "error_score": 6.329323768615723,</t>
  </si>
  <si>
    <t xml:space="preserve">          "error_score": 6.05396842956543,</t>
  </si>
  <si>
    <t xml:space="preserve">          "station_id": "CAN06068150",</t>
  </si>
  <si>
    <t xml:space="preserve">          "name": "SUDBURY A",</t>
  </si>
  <si>
    <t xml:space="preserve">          "2024-06-22 22:00:00.000000": 8.783345222473145,</t>
  </si>
  <si>
    <t xml:space="preserve">          "2024-06-15 22:00:00.000000": 8.729787826538086,</t>
  </si>
  <si>
    <t xml:space="preserve">          "2024-06-08 22:00:00.000000": 8.681234359741211,</t>
  </si>
  <si>
    <t xml:space="preserve">          "2024-06-06 22:00:00.000000": 8.898326873779297,</t>
  </si>
  <si>
    <t xml:space="preserve">          "2024-06-05 22:00:00.000000": 8.738414764404297,</t>
  </si>
  <si>
    <t xml:space="preserve">          "2024-06-02 22:00:00.000000": 8.545552253723145,</t>
  </si>
  <si>
    <t xml:space="preserve">          "2024-06-01 22:00:00.000000": 8.494029998779297,</t>
  </si>
  <si>
    <t xml:space="preserve">          "2024-05-29 22:00:00.000000": 8.379260063171387,</t>
  </si>
  <si>
    <t xml:space="preserve">          "2024-05-24 22:00:00.000000": 8.539068222045898,</t>
  </si>
  <si>
    <t xml:space="preserve">          "2024-05-20 22:00:00.000000": 8.400381088256836</t>
  </si>
  <si>
    <t xml:space="preserve">          "temperature": 1.142645622275794,</t>
  </si>
  <si>
    <t xml:space="preserve">          "dew_point_temperature": 0.11461757790313484,</t>
  </si>
  <si>
    <t xml:space="preserve">          "temperature-yesterday": 0.10558047142870317,</t>
  </si>
  <si>
    <t xml:space="preserve">          "dew_point_temperature-yesterday": 0.06367681559653009,</t>
  </si>
  <si>
    <t xml:space="preserve">          "wind_speed-yesterday": 0.05245805569796906</t>
  </si>
  <si>
    <t xml:space="preserve">          "error_score": 9.12786865234375,</t>
  </si>
  <si>
    <t xml:space="preserve">          "error_score": 7.1889472007751465,</t>
  </si>
  <si>
    <t xml:space="preserve">          "error_score": 7.045994281768799,</t>
  </si>
  <si>
    <t xml:space="preserve">          "error_score": 5.029529571533203,</t>
  </si>
  <si>
    <t xml:space="preserve">          "error_score": 4.918560028076172,</t>
  </si>
  <si>
    <t xml:space="preserve">          "station_id": "CAN06049095",</t>
  </si>
  <si>
    <t xml:space="preserve">          "city": "Atikokan",</t>
  </si>
  <si>
    <t xml:space="preserve">          "name": "UPSALA (AUT)",</t>
  </si>
  <si>
    <t xml:space="preserve">          "2024-06-22 22:00:00.000000": 9.379188537597656,</t>
  </si>
  <si>
    <t xml:space="preserve">          "2024-06-15 22:00:00.000000": 9.404221534729004,</t>
  </si>
  <si>
    <t xml:space="preserve">          "2024-06-08 22:00:00.000000": 9.294676780700684,</t>
  </si>
  <si>
    <t xml:space="preserve">          "2024-06-06 22:00:00.000000": 9.161698341369629,</t>
  </si>
  <si>
    <t xml:space="preserve">          "2024-06-05 22:00:00.000000": 9.441276550292969,</t>
  </si>
  <si>
    <t xml:space="preserve">          "2024-06-02 22:00:00.000000": 8.95468807220459,</t>
  </si>
  <si>
    <t xml:space="preserve">          "2024-06-01 22:00:00.000000": 9.294068336486816,</t>
  </si>
  <si>
    <t xml:space="preserve">          "2024-05-29 22:00:00.000000": 9.626716613769531,</t>
  </si>
  <si>
    <t xml:space="preserve">          "2024-05-24 22:00:00.000000": 9.325085639953613,</t>
  </si>
  <si>
    <t xml:space="preserve">          "2024-05-20 22:00:00.000000": 9.276307106018066</t>
  </si>
  <si>
    <t xml:space="preserve">          "temperature": 0.8510202355473035,</t>
  </si>
  <si>
    <t xml:space="preserve">          "dew_point_temperature": 0.3925504624096137,</t>
  </si>
  <si>
    <t xml:space="preserve">          "temperature-yesterday": 0.08848143939521133,</t>
  </si>
  <si>
    <t xml:space="preserve">          "wind_direction-yesterday": 0.07115702895770488,</t>
  </si>
  <si>
    <t xml:space="preserve">          "wind_speed": 0.06795750532249396</t>
  </si>
  <si>
    <t xml:space="preserve">          "error_score": 9.180892944335938,</t>
  </si>
  <si>
    <t xml:space="preserve">          "error_score": 9.13814926147461,</t>
  </si>
  <si>
    <t xml:space="preserve">          "error_score": 7.811802387237549,</t>
  </si>
  <si>
    <t xml:space="preserve">          "error_score": 4.619156837463379,</t>
  </si>
  <si>
    <t xml:space="preserve">          "error_score": 4.338273525238037,</t>
  </si>
  <si>
    <t xml:space="preserve">          "city": "Picton",</t>
  </si>
  <si>
    <t xml:space="preserve">          "station_id": "CAN06156559",</t>
  </si>
  <si>
    <t xml:space="preserve">          "name": "POINTPETRE(AUT)",</t>
  </si>
  <si>
    <t xml:space="preserve">          "2024-06-22 22:00:00.000000": 7.204718112945557,</t>
  </si>
  <si>
    <t xml:space="preserve">          "2024-06-15 22:00:00.000000": 7.044001579284668,</t>
  </si>
  <si>
    <t xml:space="preserve">          "2024-06-08 22:00:00.000000": 6.988389015197754,</t>
  </si>
  <si>
    <t xml:space="preserve">          "2024-06-06 22:00:00.000000": 6.755593776702881,</t>
  </si>
  <si>
    <t xml:space="preserve">          "2024-06-05 22:00:00.000000": 6.925061225891113,</t>
  </si>
  <si>
    <t xml:space="preserve">          "2024-06-02 22:00:00.000000": 6.643145561218262,</t>
  </si>
  <si>
    <t xml:space="preserve">          "2024-06-01 22:00:00.000000": 6.714120864868164,</t>
  </si>
  <si>
    <t xml:space="preserve">          "2024-05-29 22:00:00.000000": 6.694216251373291,</t>
  </si>
  <si>
    <t xml:space="preserve">          "2024-05-24 22:00:00.000000": 6.61692476272583,</t>
  </si>
  <si>
    <t xml:space="preserve">          "2024-05-20 22:00:00.000000": 6.559780597686768</t>
  </si>
  <si>
    <t xml:space="preserve">          "temperature": 0.9790960247642329,</t>
  </si>
  <si>
    <t xml:space="preserve">          "dew_point_temperature": 0.3285650124113262,</t>
  </si>
  <si>
    <t xml:space="preserve">          "wind_direction": 0.0944640335899329,</t>
  </si>
  <si>
    <t xml:space="preserve">          "wind_speed": 0.06474787713925197,</t>
  </si>
  <si>
    <t xml:space="preserve">          "wind_speed-yesterday": 0.05058141167247985</t>
  </si>
  <si>
    <t xml:space="preserve">          "error_score": 7.007046699523926,</t>
  </si>
  <si>
    <t xml:space="preserve">          "error_score": 5.492098331451416,</t>
  </si>
  <si>
    <t xml:space="preserve">          "error_score": 5.18043327331543,</t>
  </si>
  <si>
    <t xml:space="preserve">          "error_score": 3.396947145462036,</t>
  </si>
  <si>
    <t xml:space="preserve">          "error_score": 3.252781629562378,</t>
  </si>
  <si>
    <t xml:space="preserve">          "city": "St. Catharines",</t>
  </si>
  <si>
    <t xml:space="preserve">          "name": "PORTWELLER(AUT)",</t>
  </si>
  <si>
    <t xml:space="preserve">          "station_id": "CAN06136699",</t>
  </si>
  <si>
    <t xml:space="preserve">          "2024-06-22 22:00:00.000000": 4.793596267700195,</t>
  </si>
  <si>
    <t xml:space="preserve">          "2024-06-15 22:00:00.000000": 4.469752311706543,</t>
  </si>
  <si>
    <t xml:space="preserve">          "2024-06-08 22:00:00.000000": 4.478266716003418,</t>
  </si>
  <si>
    <t xml:space="preserve">          "2024-06-06 22:00:00.000000": 4.401594161987305,</t>
  </si>
  <si>
    <t xml:space="preserve">          "2024-06-05 22:00:00.000000": 4.456632137298584,</t>
  </si>
  <si>
    <t xml:space="preserve">          "2024-06-02 22:00:00.000000": 4.333511829376221,</t>
  </si>
  <si>
    <t xml:space="preserve">          "2024-06-01 22:00:00.000000": 4.5748820304870605,</t>
  </si>
  <si>
    <t xml:space="preserve">          "2024-05-29 22:00:00.000000": 4.38291072845459,</t>
  </si>
  <si>
    <t xml:space="preserve">          "2024-05-24 22:00:00.000000": 4.256714344024658,</t>
  </si>
  <si>
    <t xml:space="preserve">          "2024-05-20 22:00:00.000000": 4.138136386871338</t>
  </si>
  <si>
    <t xml:space="preserve">          "temperature": 0.9338830173250031,</t>
  </si>
  <si>
    <t xml:space="preserve">          "dew_point_temperature": 0.6624626214695837,</t>
  </si>
  <si>
    <t xml:space="preserve">          "wind_speed": 0.059571187538931335,</t>
  </si>
  <si>
    <t xml:space="preserve">          "dew_point_temperature-yesterday": 0.05867747809348989,</t>
  </si>
  <si>
    <t xml:space="preserve">          "wind_direction": 0.04409136192091188</t>
  </si>
  <si>
    <t xml:space="preserve">          "error_score": 8.000188827514648,</t>
  </si>
  <si>
    <t xml:space="preserve">          "error_score": 5.912343502044678,</t>
  </si>
  <si>
    <t xml:space="preserve">          "error_score": 5.213523864746094,</t>
  </si>
  <si>
    <t xml:space="preserve">          "error_score": 4.382972717285156,</t>
  </si>
  <si>
    <t xml:space="preserve">          "error_score": 3.7332494258880615,</t>
  </si>
  <si>
    <t xml:space="preserve">          "station_id": "CAN06151684",</t>
  </si>
  <si>
    <t xml:space="preserve">          "name": "COBOURG(AUT)",</t>
  </si>
  <si>
    <t xml:space="preserve">          "city": "Cobourg",</t>
  </si>
  <si>
    <t xml:space="preserve">          "2024-06-22 22:00:00.000000": 10.496231079101562,</t>
  </si>
  <si>
    <t xml:space="preserve">          "2024-06-15 22:00:00.000000": 10.173661231994629,</t>
  </si>
  <si>
    <t xml:space="preserve">          "2024-06-08 22:00:00.000000": 10.13102912902832,</t>
  </si>
  <si>
    <t xml:space="preserve">          "2024-06-06 22:00:00.000000": 10.242513656616211,</t>
  </si>
  <si>
    <t xml:space="preserve">          "2024-06-05 22:00:00.000000": 10.121907234191895,</t>
  </si>
  <si>
    <t xml:space="preserve">          "2024-06-02 22:00:00.000000": 9.97165298461914,</t>
  </si>
  <si>
    <t xml:space="preserve">          "2024-06-01 22:00:00.000000": 9.868572235107422,</t>
  </si>
  <si>
    <t xml:space="preserve">          "2024-05-29 22:00:00.000000": 9.875346183776855,</t>
  </si>
  <si>
    <t xml:space="preserve">          "2024-05-24 22:00:00.000000": 9.593064308166504,</t>
  </si>
  <si>
    <t xml:space="preserve">          "2024-05-20 22:00:00.000000": 9.545947074890137</t>
  </si>
  <si>
    <t xml:space="preserve">          "temperature": 0.7688602727833589,</t>
  </si>
  <si>
    <t xml:space="preserve">          "dew_point_temperature": 0.3931975152299284,</t>
  </si>
  <si>
    <t xml:space="preserve">          "wind_speed": 0.1270872087771371,</t>
  </si>
  <si>
    <t xml:space="preserve">          "dew_point_temperature-yesterday": 0.12191911562255471,</t>
  </si>
  <si>
    <t xml:space="preserve">          "temperature-yesterday": 0.08478076228451156</t>
  </si>
  <si>
    <t xml:space="preserve">          "error_score": 10.816712379455566,</t>
  </si>
  <si>
    <t xml:space="preserve">          "error_score": 10.218907356262207,</t>
  </si>
  <si>
    <t xml:space="preserve">          "error_score": 7.476885795593262,</t>
  </si>
  <si>
    <t xml:space="preserve">          "error_score": 3.368112564086914,</t>
  </si>
  <si>
    <t xml:space="preserve">          "error_score": 2.976958751678467,</t>
  </si>
  <si>
    <t xml:space="preserve">          "city": "Sioux Lookout",</t>
  </si>
  <si>
    <t xml:space="preserve">          "station_id": "CAN06037776",</t>
  </si>
  <si>
    <t xml:space="preserve">          "name": "SIOUX LOOKOUT A",</t>
  </si>
  <si>
    <t xml:space="preserve">          "2024-06-22 22:00:00.000000": 9.252299308776855,</t>
  </si>
  <si>
    <t xml:space="preserve">          "2024-06-15 22:00:00.000000": 9.39234447479248,</t>
  </si>
  <si>
    <t xml:space="preserve">          "2024-06-08 22:00:00.000000": 9.340103149414062,</t>
  </si>
  <si>
    <t xml:space="preserve">          "2024-06-06 22:00:00.000000": 9.12663459777832,</t>
  </si>
  <si>
    <t xml:space="preserve">          "2024-06-05 22:00:00.000000": 9.210677146911621,</t>
  </si>
  <si>
    <t xml:space="preserve">          "2024-06-02 22:00:00.000000": 9.043817520141602,</t>
  </si>
  <si>
    <t xml:space="preserve">          "2024-06-01 22:00:00.000000": 9.193117141723633,</t>
  </si>
  <si>
    <t xml:space="preserve">          "2024-05-29 22:00:00.000000": 9.056882858276367,</t>
  </si>
  <si>
    <t xml:space="preserve">          "2024-05-24 22:00:00.000000": 9.122077941894531,</t>
  </si>
  <si>
    <t xml:space="preserve">          "2024-05-20 22:00:00.000000": 8.968010902404785</t>
  </si>
  <si>
    <t xml:space="preserve">          "temperature": 0.6133016736714141,</t>
  </si>
  <si>
    <t xml:space="preserve">          "dew_point_temperature": 0.488881730031039,</t>
  </si>
  <si>
    <t xml:space="preserve">          "temperature-yesterday": 0.27175299000455266,</t>
  </si>
  <si>
    <t xml:space="preserve">          "wind_speed": 0.19115147768257634,</t>
  </si>
  <si>
    <t xml:space="preserve">          "wind_speed-yesterday": 0.09114133146670463</t>
  </si>
  <si>
    <t xml:space="preserve">          "error_score": 8.903531074523926,</t>
  </si>
  <si>
    <t xml:space="preserve">          "error_score": 7.91963529586792,</t>
  </si>
  <si>
    <t xml:space="preserve">          "error_score": 7.5783915519714355,</t>
  </si>
  <si>
    <t xml:space="preserve">          "error_score": 5.896832466125488,</t>
  </si>
  <si>
    <t xml:space="preserve">          "error_score": 5.319890022277832,</t>
  </si>
  <si>
    <t xml:space="preserve">          "city": "Bancroft",</t>
  </si>
  <si>
    <t xml:space="preserve">          "station_id": "CAN0616I001",</t>
  </si>
  <si>
    <t xml:space="preserve">          "name": "BANCROFT AUTO",</t>
  </si>
  <si>
    <t xml:space="preserve">          "2024-06-22 22:00:00.000000": 17.401418685913086,</t>
  </si>
  <si>
    <t xml:space="preserve">          "2024-06-15 22:00:00.000000": 16.968774795532227,</t>
  </si>
  <si>
    <t xml:space="preserve">          "2024-06-08 22:00:00.000000": 17.216211318969727,</t>
  </si>
  <si>
    <t xml:space="preserve">          "2024-06-06 22:00:00.000000": 17.521263122558594,</t>
  </si>
  <si>
    <t xml:space="preserve">          "2024-06-05 22:00:00.000000": 17.277050018310547,</t>
  </si>
  <si>
    <t xml:space="preserve">          "2024-06-02 22:00:00.000000": 16.92035484313965,</t>
  </si>
  <si>
    <t xml:space="preserve">          "2024-06-01 22:00:00.000000": 17.506603240966797,</t>
  </si>
  <si>
    <t xml:space="preserve">          "2024-05-29 22:00:00.000000": 16.700410842895508,</t>
  </si>
  <si>
    <t xml:space="preserve">          "2024-05-24 22:00:00.000000": 17.020179748535156,</t>
  </si>
  <si>
    <t xml:space="preserve">          "2024-05-20 22:00:00.000000": 16.839963912963867</t>
  </si>
  <si>
    <t xml:space="preserve">          "temperature": 0.9650361091382724,</t>
  </si>
  <si>
    <t xml:space="preserve">          "dew_point_temperature": 0.27494203995845906,</t>
  </si>
  <si>
    <t xml:space="preserve">          "wind_speed": 0.22319432041685686,</t>
  </si>
  <si>
    <t xml:space="preserve">          "temperature-yesterday": 0.12500816307997975,</t>
  </si>
  <si>
    <t xml:space="preserve">          "wind_speed-yesterday": 0.09535962270881619</t>
  </si>
  <si>
    <t xml:space="preserve">          "error_score": 17.271312713623047,</t>
  </si>
  <si>
    <t xml:space="preserve">          "error_score": 15.13608169555664,</t>
  </si>
  <si>
    <t xml:space="preserve">          "error_score": 14.171736717224121,</t>
  </si>
  <si>
    <t xml:space="preserve">          "error_score": 4.381202220916748,</t>
  </si>
  <si>
    <t xml:space="preserve">          "error_score": 3.8895866870880127,</t>
  </si>
  <si>
    <t xml:space="preserve">          "name": "KILLARNEY (AUT)",</t>
  </si>
  <si>
    <t xml:space="preserve">          "city": "Espanola",</t>
  </si>
  <si>
    <t xml:space="preserve">          "station_id": "CAN0605DJ25",</t>
  </si>
  <si>
    <t xml:space="preserve">          "2024-06-22 22:00:00.000000": 13.695513725280762,</t>
  </si>
  <si>
    <t xml:space="preserve">          "2024-06-15 22:00:00.000000": 13.468167304992676,</t>
  </si>
  <si>
    <t xml:space="preserve">          "2024-06-08 22:00:00.000000": 13.42391586303711,</t>
  </si>
  <si>
    <t xml:space="preserve">          "2024-06-06 22:00:00.000000": 13.568687438964844,</t>
  </si>
  <si>
    <t xml:space="preserve">          "2024-06-05 22:00:00.000000": 13.448525428771973,</t>
  </si>
  <si>
    <t xml:space="preserve">          "2024-06-02 22:00:00.000000": 13.290033340454102,</t>
  </si>
  <si>
    <t xml:space="preserve">          "2024-06-01 22:00:00.000000": 13.248254776000977,</t>
  </si>
  <si>
    <t xml:space="preserve">          "2024-05-29 22:00:00.000000": 12.940394401550293,</t>
  </si>
  <si>
    <t xml:space="preserve">          "2024-05-24 22:00:00.000000": 12.861109733581543,</t>
  </si>
  <si>
    <t xml:space="preserve">          "2024-05-20 22:00:00.000000": 13.00676441192627</t>
  </si>
  <si>
    <t xml:space="preserve">          "dew_point_temperature": 0.49186011950012165,</t>
  </si>
  <si>
    <t xml:space="preserve">          "temperature": 0.4399050614172418,</t>
  </si>
  <si>
    <t xml:space="preserve">          "dew_point_temperature-yesterday": 0.1830938814816702,</t>
  </si>
  <si>
    <t xml:space="preserve">          "temperature-yesterday": 0.15455199540386716,</t>
  </si>
  <si>
    <t xml:space="preserve">          "wind_speed-yesterday": 0.1462845993685263</t>
  </si>
  <si>
    <t xml:space="preserve">          "error_score": 13.484256744384766,</t>
  </si>
  <si>
    <t xml:space="preserve">          "error_score": 11.08887767791748,</t>
  </si>
  <si>
    <t xml:space="preserve">          "error_score": 10.059295654296875,</t>
  </si>
  <si>
    <t xml:space="preserve">          "error_score": 3.9772679805755615,</t>
  </si>
  <si>
    <t xml:space="preserve">          "error_score": 3.8744261264801025,</t>
  </si>
  <si>
    <t xml:space="preserve">          "city": "Kenora",</t>
  </si>
  <si>
    <t xml:space="preserve">          "name": "KENORAA",</t>
  </si>
  <si>
    <t xml:space="preserve">          "station_id": "CAN06034075",</t>
  </si>
  <si>
    <t xml:space="preserve">          "2024-06-22 22:00:00.000000": 17.067073822021484,</t>
  </si>
  <si>
    <t xml:space="preserve">          "2024-06-15 22:00:00.000000": 16.87112808227539,</t>
  </si>
  <si>
    <t xml:space="preserve">          "2024-06-08 22:00:00.000000": 16.544530868530273,</t>
  </si>
  <si>
    <t xml:space="preserve">          "2024-06-06 22:00:00.000000": 16.787172317504883,</t>
  </si>
  <si>
    <t xml:space="preserve">          "2024-06-05 22:00:00.000000": 16.90039825439453,</t>
  </si>
  <si>
    <t xml:space="preserve">          "2024-06-02 22:00:00.000000": 16.897592544555664,</t>
  </si>
  <si>
    <t xml:space="preserve">          "2024-06-01 22:00:00.000000": 16.728363037109375,</t>
  </si>
  <si>
    <t xml:space="preserve">          "2024-05-29 22:00:00.000000": 16.746458053588867,</t>
  </si>
  <si>
    <t xml:space="preserve">          "2024-05-24 22:00:00.000000": 16.308210372924805,</t>
  </si>
  <si>
    <t xml:space="preserve">          "2024-05-20 22:00:00.000000": 16.31484603881836</t>
  </si>
  <si>
    <t xml:space="preserve">          "temperature": 0.8327930180189067,</t>
  </si>
  <si>
    <t xml:space="preserve">          "dew_point_temperature": 0.3650292963072538,</t>
  </si>
  <si>
    <t xml:space="preserve">          "wind_speed-yesterday": 0.12250541611905334,</t>
  </si>
  <si>
    <t xml:space="preserve">          "temperature-yesterday": 0.11055806330118392,</t>
  </si>
  <si>
    <t xml:space="preserve">          "wind_speed": 0.09354831236923014</t>
  </si>
  <si>
    <t xml:space="preserve">          "error_score": 17.41425895690918,</t>
  </si>
  <si>
    <t xml:space="preserve">          "error_score": 17.371177673339844,</t>
  </si>
  <si>
    <t xml:space="preserve">          "error_score": 14.797794342041016,</t>
  </si>
  <si>
    <t xml:space="preserve">          "error_score": 6.670673847198486,</t>
  </si>
  <si>
    <t xml:space="preserve">          "error_score": 6.512956619262695,</t>
  </si>
  <si>
    <t xml:space="preserve">          "city": "Ancaster",</t>
  </si>
  <si>
    <t xml:space="preserve">          "name": "HAMILTON A",</t>
  </si>
  <si>
    <t xml:space="preserve">          "state": "Ontario",</t>
  </si>
  <si>
    <t xml:space="preserve">          "station_id": "CAN06153194"</t>
  </si>
  <si>
    <t xml:space="preserve">          "2024-06-22 22:00:00.000000": 10.28022575378418,</t>
  </si>
  <si>
    <t xml:space="preserve">          "2024-06-15 22:00:00.000000": 10.019731521606445,</t>
  </si>
  <si>
    <t xml:space="preserve">          "2024-06-08 22:00:00.000000": 10.14826774597168,</t>
  </si>
  <si>
    <t xml:space="preserve">          "2024-06-06 22:00:00.000000": 10.107015609741211,</t>
  </si>
  <si>
    <t xml:space="preserve">          "2024-06-05 22:00:00.000000": 10.141707420349121,</t>
  </si>
  <si>
    <t xml:space="preserve">          "2024-06-02 22:00:00.000000": 9.893223762512207,</t>
  </si>
  <si>
    <t xml:space="preserve">          "2024-06-01 22:00:00.000000": 9.981964111328125,</t>
  </si>
  <si>
    <t xml:space="preserve">          "2024-05-29 22:00:00.000000": 9.723217010498047,</t>
  </si>
  <si>
    <t xml:space="preserve">          "2024-05-24 22:00:00.000000": 9.696532249450684,</t>
  </si>
  <si>
    <t xml:space="preserve">          "2024-05-20 22:00:00.000000": 9.755593299865723</t>
  </si>
  <si>
    <t xml:space="preserve">          "temperature": 1.0349042658152172,</t>
  </si>
  <si>
    <t xml:space="preserve">          "dew_point_temperature": 0.3374456423117776,</t>
  </si>
  <si>
    <t xml:space="preserve">          "dew_point_temperature-yesterday": 0.09437643606524877,</t>
  </si>
  <si>
    <t xml:space="preserve">          "wind_speed-yesterday": 0.0808218227395106,</t>
  </si>
  <si>
    <t xml:space="preserve">          "temperature-yesterday": 0.07353613646480886</t>
  </si>
  <si>
    <t xml:space="preserve">          "error_score": 10.646505355834961,</t>
  </si>
  <si>
    <t xml:space="preserve">          "error_score": 10.21727466583252,</t>
  </si>
  <si>
    <t xml:space="preserve">          "error_score": 8.005003929138184,</t>
  </si>
  <si>
    <t xml:space="preserve">          "error_score": 4.112330913543701,</t>
  </si>
  <si>
    <t xml:space="preserve">          "error_score": 3.840676784515381,</t>
  </si>
  <si>
    <t xml:space="preserve">          "station_id": "CAN06153193",</t>
  </si>
  <si>
    <t xml:space="preserve">          "2024-06-22 22:00:00.000000": 5.5609049797058105,</t>
  </si>
  <si>
    <t xml:space="preserve">          "2024-06-15 22:00:00.000000": 5.441372394561768,</t>
  </si>
  <si>
    <t xml:space="preserve">          "2024-06-08 22:00:00.000000": 5.316394805908203,</t>
  </si>
  <si>
    <t xml:space="preserve">          "2024-06-06 22:00:00.000000": 5.298818588256836,</t>
  </si>
  <si>
    <t xml:space="preserve">          "2024-06-05 22:00:00.000000": 5.4135422706604,</t>
  </si>
  <si>
    <t xml:space="preserve">          "2024-06-02 22:00:00.000000": 5.1192450523376465,</t>
  </si>
  <si>
    <t xml:space="preserve">          "2024-06-01 22:00:00.000000": 5.249294757843018,</t>
  </si>
  <si>
    <t xml:space="preserve">          "2024-05-29 22:00:00.000000": 5.181550979614258,</t>
  </si>
  <si>
    <t xml:space="preserve">          "2024-05-24 22:00:00.000000": 5.288372039794922,</t>
  </si>
  <si>
    <t xml:space="preserve">          "2024-05-20 22:00:00.000000": 5.046525478363037</t>
  </si>
  <si>
    <t xml:space="preserve">          "temperature": 0.938694324716387,</t>
  </si>
  <si>
    <t xml:space="preserve">          "dew_point_temperature": 0.4137861734685151,</t>
  </si>
  <si>
    <t xml:space="preserve">          "temperature-yesterday": 0.06813244317895055,</t>
  </si>
  <si>
    <t xml:space="preserve">          "wind_speed": 0.04983454942065522,</t>
  </si>
  <si>
    <t xml:space="preserve">          "wind_speed-yesterday": 0.048789187944640336</t>
  </si>
  <si>
    <t xml:space="preserve">          "error_score": 5.737097263336182,</t>
  </si>
  <si>
    <t xml:space="preserve">          "error_score": 5.471388816833496,</t>
  </si>
  <si>
    <t xml:space="preserve">          "error_score": 4.411179065704346,</t>
  </si>
  <si>
    <t xml:space="preserve">          "error_score": 3.258854389190674,</t>
  </si>
  <si>
    <t xml:space="preserve">          "error_score": 3.2569069862365723,</t>
  </si>
  <si>
    <t xml:space="preserve">          "station_id": "CAN06151061",</t>
  </si>
  <si>
    <t xml:space="preserve">          "name": "BURLINGTONPIERS(AUT)",</t>
  </si>
  <si>
    <t xml:space="preserve">          "city": "Hamilton",</t>
  </si>
  <si>
    <t xml:space="preserve">          "2024-06-22 22:00:00.000000": 8.828184127807617,</t>
  </si>
  <si>
    <t xml:space="preserve">          "2024-06-15 22:00:00.000000": 8.877869606018066,</t>
  </si>
  <si>
    <t xml:space="preserve">          "2024-06-08 22:00:00.000000": 8.517587661743164,</t>
  </si>
  <si>
    <t xml:space="preserve">          "2024-06-06 22:00:00.000000": 8.806061744689941,</t>
  </si>
  <si>
    <t xml:space="preserve">          "2024-06-05 22:00:00.000000": 8.889151573181152,</t>
  </si>
  <si>
    <t xml:space="preserve">          "2024-06-02 22:00:00.000000": 8.3469877243042,</t>
  </si>
  <si>
    <t xml:space="preserve">          "2024-06-01 22:00:00.000000": 8.52033519744873,</t>
  </si>
  <si>
    <t xml:space="preserve">          "2024-05-29 22:00:00.000000": 8.45517635345459,</t>
  </si>
  <si>
    <t xml:space="preserve">          "2024-05-24 22:00:00.000000": 8.27356243133545,</t>
  </si>
  <si>
    <t xml:space="preserve">          "2024-05-20 22:00:00.000000": 8.210614204406738</t>
  </si>
  <si>
    <t xml:space="preserve">          "temperature": 0.9414460086009082,</t>
  </si>
  <si>
    <t xml:space="preserve">          "dew_point_temperature": 0.36526459833592995,</t>
  </si>
  <si>
    <t xml:space="preserve">          "wind_direction": 0.04036301899367693,</t>
  </si>
  <si>
    <t xml:space="preserve">          "temperature-yesterday": 0.040334768962473525,</t>
  </si>
  <si>
    <t xml:space="preserve">          "wind_speed-yesterday": 0.03996210074722924</t>
  </si>
  <si>
    <t xml:space="preserve">          "error_score": 11.919567108154297,</t>
  </si>
  <si>
    <t xml:space="preserve">          "error_score": 8.891610145568848,</t>
  </si>
  <si>
    <t xml:space="preserve">          "error_score": 7.145369529724121,</t>
  </si>
  <si>
    <t xml:space="preserve">          "error_score": 5.31538724899292,</t>
  </si>
  <si>
    <t xml:space="preserve">          "error_score": 5.027648448944092,</t>
  </si>
  <si>
    <t xml:space="preserve">          "name": "WINDSOR A",</t>
  </si>
  <si>
    <t xml:space="preserve">          "city": "Windsor",</t>
  </si>
  <si>
    <t xml:space="preserve">          "station_id": "CAN06139525",</t>
  </si>
  <si>
    <t xml:space="preserve">          "2024-06-22 22:00:00.000000": 5.215915203094482,</t>
  </si>
  <si>
    <t xml:space="preserve">          "2024-06-15 22:00:00.000000": 5.195358753204346,</t>
  </si>
  <si>
    <t xml:space="preserve">          "2024-06-08 22:00:00.000000": 5.0505290031433105,</t>
  </si>
  <si>
    <t xml:space="preserve">          "2024-06-06 22:00:00.000000": 5.168619155883789,</t>
  </si>
  <si>
    <t xml:space="preserve">          "2024-06-05 22:00:00.000000": 5.251994609832764,</t>
  </si>
  <si>
    <t xml:space="preserve">          "2024-06-02 22:00:00.000000": 4.91054630279541,</t>
  </si>
  <si>
    <t xml:space="preserve">          "2024-06-01 22:00:00.000000": 5.32534122467041,</t>
  </si>
  <si>
    <t xml:space="preserve">          "2024-05-29 22:00:00.000000": 5.290642261505127,</t>
  </si>
  <si>
    <t xml:space="preserve">          "2024-05-24 22:00:00.000000": 5.067165851593018,</t>
  </si>
  <si>
    <t xml:space="preserve">          "2024-05-20 22:00:00.000000": 5.196680068969727</t>
  </si>
  <si>
    <t xml:space="preserve">          "temperature": 1.1617124215341819,</t>
  </si>
  <si>
    <t xml:space="preserve">          "dew_point_temperature": 0.17965221874702955,</t>
  </si>
  <si>
    <t xml:space="preserve">          "wind_direction": 0.1370565749015204,</t>
  </si>
  <si>
    <t xml:space="preserve">          "temperature-yesterday": 0.10963605098073366,</t>
  </si>
  <si>
    <t xml:space="preserve">          "dew_point_temperature-yesterday": 0.058411454887720635</t>
  </si>
  <si>
    <t xml:space="preserve">          "error_score": 8.473180770874023,</t>
  </si>
  <si>
    <t xml:space="preserve">          "error_score": 5.297750949859619,</t>
  </si>
  <si>
    <t xml:space="preserve">          "error_score": 4.580743312835693,</t>
  </si>
  <si>
    <t xml:space="preserve">          "error_score": 4.56152868270874,</t>
  </si>
  <si>
    <t xml:space="preserve">          "error_score": 4.385287284851074,</t>
  </si>
  <si>
    <t xml:space="preserve">          "name": "COLLINGWOOD",</t>
  </si>
  <si>
    <t xml:space="preserve">          "city": "Collingwood",</t>
  </si>
  <si>
    <t xml:space="preserve">          "station_id": "CAN06111792",</t>
  </si>
  <si>
    <t xml:space="preserve">          "2024-06-22 22:00:00.000000": 11.663975715637207,</t>
  </si>
  <si>
    <t xml:space="preserve">          "2024-06-15 22:00:00.000000": 11.088390350341797,</t>
  </si>
  <si>
    <t xml:space="preserve">          "2024-06-08 22:00:00.000000": 11.537544250488281,</t>
  </si>
  <si>
    <t xml:space="preserve">          "2024-06-06 22:00:00.000000": 11.664985656738281,</t>
  </si>
  <si>
    <t xml:space="preserve">          "2024-06-05 22:00:00.000000": 11.428350448608398,</t>
  </si>
  <si>
    <t xml:space="preserve">          "2024-06-02 22:00:00.000000": 11.59453010559082,</t>
  </si>
  <si>
    <t xml:space="preserve">          "2024-06-01 22:00:00.000000": 11.800495147705078,</t>
  </si>
  <si>
    <t xml:space="preserve">          "2024-05-29 22:00:00.000000": 11.163715362548828,</t>
  </si>
  <si>
    <t xml:space="preserve">          "2024-05-24 22:00:00.000000": 11.488822937011719,</t>
  </si>
  <si>
    <t xml:space="preserve">          "2024-05-20 22:00:00.000000": 11.241331100463867</t>
  </si>
  <si>
    <t xml:space="preserve">          "temperature": 1.1608605058932469,</t>
  </si>
  <si>
    <t xml:space="preserve">          "dew_point_temperature": 0.17925473055983704,</t>
  </si>
  <si>
    <t xml:space="preserve">          "temperature-yesterday": 0.1132227076564066,</t>
  </si>
  <si>
    <t xml:space="preserve">          "wind_direction": 0.06842636123332353,</t>
  </si>
  <si>
    <t xml:space="preserve">          "wind_speed-yesterday": 0.029178705694843286</t>
  </si>
  <si>
    <t xml:space="preserve">          "error_score": 12.054315567016602,</t>
  </si>
  <si>
    <t xml:space="preserve">          "error_score": 11.445708274841309,</t>
  </si>
  <si>
    <t xml:space="preserve">          "error_score": 9.665048599243164,</t>
  </si>
  <si>
    <t xml:space="preserve">          "error_score": 5.02069091796875,</t>
  </si>
  <si>
    <t xml:space="preserve">          "error_score": 4.83206033706665,</t>
  </si>
  <si>
    <t xml:space="preserve">          "city": "Lappe",</t>
  </si>
  <si>
    <t xml:space="preserve">          "station_id": "CAN06041110",</t>
  </si>
  <si>
    <t xml:space="preserve">          "name": "CAMERON FALLS (AUT)",</t>
  </si>
  <si>
    <t xml:space="preserve">          "2024-06-22 22:00:00.000000": 10.297795295715332,</t>
  </si>
  <si>
    <t xml:space="preserve">          "2024-06-15 22:00:00.000000": 10.359375953674316,</t>
  </si>
  <si>
    <t xml:space="preserve">          "2024-06-08 22:00:00.000000": 10.264122009277344,</t>
  </si>
  <si>
    <t xml:space="preserve">          "2024-06-06 22:00:00.000000": 10.311829566955566,</t>
  </si>
  <si>
    <t xml:space="preserve">          "2024-06-05 22:00:00.000000": 10.42860221862793,</t>
  </si>
  <si>
    <t xml:space="preserve">          "2024-06-02 22:00:00.000000": 10.359766006469727,</t>
  </si>
  <si>
    <t xml:space="preserve">          "2024-06-01 22:00:00.000000": 10.66705322265625,</t>
  </si>
  <si>
    <t xml:space="preserve">          "2024-05-29 22:00:00.000000": 10.41998291015625,</t>
  </si>
  <si>
    <t xml:space="preserve">          "2024-05-24 22:00:00.000000": 10.269139289855957,</t>
  </si>
  <si>
    <t xml:space="preserve">          "2024-05-20 22:00:00.000000": 10.273382186889648</t>
  </si>
  <si>
    <t xml:space="preserve">          "dew_point_temperature": 0.5835619873438793,</t>
  </si>
  <si>
    <t xml:space="preserve">          "temperature": 0.5339884221550337,</t>
  </si>
  <si>
    <t xml:space="preserve">          "temperature-yesterday": 0.1344619931959959,</t>
  </si>
  <si>
    <t xml:space="preserve">          "wind_speed": 0.12893159676168783,</t>
  </si>
  <si>
    <t xml:space="preserve">          "wind_speed-yesterday": 0.07421120343901341</t>
  </si>
  <si>
    <t xml:space="preserve">          "error_score": 10.08104133605957,</t>
  </si>
  <si>
    <t xml:space="preserve">          "error_score": 9.697259902954102,</t>
  </si>
  <si>
    <t xml:space="preserve">          "error_score": 8.979430198669434,</t>
  </si>
  <si>
    <t xml:space="preserve">          "error_score": 6.157602787017822,</t>
  </si>
  <si>
    <t xml:space="preserve">          "error_score": 5.79537296295166,</t>
  </si>
  <si>
    <t xml:space="preserve">          "station_id": "CAA00716204",</t>
  </si>
  <si>
    <t xml:space="preserve">          "name": "KINGSTON (MARS)",</t>
  </si>
  <si>
    <t xml:space="preserve">          "city": "Kingston",</t>
  </si>
  <si>
    <t xml:space="preserve">          "2024-06-22 22:00:00.000000": 8.67171573638916,</t>
  </si>
  <si>
    <t xml:space="preserve">          "2024-06-15 22:00:00.000000": 8.472084999084473,</t>
  </si>
  <si>
    <t xml:space="preserve">          "2024-06-08 22:00:00.000000": 8.282530784606934,</t>
  </si>
  <si>
    <t xml:space="preserve">          "2024-06-06 22:00:00.000000": 8.443025588989258,</t>
  </si>
  <si>
    <t xml:space="preserve">          "2024-06-05 22:00:00.000000": 8.322360038757324,</t>
  </si>
  <si>
    <t xml:space="preserve">          "2024-06-02 22:00:00.000000": 8.102747917175293,</t>
  </si>
  <si>
    <t xml:space="preserve">          "2024-06-01 22:00:00.000000": 8.160944938659668,</t>
  </si>
  <si>
    <t xml:space="preserve">          "2024-05-29 22:00:00.000000": 7.905825138092041,</t>
  </si>
  <si>
    <t xml:space="preserve">          "2024-05-24 22:00:00.000000": 7.919753074645996,</t>
  </si>
  <si>
    <t xml:space="preserve">          "2024-05-20 22:00:00.000000": 7.872837543487549</t>
  </si>
  <si>
    <t xml:space="preserve">          "temperature": 0.8360456449146405,</t>
  </si>
  <si>
    <t xml:space="preserve">          "dew_point_temperature": 0.4213218716105308,</t>
  </si>
  <si>
    <t xml:space="preserve">          "wind_direction": 0.16513174339790976,</t>
  </si>
  <si>
    <t xml:space="preserve">          "wind_speed-yesterday": 0.12727195123761098,</t>
  </si>
  <si>
    <t xml:space="preserve">          "dew_point_temperature-yesterday": 0.12373298535024028</t>
  </si>
  <si>
    <t xml:space="preserve">          "error_score": 12.913824081420898,</t>
  </si>
  <si>
    <t xml:space="preserve">          "error_score": 8.52465534210205,</t>
  </si>
  <si>
    <t xml:space="preserve">          "error_score": 5.8615851402282715,</t>
  </si>
  <si>
    <t xml:space="preserve">          "error_score": 3.847442626953125,</t>
  </si>
  <si>
    <t xml:space="preserve">          "error_score": 3.4427220821380615,</t>
  </si>
  <si>
    <t xml:space="preserve">          "station_id": "CAN06153301",</t>
  </si>
  <si>
    <t xml:space="preserve">          "name": "HAMILTON RBG CS",</t>
  </si>
  <si>
    <t xml:space="preserve">          "2024-06-22 22:00:00.000000": 6.250030994415283,</t>
  </si>
  <si>
    <t xml:space="preserve">          "2024-06-15 22:00:00.000000": 6.455101013183594,</t>
  </si>
  <si>
    <t xml:space="preserve">          "2024-06-08 22:00:00.000000": 6.419107437133789,</t>
  </si>
  <si>
    <t xml:space="preserve">          "2024-06-06 22:00:00.000000": 6.45144510269165,</t>
  </si>
  <si>
    <t xml:space="preserve">          "2024-06-05 22:00:00.000000": 6.530134201049805,</t>
  </si>
  <si>
    <t xml:space="preserve">          "2024-06-02 22:00:00.000000": 6.56631326675415,</t>
  </si>
  <si>
    <t xml:space="preserve">          "2024-06-01 22:00:00.000000": 6.544992923736572,</t>
  </si>
  <si>
    <t xml:space="preserve">          "2024-05-29 22:00:00.000000": 6.595740795135498,</t>
  </si>
  <si>
    <t xml:space="preserve">          "2024-05-24 22:00:00.000000": 6.802615165710449,</t>
  </si>
  <si>
    <t xml:space="preserve">          "2024-05-20 22:00:00.000000": 6.750140190124512</t>
  </si>
  <si>
    <t xml:space="preserve">          "temperature": 0.8385289610399631,</t>
  </si>
  <si>
    <t xml:space="preserve">          "wind_speed": 0.5246106378236473,</t>
  </si>
  <si>
    <t xml:space="preserve">          "temperature-yesterday": 0.3642352916307474,</t>
  </si>
  <si>
    <t xml:space="preserve">          "dew_point_temperature": 0.18230327724062417,</t>
  </si>
  <si>
    <t xml:space="preserve">          "dew_point_temperature-yesterday": 0.16494963543346824</t>
  </si>
  <si>
    <t xml:space="preserve">          "error_score": 14.996123313903809,</t>
  </si>
  <si>
    <t xml:space="preserve">          "error_score": 13.903854370117188,</t>
  </si>
  <si>
    <t xml:space="preserve">          "error_score": 8.733463287353516,</t>
  </si>
  <si>
    <t xml:space="preserve">          "error_score": 6.152662754058838,</t>
  </si>
  <si>
    <t xml:space="preserve">          "error_score": 4.021948337554932,</t>
  </si>
  <si>
    <t xml:space="preserve">          "station_id": "CAN06020LPQ",</t>
  </si>
  <si>
    <t xml:space="preserve">          "name": "ATIKOKAN (AUT)",</t>
  </si>
  <si>
    <t xml:space="preserve">          "2024-06-22 22:00:00.000000": 12.952045440673828,</t>
  </si>
  <si>
    <t xml:space="preserve">          "2024-06-15 22:00:00.000000": 12.81337833404541,</t>
  </si>
  <si>
    <t xml:space="preserve">          "2024-06-08 22:00:00.000000": 12.61099624633789,</t>
  </si>
  <si>
    <t xml:space="preserve">          "2024-06-06 22:00:00.000000": 12.661711692810059,</t>
  </si>
  <si>
    <t xml:space="preserve">          "2024-06-05 22:00:00.000000": 12.726810455322266,</t>
  </si>
  <si>
    <t xml:space="preserve">          "2024-06-02 22:00:00.000000": 12.220832824707031,</t>
  </si>
  <si>
    <t xml:space="preserve">          "2024-06-01 22:00:00.000000": 12.578670501708984,</t>
  </si>
  <si>
    <t xml:space="preserve">          "2024-05-29 22:00:00.000000": 12.438139915466309,</t>
  </si>
  <si>
    <t xml:space="preserve">          "2024-05-24 22:00:00.000000": 12.297497749328613,</t>
  </si>
  <si>
    <t xml:space="preserve">          "2024-05-20 22:00:00.000000": 12.50619125366211</t>
  </si>
  <si>
    <t xml:space="preserve">          "temperature": 0.6151410761500152,</t>
  </si>
  <si>
    <t xml:space="preserve">          "dew_point_temperature": 0.5998285409676252,</t>
  </si>
  <si>
    <t xml:space="preserve">          "wind_direction": 0.0886763251573219,</t>
  </si>
  <si>
    <t xml:space="preserve">          "wind_speed-yesterday": 0.08238738473100948,</t>
  </si>
  <si>
    <t xml:space="preserve">          "temperature-yesterday": 0.0736448676902991</t>
  </si>
  <si>
    <t xml:space="preserve">          "error_score": 12.579297065734863,</t>
  </si>
  <si>
    <t xml:space="preserve">          "error_score": 10.892631530761719,</t>
  </si>
  <si>
    <t xml:space="preserve">          "error_score": 10.46369743347168,</t>
  </si>
  <si>
    <t xml:space="preserve">          "error_score": 3.886927843093872,</t>
  </si>
  <si>
    <t xml:space="preserve">          "error_score": 3.809885263442993,</t>
  </si>
  <si>
    <t xml:space="preserve">          "city": "North Bay",</t>
  </si>
  <si>
    <t xml:space="preserve">          "name": "NORTH BAY AIRPORT",</t>
  </si>
  <si>
    <t xml:space="preserve">          "station_id": "CAN06085695",</t>
  </si>
  <si>
    <t xml:space="preserve">          "2024-06-22 22:00:00.000000": 10.679436683654785,</t>
  </si>
  <si>
    <t xml:space="preserve">          "2024-06-15 22:00:00.000000": 10.287476539611816,</t>
  </si>
  <si>
    <t xml:space="preserve">          "2024-06-08 22:00:00.000000": 10.023399353027344,</t>
  </si>
  <si>
    <t xml:space="preserve">          "2024-06-06 22:00:00.000000": 10.434283256530762,</t>
  </si>
  <si>
    <t xml:space="preserve">          "2024-06-05 22:00:00.000000": 10.479873657226562,</t>
  </si>
  <si>
    <t xml:space="preserve">          "2024-06-02 22:00:00.000000": 10.058098793029785,</t>
  </si>
  <si>
    <t xml:space="preserve">          "2024-06-01 22:00:00.000000": 10.453447341918945,</t>
  </si>
  <si>
    <t xml:space="preserve">          "2024-05-29 22:00:00.000000": 10.296794891357422,</t>
  </si>
  <si>
    <t xml:space="preserve">          "2024-05-24 22:00:00.000000": 10.169635772705078,</t>
  </si>
  <si>
    <t xml:space="preserve">          "2024-05-20 22:00:00.000000": 9.532350540161133</t>
  </si>
  <si>
    <t xml:space="preserve">          "temperature": 0.9757420171333854,</t>
  </si>
  <si>
    <t xml:space="preserve">          "dew_point_temperature": 0.35544830886595935,</t>
  </si>
  <si>
    <t xml:space="preserve">          "wind_direction": 0.11898207448986989,</t>
  </si>
  <si>
    <t xml:space="preserve">          "wind_speed": 0.11594880795173632,</t>
  </si>
  <si>
    <t xml:space="preserve">          "wind_direction-yesterday": 0.04990192470518271</t>
  </si>
  <si>
    <t xml:space="preserve">          "error_score": 14.615894317626953,</t>
  </si>
  <si>
    <t xml:space="preserve">          "error_score": 10.421966552734375,</t>
  </si>
  <si>
    <t xml:space="preserve">          "error_score": 8.811907768249512,</t>
  </si>
  <si>
    <t xml:space="preserve">          "error_score": 4.482516288757324,</t>
  </si>
  <si>
    <t xml:space="preserve">          "error_score": 4.406081676483154,</t>
  </si>
  <si>
    <t xml:space="preserve">          "station_id": "CAN06145504",</t>
  </si>
  <si>
    <t xml:space="preserve">          "name": "MOUNTFOREST(AUT)",</t>
  </si>
  <si>
    <t xml:space="preserve">          "city": "Harriston",</t>
  </si>
  <si>
    <t xml:space="preserve">          "2024-06-22 22:00:00.000000": 8.512459754943848,</t>
  </si>
  <si>
    <t xml:space="preserve">          "2024-06-15 22:00:00.000000": 8.555193901062012,</t>
  </si>
  <si>
    <t xml:space="preserve">          "2024-06-08 22:00:00.000000": 8.397027015686035,</t>
  </si>
  <si>
    <t xml:space="preserve">          "2024-06-06 22:00:00.000000": 8.38454818725586,</t>
  </si>
  <si>
    <t xml:space="preserve">          "2024-06-05 22:00:00.000000": 8.198979377746582,</t>
  </si>
  <si>
    <t xml:space="preserve">          "2024-06-02 22:00:00.000000": 8.183046340942383,</t>
  </si>
  <si>
    <t xml:space="preserve">          "2024-06-01 22:00:00.000000": 8.222851753234863,</t>
  </si>
  <si>
    <t xml:space="preserve">          "2024-05-29 22:00:00.000000": 8.217278480529785,</t>
  </si>
  <si>
    <t xml:space="preserve">          "2024-05-24 22:00:00.000000": 8.398667335510254,</t>
  </si>
  <si>
    <t xml:space="preserve">          "2024-05-20 22:00:00.000000": 8.19184398651123</t>
  </si>
  <si>
    <t xml:space="preserve">          "dew_point_temperature": 0.578711654327205,</t>
  </si>
  <si>
    <t xml:space="preserve">          "temperature": 0.45677389173352567,</t>
  </si>
  <si>
    <t xml:space="preserve">          "wind_direction-yesterday": 0.2768752349268165,</t>
  </si>
  <si>
    <t xml:space="preserve">          "wind_direction": 0.12436946931436901,</t>
  </si>
  <si>
    <t xml:space="preserve">          "dew_point_temperature-yesterday": 0.11445945520044987</t>
  </si>
  <si>
    <t xml:space="preserve">          "error_score": 8.63739013671875,</t>
  </si>
  <si>
    <t xml:space="preserve">          "error_score": 8.161953926086426,</t>
  </si>
  <si>
    <t xml:space="preserve">          "error_score": 7.863043785095215,</t>
  </si>
  <si>
    <t xml:space="preserve">          "error_score": 7.057843208312988,</t>
  </si>
  <si>
    <t xml:space="preserve">          "error_score": 6.749588489532471,</t>
  </si>
  <si>
    <t xml:space="preserve">          "name": "DRYDEN REGIONAL",</t>
  </si>
  <si>
    <t xml:space="preserve">          "city": "Dryden",</t>
  </si>
  <si>
    <t xml:space="preserve">          "station_id": "CAN06032125",</t>
  </si>
  <si>
    <t xml:space="preserve">          "2024-06-22 22:00:00.000000": 11.218608856201172,</t>
  </si>
  <si>
    <t xml:space="preserve">          "2024-06-15 22:00:00.000000": 11.28027057647705,</t>
  </si>
  <si>
    <t xml:space="preserve">          "2024-06-08 22:00:00.000000": 11.037105560302734,</t>
  </si>
  <si>
    <t xml:space="preserve">          "2024-06-06 22:00:00.000000": 11.312437057495117,</t>
  </si>
  <si>
    <t xml:space="preserve">          "2024-06-05 22:00:00.000000": 11.25562572479248,</t>
  </si>
  <si>
    <t xml:space="preserve">          "2024-06-02 22:00:00.000000": 10.874065399169922,</t>
  </si>
  <si>
    <t xml:space="preserve">          "2024-06-01 22:00:00.000000": 11.228404998779297,</t>
  </si>
  <si>
    <t xml:space="preserve">          "2024-05-29 22:00:00.000000": 11.086466789245605,</t>
  </si>
  <si>
    <t xml:space="preserve">          "2024-05-24 22:00:00.000000": 11.17419719696045,</t>
  </si>
  <si>
    <t xml:space="preserve">          "2024-05-20 22:00:00.000000": 11.075728416442871</t>
  </si>
  <si>
    <t xml:space="preserve">          "temperature": 0.8949460429895678,</t>
  </si>
  <si>
    <t xml:space="preserve">          "dew_point_temperature": 0.47105279835286656,</t>
  </si>
  <si>
    <t xml:space="preserve">          "temperature-yesterday": 0.09036611666244514,</t>
  </si>
  <si>
    <t xml:space="preserve">          "dew_point_temperature-yesterday": 0.07663784570972032,</t>
  </si>
  <si>
    <t xml:space="preserve">          "wind_direction-yesterday": 0.06696897181695768</t>
  </si>
  <si>
    <t xml:space="preserve">          "error_score": 11.592757225036621,</t>
  </si>
  <si>
    <t xml:space="preserve">          "error_score": 11.149226188659668,</t>
  </si>
  <si>
    <t xml:space="preserve">          "error_score": 9.618865013122559,</t>
  </si>
  <si>
    <t xml:space="preserve">          "error_score": 5.476581573486328,</t>
  </si>
  <si>
    <t xml:space="preserve">          "error_score": 5.293763637542725,</t>
  </si>
  <si>
    <t xml:space="preserve">          "name": "WAWA AUT",</t>
  </si>
  <si>
    <t xml:space="preserve">          "station_id": "CAI0000CWXZ",</t>
  </si>
  <si>
    <t xml:space="preserve">          "2024-06-22 22:00:00.000000": 10.89283561706543,</t>
  </si>
  <si>
    <t xml:space="preserve">          "2024-06-15 22:00:00.000000": 10.645483016967773,</t>
  </si>
  <si>
    <t xml:space="preserve">          "2024-06-08 22:00:00.000000": 10.446080207824707,</t>
  </si>
  <si>
    <t xml:space="preserve">          "2024-06-06 22:00:00.000000": 10.524941444396973,</t>
  </si>
  <si>
    <t xml:space="preserve">          "2024-06-05 22:00:00.000000": 10.443339347839355,</t>
  </si>
  <si>
    <t xml:space="preserve">          "2024-06-02 22:00:00.000000": 10.35643482208252,</t>
  </si>
  <si>
    <t xml:space="preserve">          "2024-06-01 22:00:00.000000": 10.304214477539062,</t>
  </si>
  <si>
    <t xml:space="preserve">          "2024-05-29 22:00:00.000000": 10.274518966674805,</t>
  </si>
  <si>
    <t xml:space="preserve">          "2024-05-24 22:00:00.000000": 10.113171577453613,</t>
  </si>
  <si>
    <t xml:space="preserve">          "2024-05-20 22:00:00.000000": 9.863725662231445</t>
  </si>
  <si>
    <t xml:space="preserve">          "temperature": 0.7926558033821189,</t>
  </si>
  <si>
    <t xml:space="preserve">          "dew_point_temperature": 0.33461918880519065,</t>
  </si>
  <si>
    <t xml:space="preserve">          "wind_speed": 0.1813032406612451,</t>
  </si>
  <si>
    <t xml:space="preserve">          "dew_point_temperature-yesterday": 0.14875069427741053,</t>
  </si>
  <si>
    <t xml:space="preserve">          "temperature-yesterday": 0.1409484857089785</t>
  </si>
  <si>
    <t xml:space="preserve">          "error_score": 10.83388900756836,</t>
  </si>
  <si>
    <t xml:space="preserve">          "error_score": 8.232019424438477,</t>
  </si>
  <si>
    <t xml:space="preserve">          "error_score": 8.201019287109375,</t>
  </si>
  <si>
    <t xml:space="preserve">          "error_score": 4.664883613586426,</t>
  </si>
  <si>
    <t xml:space="preserve">          "error_score": 4.439682960510254,</t>
  </si>
  <si>
    <t xml:space="preserve">          "station_id": "CAN06154150",</t>
  </si>
  <si>
    <t xml:space="preserve">          "city": "King",</t>
  </si>
  <si>
    <t xml:space="preserve">          "name": "KING CITY NORTH",</t>
  </si>
  <si>
    <t xml:space="preserve">          "2024-06-22 22:00:00.000000": 4.6877665519714355</t>
  </si>
  <si>
    <t xml:space="preserve">          "temperature": 1.71938747073482,</t>
  </si>
  <si>
    <t xml:space="preserve">          "temperature-yesterday": 0.5068181200792722,</t>
  </si>
  <si>
    <t xml:space="preserve">          "dew_point_temperature-yesterday": 0.07524529521430681,</t>
  </si>
  <si>
    <t xml:space="preserve">          "wind_speed-yesterday": 0.05859789086931557,</t>
  </si>
  <si>
    <t xml:space="preserve">          "wind_speed": 0.05744857633747571</t>
  </si>
  <si>
    <t xml:space="preserve">          "error_score": 7.532421112060547,</t>
  </si>
  <si>
    <t xml:space="preserve">          "error_score": 6.476074695587158,</t>
  </si>
  <si>
    <t xml:space="preserve">          "error_score": 5.032527923583984,</t>
  </si>
  <si>
    <t xml:space="preserve">          "error_score": 4.977156639099121,</t>
  </si>
  <si>
    <t xml:space="preserve">          "error_score": 4.9087653160095215,</t>
  </si>
  <si>
    <t xml:space="preserve">          "station_id": "CAN06114295",</t>
  </si>
  <si>
    <t xml:space="preserve">          "name": "LAGOON CITY",</t>
  </si>
  <si>
    <t xml:space="preserve">          "city": "Orillia",</t>
  </si>
  <si>
    <t xml:space="preserve">          "2024-06-22 22:00:00.000000": 9.306635856628418,</t>
  </si>
  <si>
    <t xml:space="preserve">          "2024-06-15 22:00:00.000000": 9.327226638793945,</t>
  </si>
  <si>
    <t xml:space="preserve">          "2024-06-08 22:00:00.000000": 9.534372329711914,</t>
  </si>
  <si>
    <t xml:space="preserve">          "2024-06-06 22:00:00.000000": 9.357666015625,</t>
  </si>
  <si>
    <t xml:space="preserve">          "2024-06-05 22:00:00.000000": 9.246474266052246,</t>
  </si>
  <si>
    <t xml:space="preserve">          "2024-06-02 22:00:00.000000": 9.250805854797363,</t>
  </si>
  <si>
    <t xml:space="preserve">          "2024-06-01 22:00:00.000000": 9.000997543334961,</t>
  </si>
  <si>
    <t xml:space="preserve">          "2024-05-29 22:00:00.000000": 9.231407165527344,</t>
  </si>
  <si>
    <t xml:space="preserve">          "2024-05-24 22:00:00.000000": 9.136987686157227,</t>
  </si>
  <si>
    <t xml:space="preserve">          "2024-05-20 22:00:00.000000": 8.952308654785156</t>
  </si>
  <si>
    <t xml:space="preserve">          "temperature": 0.8990982714727054,</t>
  </si>
  <si>
    <t xml:space="preserve">          "dew_point_temperature": 0.4700503784101981,</t>
  </si>
  <si>
    <t xml:space="preserve">          "wind_speed": 0.10100028225321869,</t>
  </si>
  <si>
    <t xml:space="preserve">          "wind_direction-yesterday": 0.06190418811433736,</t>
  </si>
  <si>
    <t xml:space="preserve">          "temperature-yesterday": 0.05265278820277328</t>
  </si>
  <si>
    <t xml:space="preserve">          "error_score": 9.93632698059082,</t>
  </si>
  <si>
    <t xml:space="preserve">          "error_score": 9.39652156829834,</t>
  </si>
  <si>
    <t xml:space="preserve">          "error_score": 7.650664329528809,</t>
  </si>
  <si>
    <t xml:space="preserve">          "error_score": 3.402097702026367,</t>
  </si>
  <si>
    <t xml:space="preserve">          "error_score": 3.234112024307251,</t>
  </si>
  <si>
    <t xml:space="preserve">          "name": "WELCOMEISLAND(AUT)",</t>
  </si>
  <si>
    <t xml:space="preserve">          "city": "Thunder Bay",</t>
  </si>
  <si>
    <t xml:space="preserve">          "station_id": "CAN06049443",</t>
  </si>
  <si>
    <t xml:space="preserve">          "2024-06-22 22:00:00.000000": 10.34406852722168,</t>
  </si>
  <si>
    <t xml:space="preserve">          "2024-06-15 22:00:00.000000": 10.223428726196289,</t>
  </si>
  <si>
    <t xml:space="preserve">          "2024-06-08 22:00:00.000000": 10.140091896057129,</t>
  </si>
  <si>
    <t xml:space="preserve">          "2024-06-06 22:00:00.000000": 10.143770217895508,</t>
  </si>
  <si>
    <t xml:space="preserve">          "2024-06-05 22:00:00.000000": 10.082351684570312,</t>
  </si>
  <si>
    <t xml:space="preserve">          "2024-06-02 22:00:00.000000": 9.805423736572266,</t>
  </si>
  <si>
    <t xml:space="preserve">          "2024-06-01 22:00:00.000000": 9.80042552947998,</t>
  </si>
  <si>
    <t xml:space="preserve">          "2024-05-29 22:00:00.000000": 9.859112739562988,</t>
  </si>
  <si>
    <t xml:space="preserve">          "2024-05-24 22:00:00.000000": 9.710668563842773,</t>
  </si>
  <si>
    <t xml:space="preserve">          "2024-05-20 22:00:00.000000": 9.72701358795166</t>
  </si>
  <si>
    <t xml:space="preserve">          "temperature": 0.8102901489774912,</t>
  </si>
  <si>
    <t xml:space="preserve">          "dew_point_temperature": 0.4646579860638516,</t>
  </si>
  <si>
    <t xml:space="preserve">          "wind_direction": 0.09639875747204327,</t>
  </si>
  <si>
    <t xml:space="preserve">          "wind_speed": 0.0640726279915251,</t>
  </si>
  <si>
    <t xml:space="preserve">          "temperature-yesterday": 0.0609521278726914</t>
  </si>
  <si>
    <t xml:space="preserve">          "error_score": 14.439559936523438,</t>
  </si>
  <si>
    <t xml:space="preserve">          "error_score": 10.661275863647461,</t>
  </si>
  <si>
    <t xml:space="preserve">          "error_score": 8.169095993041992,</t>
  </si>
  <si>
    <t xml:space="preserve">          "error_score": 4.057235240936279,</t>
  </si>
  <si>
    <t xml:space="preserve">          "error_score": 3.947627305984497,</t>
  </si>
  <si>
    <t xml:space="preserve">          "station_id": "CAN06106001",</t>
  </si>
  <si>
    <t xml:space="preserve">          "city": "Nepean",</t>
  </si>
  <si>
    <t xml:space="preserve">          "name": "OTTAWA INTL A",</t>
  </si>
  <si>
    <t xml:space="preserve">          "2024-06-22 22:00:00.000000": 11.31686782836914,</t>
  </si>
  <si>
    <t xml:space="preserve">          "2024-06-15 22:00:00.000000": 11.300994873046875,</t>
  </si>
  <si>
    <t xml:space="preserve">          "2024-06-08 22:00:00.000000": 11.375242233276367,</t>
  </si>
  <si>
    <t xml:space="preserve">          "2024-06-06 22:00:00.000000": 11.228883743286133,</t>
  </si>
  <si>
    <t xml:space="preserve">          "2024-06-05 22:00:00.000000": 11.060201644897461,</t>
  </si>
  <si>
    <t xml:space="preserve">          "2024-06-02 22:00:00.000000": 10.946290969848633,</t>
  </si>
  <si>
    <t xml:space="preserve">          "2024-06-01 22:00:00.000000": 11.12865161895752,</t>
  </si>
  <si>
    <t xml:space="preserve">          "2024-05-29 22:00:00.000000": 11.116178512573242,</t>
  </si>
  <si>
    <t xml:space="preserve">          "2024-05-24 22:00:00.000000": 11.070714950561523,</t>
  </si>
  <si>
    <t xml:space="preserve">          "2024-05-20 22:00:00.000000": 10.929887771606445</t>
  </si>
  <si>
    <t xml:space="preserve">          "temperature": 1.0286170575624365,</t>
  </si>
  <si>
    <t xml:space="preserve">          "dew_point_temperature": 0.229654986819473,</t>
  </si>
  <si>
    <t xml:space="preserve">          "temperature-yesterday": 0.08417816930168542,</t>
  </si>
  <si>
    <t xml:space="preserve">          "wind_speed-yesterday": 0.04372761913450203,</t>
  </si>
  <si>
    <t xml:space="preserve">          "wind_direction": 0.0351115977915766</t>
  </si>
  <si>
    <t xml:space="preserve">          "error_score": 14.852983474731445,</t>
  </si>
  <si>
    <t xml:space="preserve">          "error_score": 11.314574241638184,</t>
  </si>
  <si>
    <t xml:space="preserve">          "error_score": 9.878142356872559,</t>
  </si>
  <si>
    <t xml:space="preserve">          "error_score": 6.579968452453613,</t>
  </si>
  <si>
    <t xml:space="preserve">          "error_score": 6.497345924377441,</t>
  </si>
  <si>
    <t xml:space="preserve">          "name": "THUNDERBAYA",</t>
  </si>
  <si>
    <t xml:space="preserve">          "station_id": "CAN06048261",</t>
  </si>
  <si>
    <t xml:space="preserve">          "2024-06-22 22:00:00.000000": 14.09850025177002,</t>
  </si>
  <si>
    <t xml:space="preserve">          "2024-06-15 22:00:00.000000": 13.614232063293457,</t>
  </si>
  <si>
    <t xml:space="preserve">          "2024-06-08 22:00:00.000000": 13.592249870300293,</t>
  </si>
  <si>
    <t xml:space="preserve">          "2024-06-06 22:00:00.000000": 13.76211166381836,</t>
  </si>
  <si>
    <t xml:space="preserve">          "2024-06-05 22:00:00.000000": 13.579106330871582,</t>
  </si>
  <si>
    <t xml:space="preserve">          "2024-06-02 22:00:00.000000": 13.686152458190918,</t>
  </si>
  <si>
    <t xml:space="preserve">          "2024-06-01 22:00:00.000000": 13.614192008972168,</t>
  </si>
  <si>
    <t xml:space="preserve">          "2024-05-29 22:00:00.000000": 13.430216789245605,</t>
  </si>
  <si>
    <t xml:space="preserve">          "2024-05-24 22:00:00.000000": 13.223662376403809,</t>
  </si>
  <si>
    <t xml:space="preserve">          "2024-05-20 22:00:00.000000": 13.362139701843262</t>
  </si>
  <si>
    <t xml:space="preserve">          "temperature": 0.6006661678178162,</t>
  </si>
  <si>
    <t xml:space="preserve">          "dew_point_temperature": 0.45809770573952047,</t>
  </si>
  <si>
    <t xml:space="preserve">          "wind_direction": 0.13274990617483265,</t>
  </si>
  <si>
    <t xml:space="preserve">          "wind_direction-yesterday": 0.12399068573111849,</t>
  </si>
  <si>
    <t xml:space="preserve">          "temperature-yesterday": 0.10379807630369146</t>
  </si>
  <si>
    <t xml:space="preserve">          "error_score": 18.54421043395996,</t>
  </si>
  <si>
    <t xml:space="preserve">          "error_score": 13.760993957519531,</t>
  </si>
  <si>
    <t xml:space="preserve">          "error_score": 10.791705131530762,</t>
  </si>
  <si>
    <t xml:space="preserve">          "error_score": 4.598475456237793,</t>
  </si>
  <si>
    <t xml:space="preserve">          "error_score": 4.1477437019348145,</t>
  </si>
  <si>
    <t xml:space="preserve">          "station_id": "CAN06106396",</t>
  </si>
  <si>
    <t xml:space="preserve">          "name": "PETAWAWA AWOS 2",</t>
  </si>
  <si>
    <t xml:space="preserve">          "city": "Petawawa",</t>
  </si>
  <si>
    <t xml:space="preserve">          "2024-06-22 22:00:00.000000": 9.79033374786377,</t>
  </si>
  <si>
    <t xml:space="preserve">          "2024-06-15 22:00:00.000000": 9.78332805633545,</t>
  </si>
  <si>
    <t xml:space="preserve">          "2024-06-08 22:00:00.000000": 9.786759376525879,</t>
  </si>
  <si>
    <t xml:space="preserve">          "2024-06-06 22:00:00.000000": 9.524560928344727,</t>
  </si>
  <si>
    <t xml:space="preserve">          "2024-06-05 22:00:00.000000": 9.3370943069458,</t>
  </si>
  <si>
    <t xml:space="preserve">          "2024-06-02 22:00:00.000000": 9.367809295654297,</t>
  </si>
  <si>
    <t xml:space="preserve">          "2024-06-01 22:00:00.000000": 9.523069381713867,</t>
  </si>
  <si>
    <t xml:space="preserve">          "2024-05-29 22:00:00.000000": 9.50644588470459,</t>
  </si>
  <si>
    <t xml:space="preserve">          "2024-05-24 22:00:00.000000": 9.22041130065918,</t>
  </si>
  <si>
    <t xml:space="preserve">          "2024-05-20 22:00:00.000000": 9.20848560333252</t>
  </si>
  <si>
    <t xml:space="preserve">          "temperature": 0.8189984159874607,</t>
  </si>
  <si>
    <t xml:space="preserve">          "dew_point_temperature": 0.3357506561096781,</t>
  </si>
  <si>
    <t xml:space="preserve">          "wind_speed": 0.21311478414862267,</t>
  </si>
  <si>
    <t xml:space="preserve">          "wind_speed-yesterday": 0.0867659324813476,</t>
  </si>
  <si>
    <t xml:space="preserve">          "temperature-yesterday": 0.08582974410992632</t>
  </si>
  <si>
    <t xml:space="preserve">          "error_score": 10.187952995300293,</t>
  </si>
  <si>
    <t xml:space="preserve">          "error_score": 9.656963348388672,</t>
  </si>
  <si>
    <t xml:space="preserve">          "error_score": 8.00765323638916,</t>
  </si>
  <si>
    <t xml:space="preserve">          "error_score": 3.443199396133423,</t>
  </si>
  <si>
    <t xml:space="preserve">          "error_score": 3.4001996517181396,</t>
  </si>
  <si>
    <t xml:space="preserve">          "name": "PORTCOLBORNE(AUT)",</t>
  </si>
  <si>
    <t xml:space="preserve">          "station_id": "CAN0613F606",</t>
  </si>
  <si>
    <t xml:space="preserve">          "city": "Port Colborne",</t>
  </si>
  <si>
    <t xml:space="preserve">          "2024-06-22 22:00:00.000000": 4.1857686042785645,</t>
  </si>
  <si>
    <t xml:space="preserve">          "2024-06-15 22:00:00.000000": 4.329283714294434,</t>
  </si>
  <si>
    <t xml:space="preserve">          "2024-06-08 22:00:00.000000": 4.107081413269043,</t>
  </si>
  <si>
    <t xml:space="preserve">          "2024-06-06 22:00:00.000000": 4.175337314605713,</t>
  </si>
  <si>
    <t xml:space="preserve">          "2024-06-05 22:00:00.000000": 4.247684478759766,</t>
  </si>
  <si>
    <t xml:space="preserve">          "2024-06-02 22:00:00.000000": 4.190006256103516,</t>
  </si>
  <si>
    <t xml:space="preserve">          "2024-06-01 22:00:00.000000": 4.192755222320557,</t>
  </si>
  <si>
    <t xml:space="preserve">          "2024-05-29 22:00:00.000000": 4.2730488777160645,</t>
  </si>
  <si>
    <t xml:space="preserve">          "2024-05-24 22:00:00.000000": 4.174923419952393,</t>
  </si>
  <si>
    <t xml:space="preserve">          "2024-05-20 22:00:00.000000": 4.164062976837158</t>
  </si>
  <si>
    <t xml:space="preserve">          "temperature": 0.9238996454459644,</t>
  </si>
  <si>
    <t xml:space="preserve">          "dew_point_temperature": 0.5387638253752216,</t>
  </si>
  <si>
    <t xml:space="preserve">          "wind_speed": 0.17504176788757747,</t>
  </si>
  <si>
    <t xml:space="preserve">          "wind_direction": 0.06887920048652929,</t>
  </si>
  <si>
    <t xml:space="preserve">          "dew_point_temperature-yesterday": 0.05693753046153562</t>
  </si>
  <si>
    <t xml:space="preserve">          "error_score": 6.003897190093994,</t>
  </si>
  <si>
    <t xml:space="preserve">          "error_score": 5.681909561157227,</t>
  </si>
  <si>
    <t xml:space="preserve">          "error_score": 4.669260025024414,</t>
  </si>
  <si>
    <t xml:space="preserve">          "error_score": 4.328135967254639,</t>
  </si>
  <si>
    <t xml:space="preserve">          "error_score": 4.320384979248047,</t>
  </si>
  <si>
    <t xml:space="preserve">          "station_id": "CAN06144473",</t>
  </si>
  <si>
    <t xml:space="preserve">          "name": "LONDON A",</t>
  </si>
  <si>
    <t xml:space="preserve">          "city": "London",</t>
  </si>
  <si>
    <t xml:space="preserve">          "2024-06-22 22:00:00.000000": 7.301325798034668,</t>
  </si>
  <si>
    <t xml:space="preserve">          "2024-06-15 22:00:00.000000": 7.240835189819336,</t>
  </si>
  <si>
    <t xml:space="preserve">          "2024-06-08 22:00:00.000000": 7.141946315765381,</t>
  </si>
  <si>
    <t xml:space="preserve">          "2024-06-06 22:00:00.000000": 6.965659141540527,</t>
  </si>
  <si>
    <t xml:space="preserve">          "2024-06-05 22:00:00.000000": 7.0481276512146,</t>
  </si>
  <si>
    <t xml:space="preserve">          "2024-06-02 22:00:00.000000": 6.821751594543457,</t>
  </si>
  <si>
    <t xml:space="preserve">          "2024-06-01 22:00:00.000000": 6.780153751373291,</t>
  </si>
  <si>
    <t xml:space="preserve">          "2024-05-29 22:00:00.000000": 6.765970706939697,</t>
  </si>
  <si>
    <t xml:space="preserve">          "2024-05-24 22:00:00.000000": 6.69304895401001,</t>
  </si>
  <si>
    <t xml:space="preserve">          "2024-05-20 22:00:00.000000": 6.68929386138916</t>
  </si>
  <si>
    <t xml:space="preserve">          "temperature": 1.323769629884196,</t>
  </si>
  <si>
    <t xml:space="preserve">          "temperature-yesterday": 0.1423711514277787,</t>
  </si>
  <si>
    <t xml:space="preserve">          "wind_speed-yesterday": 0.14090399002263626,</t>
  </si>
  <si>
    <t xml:space="preserve">          "dew_point_temperature": 0.13501354955877576,</t>
  </si>
  <si>
    <t xml:space="preserve">          "wind_speed": 0.11932836997278695</t>
  </si>
  <si>
    <t xml:space="preserve">          "error_score": 11.128668785095215,</t>
  </si>
  <si>
    <t xml:space="preserve">          "error_score": 7.0935750007629395,</t>
  </si>
  <si>
    <t xml:space="preserve">          "error_score": 5.578533172607422,</t>
  </si>
  <si>
    <t xml:space="preserve">          "error_score": 4.010129451751709,</t>
  </si>
  <si>
    <t xml:space="preserve">          "error_score": 3.7769575119018555,</t>
  </si>
  <si>
    <t xml:space="preserve">          "city": "Quinte West",</t>
  </si>
  <si>
    <t xml:space="preserve">          "station_id": "CAN06158872",</t>
  </si>
  <si>
    <t xml:space="preserve">          "name": "TRENTON AWOS",</t>
  </si>
  <si>
    <t xml:space="preserve">          "2024-06-22 22:00:00.000000": 6.610690116882324,</t>
  </si>
  <si>
    <t xml:space="preserve">          "2024-06-15 22:00:00.000000": 6.660495758056641,</t>
  </si>
  <si>
    <t xml:space="preserve">          "2024-06-08 22:00:00.000000": 6.806552410125732,</t>
  </si>
  <si>
    <t xml:space="preserve">          "2024-06-06 22:00:00.000000": 6.703817367553711,</t>
  </si>
  <si>
    <t xml:space="preserve">          "2024-06-05 22:00:00.000000": 6.696747779846191,</t>
  </si>
  <si>
    <t xml:space="preserve">          "2024-06-02 22:00:00.000000": 6.581690788269043,</t>
  </si>
  <si>
    <t xml:space="preserve">          "2024-06-01 22:00:00.000000": 6.528817653656006,</t>
  </si>
  <si>
    <t xml:space="preserve">          "2024-05-29 22:00:00.000000": 6.547176361083984,</t>
  </si>
  <si>
    <t xml:space="preserve">          "2024-05-24 22:00:00.000000": 6.752949237823486,</t>
  </si>
  <si>
    <t xml:space="preserve">          "2024-05-20 22:00:00.000000": 6.771428108215332</t>
  </si>
  <si>
    <t xml:space="preserve">          "temperature": 1.0465730258927999,</t>
  </si>
  <si>
    <t xml:space="preserve">          "dew_point_temperature": 0.3169924269081644,</t>
  </si>
  <si>
    <t xml:space="preserve">          "temperature-yesterday": 0.12084957723030557,</t>
  </si>
  <si>
    <t xml:space="preserve">          "wind_speed-yesterday": 0.06316584856696321,</t>
  </si>
  <si>
    <t xml:space="preserve">          "wind_direction-yesterday": 0.034705492178739104</t>
  </si>
  <si>
    <t xml:space="preserve">          "error_score": 7.612812519073486,</t>
  </si>
  <si>
    <t xml:space="preserve">          "error_score": 7.518214702606201,</t>
  </si>
  <si>
    <t xml:space="preserve">          "error_score": 7.124335765838623,</t>
  </si>
  <si>
    <t xml:space="preserve">          "error_score": 6.627202987670898,</t>
  </si>
  <si>
    <t xml:space="preserve">          "error_score": 6.411280155181885,</t>
  </si>
  <si>
    <t xml:space="preserve">          "station_id": "CAN06144239",</t>
  </si>
  <si>
    <t xml:space="preserve">          "city": "Cambridge",</t>
  </si>
  <si>
    <t xml:space="preserve">          "name": "KITCHENER/WATERLOO",</t>
  </si>
  <si>
    <t xml:space="preserve">          "2024-06-22 22:00:00.000000": 7.517680644989014,</t>
  </si>
  <si>
    <t xml:space="preserve">          "2024-06-15 22:00:00.000000": 7.523987293243408,</t>
  </si>
  <si>
    <t xml:space="preserve">          "2024-06-08 22:00:00.000000": 7.28864049911499,</t>
  </si>
  <si>
    <t xml:space="preserve">          "2024-06-06 22:00:00.000000": 7.224571228027344,</t>
  </si>
  <si>
    <t xml:space="preserve">          "2024-06-05 22:00:00.000000": 7.244230270385742,</t>
  </si>
  <si>
    <t xml:space="preserve">          "2024-06-02 22:00:00.000000": 6.967182159423828,</t>
  </si>
  <si>
    <t xml:space="preserve">          "2024-06-01 22:00:00.000000": 7.438545227050781,</t>
  </si>
  <si>
    <t xml:space="preserve">          "2024-05-29 22:00:00.000000": 7.125058174133301,</t>
  </si>
  <si>
    <t xml:space="preserve">          "2024-05-24 22:00:00.000000": 7.181825637817383,</t>
  </si>
  <si>
    <t xml:space="preserve">          "2024-05-20 22:00:00.000000": 7.054275989532471</t>
  </si>
  <si>
    <t xml:space="preserve">          "temperature": 0.8674041908275137,</t>
  </si>
  <si>
    <t xml:space="preserve">          "dew_point_temperature": 0.4820401400998494,</t>
  </si>
  <si>
    <t xml:space="preserve">          "dew_point_temperature-yesterday": 0.11026259689006113,</t>
  </si>
  <si>
    <t xml:space="preserve">          "wind_speed": 0.08392616231743104,</t>
  </si>
  <si>
    <t xml:space="preserve">          "temperature-yesterday": 0.07939498041882811</t>
  </si>
  <si>
    <t xml:space="preserve">          "error_score": 10.62148666381836,</t>
  </si>
  <si>
    <t xml:space="preserve">          "error_score": 7.237646579742432,</t>
  </si>
  <si>
    <t xml:space="preserve">          "error_score": 5.857034206390381,</t>
  </si>
  <si>
    <t xml:space="preserve">          "error_score": 4.429230213165283,</t>
  </si>
  <si>
    <t xml:space="preserve">          "error_score": 4.1309967041015625,</t>
  </si>
  <si>
    <t xml:space="preserve">          "city": "Brant",</t>
  </si>
  <si>
    <t xml:space="preserve">          "station_id": "CAN06140942",</t>
  </si>
  <si>
    <t xml:space="preserve">          "name": "BRANTFORD AIRPORT",</t>
  </si>
  <si>
    <t xml:space="preserve">          "2024-06-22 22:00:00.000000": 6.46803617477417,</t>
  </si>
  <si>
    <t xml:space="preserve">          "2024-06-15 22:00:00.000000": 6.370046615600586,</t>
  </si>
  <si>
    <t xml:space="preserve">          "2024-06-08 22:00:00.000000": 6.066678524017334,</t>
  </si>
  <si>
    <t xml:space="preserve">          "2024-06-06 22:00:00.000000": 6.392704486846924,</t>
  </si>
  <si>
    <t xml:space="preserve">          "2024-06-05 22:00:00.000000": 6.28132963180542,</t>
  </si>
  <si>
    <t xml:space="preserve">          "2024-06-02 22:00:00.000000": 6.0717244148254395,</t>
  </si>
  <si>
    <t xml:space="preserve">          "2024-06-01 22:00:00.000000": 6.1780476570129395,</t>
  </si>
  <si>
    <t xml:space="preserve">          "2024-05-29 22:00:00.000000": 6.07883358001709,</t>
  </si>
  <si>
    <t xml:space="preserve">          "2024-05-24 22:00:00.000000": 5.965170860290527,</t>
  </si>
  <si>
    <t xml:space="preserve">          "2024-05-20 22:00:00.000000": 5.8944172859191895</t>
  </si>
  <si>
    <t xml:space="preserve">          "temperature": 1.0098855446708543,</t>
  </si>
  <si>
    <t xml:space="preserve">          "dew_point_temperature": 0.4505715789603527,</t>
  </si>
  <si>
    <t xml:space="preserve">          "wind_speed-yesterday": 0.11424279284466916,</t>
  </si>
  <si>
    <t xml:space="preserve">          "wind_direction-yesterday": 0.08103930397491595,</t>
  </si>
  <si>
    <t xml:space="preserve">          "wind_speed": 0.073712552617562</t>
  </si>
  <si>
    <t xml:space="preserve">          "error_score": 6.493777751922607,</t>
  </si>
  <si>
    <t xml:space="preserve">          "error_score": 6.271321773529053,</t>
  </si>
  <si>
    <t xml:space="preserve">          "error_score": 5.072544097900391,</t>
  </si>
  <si>
    <t xml:space="preserve">          "error_score": 3.570068120956421,</t>
  </si>
  <si>
    <t xml:space="preserve">          "error_score": 3.2051169872283936,</t>
  </si>
  <si>
    <t xml:space="preserve">          "name": "KAPUSKASINGA",</t>
  </si>
  <si>
    <t xml:space="preserve">          "station_id": "CAN06073975",</t>
  </si>
  <si>
    <t xml:space="preserve">          "2024-06-22 22:00:00.000000": 15.66733169555664,</t>
  </si>
  <si>
    <t xml:space="preserve">          "2024-06-15 22:00:00.000000": 15.284350395202637,</t>
  </si>
  <si>
    <t xml:space="preserve">          "2024-06-08 22:00:00.000000": 15.206356048583984,</t>
  </si>
  <si>
    <t xml:space="preserve">          "2024-06-06 22:00:00.000000": 15.207448959350586,</t>
  </si>
  <si>
    <t xml:space="preserve">          "2024-06-05 22:00:00.000000": 15.170904159545898,</t>
  </si>
  <si>
    <t xml:space="preserve">          "2024-06-02 22:00:00.000000": 15.006285667419434,</t>
  </si>
  <si>
    <t xml:space="preserve">          "2024-06-01 22:00:00.000000": 14.936470031738281,</t>
  </si>
  <si>
    <t xml:space="preserve">          "2024-05-29 22:00:00.000000": 14.847193717956543,</t>
  </si>
  <si>
    <t xml:space="preserve">          "2024-05-24 22:00:00.000000": 14.797637939453125,</t>
  </si>
  <si>
    <t xml:space="preserve">          "2024-05-20 22:00:00.000000": 14.981271743774414</t>
  </si>
  <si>
    <t xml:space="preserve">          "temperature": 0.7474440404435553,</t>
  </si>
  <si>
    <t xml:space="preserve">          "dew_point_temperature": 0.3088549979614011,</t>
  </si>
  <si>
    <t xml:space="preserve">          "temperature-yesterday": 0.1790393335308837,</t>
  </si>
  <si>
    <t xml:space="preserve">          "wind_speed": 0.14771553733403434,</t>
  </si>
  <si>
    <t xml:space="preserve">          "wind_speed-yesterday": 0.14096692871204636</t>
  </si>
  <si>
    <t xml:space="preserve">          "error_score": 15.682340621948242,</t>
  </si>
  <si>
    <t xml:space="preserve">          "error_score": 15.5899019241333,</t>
  </si>
  <si>
    <t xml:space="preserve">          "error_score": 12.549371719360352,</t>
  </si>
  <si>
    <t xml:space="preserve">          "error_score": 6.909817695617676,</t>
  </si>
  <si>
    <t xml:space="preserve">          "error_score": 6.7994184494018555,</t>
  </si>
  <si>
    <t xml:space="preserve">          "name": "RED LAKE A",</t>
  </si>
  <si>
    <t xml:space="preserve">          "station_id": "CAN06016975",</t>
  </si>
  <si>
    <t xml:space="preserve">          "2024-06-22 22:00:00.000000": 11.975996971130371,</t>
  </si>
  <si>
    <t xml:space="preserve">          "2024-06-15 22:00:00.000000": 11.88778305053711,</t>
  </si>
  <si>
    <t xml:space="preserve">          "2024-06-08 22:00:00.000000": 11.671202659606934,</t>
  </si>
  <si>
    <t xml:space="preserve">          "2024-06-06 22:00:00.000000": 11.563924789428711,</t>
  </si>
  <si>
    <t xml:space="preserve">          "2024-06-05 22:00:00.000000": 11.331404685974121,</t>
  </si>
  <si>
    <t xml:space="preserve">          "2024-06-02 22:00:00.000000": 11.44859790802002,</t>
  </si>
  <si>
    <t xml:space="preserve">          "2024-06-01 22:00:00.000000": 12.043841361999512,</t>
  </si>
  <si>
    <t xml:space="preserve">          "2024-05-29 22:00:00.000000": 12.088587760925293,</t>
  </si>
  <si>
    <t xml:space="preserve">          "2024-05-24 22:00:00.000000": 11.82215404510498,</t>
  </si>
  <si>
    <t xml:space="preserve">          "2024-05-20 22:00:00.000000": 11.680951118469238</t>
  </si>
  <si>
    <t xml:space="preserve">          "temperature": 0.7687647139267619,</t>
  </si>
  <si>
    <t xml:space="preserve">          "dew_point_temperature": 0.4190089597946819,</t>
  </si>
  <si>
    <t xml:space="preserve">          "temperature-yesterday": 0.25713000589926327,</t>
  </si>
  <si>
    <t xml:space="preserve">          "wind_direction-yesterday": 0.16586629702844308,</t>
  </si>
  <si>
    <t xml:space="preserve">          "wind_speed-yesterday": 0.09945183280246879</t>
  </si>
  <si>
    <t xml:space="preserve">          "error_score": 11.772246360778809,</t>
  </si>
  <si>
    <t xml:space="preserve">          "error_score": 11.379900932312012,</t>
  </si>
  <si>
    <t xml:space="preserve">          "error_score": 10.554627418518066,</t>
  </si>
  <si>
    <t xml:space="preserve">          "error_score": 7.802280902862549,</t>
  </si>
  <si>
    <t xml:space="preserve">          "error_score": 7.304135799407959,</t>
  </si>
  <si>
    <t xml:space="preserve">          "station_id": "CAN06139449",</t>
  </si>
  <si>
    <t xml:space="preserve">          "city": "Welland",</t>
  </si>
  <si>
    <t xml:space="preserve">          "name": "WELLAND-PELHAM",</t>
  </si>
  <si>
    <t xml:space="preserve">          "2024-06-22 22:00:00.000000": 12.293951988220215,</t>
  </si>
  <si>
    <t xml:space="preserve">          "2024-06-15 22:00:00.000000": 11.938106536865234,</t>
  </si>
  <si>
    <t xml:space="preserve">          "2024-06-08 22:00:00.000000": 11.904187202453613,</t>
  </si>
  <si>
    <t xml:space="preserve">          "2024-06-06 22:00:00.000000": 12.136147499084473,</t>
  </si>
  <si>
    <t xml:space="preserve">          "2024-06-05 22:00:00.000000": 12.077435493469238,</t>
  </si>
  <si>
    <t xml:space="preserve">          "2024-06-02 22:00:00.000000": 11.786483764648438,</t>
  </si>
  <si>
    <t xml:space="preserve">          "2024-06-01 22:00:00.000000": 12.103104591369629,</t>
  </si>
  <si>
    <t xml:space="preserve">          "2024-05-29 22:00:00.000000": 11.531609535217285,</t>
  </si>
  <si>
    <t xml:space="preserve">          "2024-05-24 22:00:00.000000": 11.693649291992188,</t>
  </si>
  <si>
    <t xml:space="preserve">          "2024-05-20 22:00:00.000000": 11.46080207824707</t>
  </si>
  <si>
    <t xml:space="preserve">          "temperature": 1.0948717084932886,</t>
  </si>
  <si>
    <t xml:space="preserve">          "wind_direction-yesterday": 0.2368922277682844,</t>
  </si>
  <si>
    <t xml:space="preserve">          "dew_point_temperature": 0.22757912978559122,</t>
  </si>
  <si>
    <t xml:space="preserve">          "wind_speed": 0.21571582432608621,</t>
  </si>
  <si>
    <t xml:space="preserve">          "temperature-yesterday": 0.1391122779004699</t>
  </si>
  <si>
    <t xml:space="preserve">          "error_score": 16.609264373779297,</t>
  </si>
  <si>
    <t xml:space="preserve">          "error_score": 11.961089134216309,</t>
  </si>
  <si>
    <t xml:space="preserve">          "error_score": 9.484267234802246,</t>
  </si>
  <si>
    <t xml:space="preserve">          "error_score": 3.8715639114379883,</t>
  </si>
  <si>
    <t xml:space="preserve">          "error_score": 3.787639856338501,</t>
  </si>
  <si>
    <t xml:space="preserve">          "city": "Manitouwadge",</t>
  </si>
  <si>
    <t xml:space="preserve">          "station_id": "CAN06046767",</t>
  </si>
  <si>
    <t xml:space="preserve">          "name": "PUKASKWA (AUT)",</t>
  </si>
  <si>
    <t xml:space="preserve">          "2024-06-22 22:00:00.000000": 12.784423828125,</t>
  </si>
  <si>
    <t xml:space="preserve">          "2024-06-15 22:00:00.000000": 12.36718463897705,</t>
  </si>
  <si>
    <t xml:space="preserve">          "2024-06-08 22:00:00.000000": 12.661736488342285,</t>
  </si>
  <si>
    <t xml:space="preserve">          "2024-06-06 22:00:00.000000": 12.799525260925293,</t>
  </si>
  <si>
    <t xml:space="preserve">          "2024-06-05 22:00:00.000000": 12.365545272827148,</t>
  </si>
  <si>
    <t xml:space="preserve">          "2024-06-02 22:00:00.000000": 12.8361177444458,</t>
  </si>
  <si>
    <t xml:space="preserve">          "2024-06-01 22:00:00.000000": 12.531002044677734,</t>
  </si>
  <si>
    <t xml:space="preserve">          "2024-05-29 22:00:00.000000": 12.242019653320312,</t>
  </si>
  <si>
    <t xml:space="preserve">          "2024-05-24 22:00:00.000000": 12.365139961242676,</t>
  </si>
  <si>
    <t xml:space="preserve">          "2024-05-20 22:00:00.000000": 12.309531211853027</t>
  </si>
  <si>
    <t xml:space="preserve">          "temperature": 0.8110492889434792,</t>
  </si>
  <si>
    <t xml:space="preserve">          "dew_point_temperature": 0.4463424711295116,</t>
  </si>
  <si>
    <t xml:space="preserve">          "wind_direction-yesterday": 0.10168254772591208,</t>
  </si>
  <si>
    <t xml:space="preserve">          "wind_speed": 0.08745305603175521,</t>
  </si>
  <si>
    <t xml:space="preserve">          "dew_point_temperature-yesterday": 0.07947987850272242</t>
  </si>
  <si>
    <t xml:space="preserve">          "error_score": 12.625619888305664,</t>
  </si>
  <si>
    <t xml:space="preserve">          "error_score": 10.728171348571777,</t>
  </si>
  <si>
    <t xml:space="preserve">          "error_score": 10.163185119628906,</t>
  </si>
  <si>
    <t xml:space="preserve">          "error_score": 3.821209192276001,</t>
  </si>
  <si>
    <t xml:space="preserve">          "error_score": 3.7454512119293213,</t>
  </si>
  <si>
    <t xml:space="preserve">          "name": "LITTLE FLATLAND ISLAND (AUT)",</t>
  </si>
  <si>
    <t xml:space="preserve">          "station_id": "CAN06049470",</t>
  </si>
  <si>
    <t xml:space="preserve">          "2024-06-22 22:00:00.000000": 7.624294757843018,</t>
  </si>
  <si>
    <t xml:space="preserve">          "2024-06-15 22:00:00.000000": 7.573575973510742,</t>
  </si>
  <si>
    <t xml:space="preserve">          "2024-06-08 22:00:00.000000": 7.220335006713867,</t>
  </si>
  <si>
    <t xml:space="preserve">          "2024-06-06 22:00:00.000000": 7.219140529632568,</t>
  </si>
  <si>
    <t xml:space="preserve">          "2024-06-05 22:00:00.000000": 7.201053142547607,</t>
  </si>
  <si>
    <t xml:space="preserve">          "2024-06-02 22:00:00.000000": 6.790599822998047,</t>
  </si>
  <si>
    <t xml:space="preserve">          "2024-06-01 22:00:00.000000": 6.907144069671631,</t>
  </si>
  <si>
    <t xml:space="preserve">          "2024-05-29 22:00:00.000000": 7.155858516693115,</t>
  </si>
  <si>
    <t xml:space="preserve">          "2024-05-24 22:00:00.000000": 6.8514299392700195,</t>
  </si>
  <si>
    <t xml:space="preserve">          "2024-05-20 22:00:00.000000": 6.944119930267334</t>
  </si>
  <si>
    <t xml:space="preserve">          "temperature": 1.2633365450534149,</t>
  </si>
  <si>
    <t xml:space="preserve">          "temperature-yesterday": 0.3941551292002529,</t>
  </si>
  <si>
    <t xml:space="preserve">          "wind_speed-yesterday": 0.2703493008375514,</t>
  </si>
  <si>
    <t xml:space="preserve">          "wind_direction-yesterday": 0.24140724253115559,</t>
  </si>
  <si>
    <t xml:space="preserve">          "dew_point_temperature": 0.22424598668580248</t>
  </si>
  <si>
    <t xml:space="preserve">          "error_score": 7.552884578704834,</t>
  </si>
  <si>
    <t xml:space="preserve">          "error_score": 6.025176525115967,</t>
  </si>
  <si>
    <t xml:space="preserve">          "error_score": 5.979516506195068,</t>
  </si>
  <si>
    <t xml:space="preserve">          "error_score": 5.861782550811768,</t>
  </si>
  <si>
    <t xml:space="preserve">          "error_score": 5.418529510498047,</t>
  </si>
  <si>
    <t xml:space="preserve">          "station_id": "CAN06037201",</t>
  </si>
  <si>
    <t xml:space="preserve">          "name": "ROYAL ISLAND (AUT)",</t>
  </si>
  <si>
    <t xml:space="preserve">          "2024-06-22 22:00:00.000000": 8.591813087463379,</t>
  </si>
  <si>
    <t xml:space="preserve">          "2024-06-15 22:00:00.000000": 8.301993370056152,</t>
  </si>
  <si>
    <t xml:space="preserve">          "2024-06-08 22:00:00.000000": 8.494495391845703,</t>
  </si>
  <si>
    <t xml:space="preserve">          "2024-06-06 22:00:00.000000": 8.418716430664062,</t>
  </si>
  <si>
    <t xml:space="preserve">          "2024-06-05 22:00:00.000000": 8.379831314086914,</t>
  </si>
  <si>
    <t xml:space="preserve">          "2024-06-02 22:00:00.000000": 8.445368766784668,</t>
  </si>
  <si>
    <t xml:space="preserve">          "2024-06-01 22:00:00.000000": 8.295662879943848,</t>
  </si>
  <si>
    <t xml:space="preserve">          "2024-05-29 22:00:00.000000": 8.227132797241211,</t>
  </si>
  <si>
    <t xml:space="preserve">          "2024-05-24 22:00:00.000000": 8.251602172851562,</t>
  </si>
  <si>
    <t xml:space="preserve">          "2024-05-20 22:00:00.000000": 8.256906509399414</t>
  </si>
  <si>
    <t xml:space="preserve">          "temperature": 0.8868745434847012,</t>
  </si>
  <si>
    <t xml:space="preserve">          "dew_point_temperature": 0.6150033076899382,</t>
  </si>
  <si>
    <t xml:space="preserve">          "temperature-yesterday": 0.12663074528342227,</t>
  </si>
  <si>
    <t xml:space="preserve">          "dew_point_temperature-yesterday": 0.10240733868634684,</t>
  </si>
  <si>
    <t xml:space="preserve">          "wind_speed-yesterday": 0.09891284061927055</t>
  </si>
  <si>
    <t xml:space="preserve">          "error_score": 8.710366249084473,</t>
  </si>
  <si>
    <t xml:space="preserve">          "error_score": 8.352838516235352,</t>
  </si>
  <si>
    <t xml:space="preserve">          "error_score": 8.205726623535156,</t>
  </si>
  <si>
    <t xml:space="preserve">          "error_score": 7.8857741355896,</t>
  </si>
  <si>
    <t xml:space="preserve">          "error_score": 7.333414077758789,</t>
  </si>
  <si>
    <t xml:space="preserve">          "station_id": "CAN06016298",</t>
  </si>
  <si>
    <t xml:space="preserve">          "name": "PEAWANUCK A",</t>
  </si>
  <si>
    <t xml:space="preserve">          "2024-06-22 22:00:00.000000": 13.11683464050293</t>
  </si>
  <si>
    <t xml:space="preserve">          "temperature": 0.6143116099289053,</t>
  </si>
  <si>
    <t xml:space="preserve">          "dew_point_temperature": 0.5732390111981479,</t>
  </si>
  <si>
    <t xml:space="preserve">          "wind_direction": 0.1268494420267677,</t>
  </si>
  <si>
    <t xml:space="preserve">          "wind_direction-yesterday": 0.0900498226212314,</t>
  </si>
  <si>
    <t xml:space="preserve">          "wind_speed-yesterday": 0.04381724970905163</t>
  </si>
  <si>
    <t xml:space="preserve">          "error_score": 12.963759422302246,</t>
  </si>
  <si>
    <t xml:space="preserve">          "error_score": 10.703614234924316,</t>
  </si>
  <si>
    <t xml:space="preserve">          "error_score": 10.434861183166504,</t>
  </si>
  <si>
    <t xml:space="preserve">          "error_score": 5.274472236633301,</t>
  </si>
  <si>
    <t xml:space="preserve">          "error_score": 4.871442794799805,</t>
  </si>
  <si>
    <t xml:space="preserve">          "station_id": "CAN06085700",</t>
  </si>
  <si>
    <t xml:space="preserve">          "name": "NORTH BAY A",</t>
  </si>
  <si>
    <t xml:space="preserve">          "2024-06-22 22:00:00.000000": 17.511642456054688,</t>
  </si>
  <si>
    <t xml:space="preserve">          "2024-06-15 22:00:00.000000": 16.93589973449707,</t>
  </si>
  <si>
    <t xml:space="preserve">          "2024-06-08 22:00:00.000000": 16.96461296081543,</t>
  </si>
  <si>
    <t xml:space="preserve">          "2024-06-06 22:00:00.000000": 17.29725456237793,</t>
  </si>
  <si>
    <t xml:space="preserve">          "2024-06-05 22:00:00.000000": 17.024139404296875,</t>
  </si>
  <si>
    <t xml:space="preserve">          "2024-06-02 22:00:00.000000": 17.11150550842285,</t>
  </si>
  <si>
    <t xml:space="preserve">          "2024-06-01 22:00:00.000000": 16.961057662963867,</t>
  </si>
  <si>
    <t xml:space="preserve">          "2024-05-29 22:00:00.000000": 16.602275848388672,</t>
  </si>
  <si>
    <t xml:space="preserve">          "2024-05-24 22:00:00.000000": 16.59191131591797,</t>
  </si>
  <si>
    <t xml:space="preserve">          "2024-05-20 22:00:00.000000": 16.67986297607422</t>
  </si>
  <si>
    <t xml:space="preserve">          "temperature": 0.9814053235855734,</t>
  </si>
  <si>
    <t xml:space="preserve">          "dew_point_temperature": 0.3669054033249338,</t>
  </si>
  <si>
    <t xml:space="preserve">          "wind_speed": 0.13697699075875058,</t>
  </si>
  <si>
    <t xml:space="preserve">          "wind_direction": 0.13169831681188945,</t>
  </si>
  <si>
    <t xml:space="preserve">          "dew_point_temperature-yesterday": 0.07833683679745074</t>
  </si>
  <si>
    <t xml:space="preserve">          "error_score": 21.803617477416992,</t>
  </si>
  <si>
    <t xml:space="preserve">          "error_score": 17.18593406677246,</t>
  </si>
  <si>
    <t xml:space="preserve">          "error_score": 13.741021156311035,</t>
  </si>
  <si>
    <t xml:space="preserve">          "error_score": 4.71303653717041,</t>
  </si>
  <si>
    <t xml:space="preserve">          "error_score": 4.171692848205566,</t>
  </si>
  <si>
    <t xml:space="preserve">          "name": "TIMMINS A",</t>
  </si>
  <si>
    <t xml:space="preserve">          "station_id": "CAN06078286",</t>
  </si>
  <si>
    <t xml:space="preserve">          "city": "Timmins",</t>
  </si>
  <si>
    <t xml:space="preserve">          "2024-06-22 22:00:00.000000": 14.205676078796387,</t>
  </si>
  <si>
    <t xml:space="preserve">          "2024-06-15 22:00:00.000000": 13.771284103393555,</t>
  </si>
  <si>
    <t xml:space="preserve">          "2024-06-08 22:00:00.000000": 13.67586612701416,</t>
  </si>
  <si>
    <t xml:space="preserve">          "2024-06-06 22:00:00.000000": 13.894415855407715,</t>
  </si>
  <si>
    <t xml:space="preserve">          "2024-06-05 22:00:00.000000": 13.794260025024414,</t>
  </si>
  <si>
    <t xml:space="preserve">          "2024-06-02 22:00:00.000000": 13.589706420898438,</t>
  </si>
  <si>
    <t xml:space="preserve">          "2024-06-01 22:00:00.000000": 14.090018272399902,</t>
  </si>
  <si>
    <t xml:space="preserve">          "2024-05-29 22:00:00.000000": 13.724584579467773,</t>
  </si>
  <si>
    <t xml:space="preserve">          "2024-05-24 22:00:00.000000": 13.585688591003418,</t>
  </si>
  <si>
    <t xml:space="preserve">          "2024-05-20 22:00:00.000000": 13.433509826660156</t>
  </si>
  <si>
    <t xml:space="preserve">          "dew_point_temperature": 0.5888627784839093,</t>
  </si>
  <si>
    <t xml:space="preserve">          "temperature": 0.572647082605291,</t>
  </si>
  <si>
    <t xml:space="preserve">          "wind_speed": 0.0786934611346427,</t>
  </si>
  <si>
    <t xml:space="preserve">          "temperature-yesterday": 0.07853425457610157,</t>
  </si>
  <si>
    <t xml:space="preserve">          "wind_direction": 0.06433657030778935</t>
  </si>
  <si>
    <t xml:space="preserve">          "error_score": 14.322136878967285,</t>
  </si>
  <si>
    <t xml:space="preserve">          "error_score": 13.932984352111816,</t>
  </si>
  <si>
    <t xml:space="preserve">          "error_score": 11.935470581054688,</t>
  </si>
  <si>
    <t xml:space="preserve">          "error_score": 5.844158172607422,</t>
  </si>
  <si>
    <t xml:space="preserve">          "error_score": 5.8135271072387695,</t>
  </si>
  <si>
    <t xml:space="preserve">          "station_id": "CAN061219J2",</t>
  </si>
  <si>
    <t xml:space="preserve">          "name": "COVE ISLAND (AUT)",</t>
  </si>
  <si>
    <t xml:space="preserve">          "city": "Tobermory",</t>
  </si>
  <si>
    <t xml:space="preserve">          "2024-06-22 22:00:00.000000": 4.992453098297119,</t>
  </si>
  <si>
    <t xml:space="preserve">          "2024-06-15 22:00:00.000000": 5.169015407562256,</t>
  </si>
  <si>
    <t xml:space="preserve">          "2024-06-08 22:00:00.000000": 5.279130458831787,</t>
  </si>
  <si>
    <t xml:space="preserve">          "2024-06-06 22:00:00.000000": 5.027115821838379,</t>
  </si>
  <si>
    <t xml:space="preserve">          "2024-06-05 22:00:00.000000": 5.169775485992432,</t>
  </si>
  <si>
    <t xml:space="preserve">          "2024-06-02 22:00:00.000000": 5.458250999450684,</t>
  </si>
  <si>
    <t xml:space="preserve">          "2024-06-01 22:00:00.000000": 5.051578521728516,</t>
  </si>
  <si>
    <t xml:space="preserve">          "2024-05-29 22:00:00.000000": 5.1873650550842285,</t>
  </si>
  <si>
    <t xml:space="preserve">          "2024-05-24 22:00:00.000000": 5.163958549499512,</t>
  </si>
  <si>
    <t xml:space="preserve">          "2024-05-20 22:00:00.000000": 4.999878883361816</t>
  </si>
  <si>
    <t xml:space="preserve">          "temperature": 0.5664649109051431,</t>
  </si>
  <si>
    <t xml:space="preserve">          "dew_point_temperature": 0.39383491043758356,</t>
  </si>
  <si>
    <t xml:space="preserve">          "wind_speed": 0.26274255476809716,</t>
  </si>
  <si>
    <t xml:space="preserve">          "temperature-yesterday": 0.20617748970510172,</t>
  </si>
  <si>
    <t xml:space="preserve">          "wind_direction": 0.20042166444758713</t>
  </si>
  <si>
    <t xml:space="preserve">          "error_score": 11.846628189086914,</t>
  </si>
  <si>
    <t xml:space="preserve">          "error_score": 11.112227439880371,</t>
  </si>
  <si>
    <t xml:space="preserve">          "error_score": 6.281231880187988,</t>
  </si>
  <si>
    <t xml:space="preserve">          "error_score": 5.641698360443115,</t>
  </si>
  <si>
    <t xml:space="preserve">          "error_score": 4.720836639404297,</t>
  </si>
  <si>
    <t xml:space="preserve">          "city": "Elliot Lake",</t>
  </si>
  <si>
    <t xml:space="preserve">          "name": "GORE BAY-MANITOULIN",</t>
  </si>
  <si>
    <t xml:space="preserve">          "station_id": "CAN06092919",</t>
  </si>
  <si>
    <t xml:space="preserve">          "2024-06-22 22:00:00.000000": 9.984381675720215,</t>
  </si>
  <si>
    <t xml:space="preserve">          "2024-06-15 22:00:00.000000": 10.075250625610352,</t>
  </si>
  <si>
    <t xml:space="preserve">          "2024-06-08 22:00:00.000000": 9.793323516845703,</t>
  </si>
  <si>
    <t xml:space="preserve">          "2024-06-06 22:00:00.000000": 9.919535636901855,</t>
  </si>
  <si>
    <t xml:space="preserve">          "2024-06-05 22:00:00.000000": 10.304865837097168,</t>
  </si>
  <si>
    <t xml:space="preserve">          "2024-06-02 22:00:00.000000": 10.013595581054688,</t>
  </si>
  <si>
    <t xml:space="preserve">          "2024-06-01 22:00:00.000000": 10.369792938232422,</t>
  </si>
  <si>
    <t xml:space="preserve">          "2024-05-29 22:00:00.000000": 10.190449714660645,</t>
  </si>
  <si>
    <t xml:space="preserve">          "2024-05-24 22:00:00.000000": 9.890134811401367,</t>
  </si>
  <si>
    <t xml:space="preserve">          "2024-05-20 22:00:00.000000": 10.08017635345459</t>
  </si>
  <si>
    <t xml:space="preserve">          "temperature": 1.048498146937527,</t>
  </si>
  <si>
    <t xml:space="preserve">          "dew_point_temperature": 0.4065813240787845,</t>
  </si>
  <si>
    <t xml:space="preserve">          "temperature-yesterday": 0.1412748320026746,</t>
  </si>
  <si>
    <t xml:space="preserve">          "wind_speed-yesterday": 0.09329061019077116,</t>
  </si>
  <si>
    <t xml:space="preserve">          "dew_point_temperature-yesterday": 0.05879683546254903</t>
  </si>
  <si>
    <t xml:space="preserve">          "error_score": 10.184263229370117,</t>
  </si>
  <si>
    <t xml:space="preserve">          "error_score": 9.766119003295898,</t>
  </si>
  <si>
    <t xml:space="preserve">          "error_score": 8.826403617858887,</t>
  </si>
  <si>
    <t xml:space="preserve">          "error_score": 3.870084524154663,</t>
  </si>
  <si>
    <t xml:space="preserve">          "error_score": 3.270773410797119,</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</si>
  <si>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</si>
  <si>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</si>
  <si>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</si>
  <si>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</si>
  <si>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</si>
  <si>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</si>
  <si>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</si>
  <si>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</si>
  <si>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"weather_station_id": "d88"</t>
  </si>
  <si>
    <t xml:space="preserve">        "2024-06-22 22:00:00.000000": 13.783648490905762</t>
  </si>
  <si>
    <t xml:space="preserve">        "temperature": 1.3362564251022722,</t>
  </si>
  <si>
    <t xml:space="preserve">        "dew_point_temperature": 0.5444265831001174,</t>
  </si>
  <si>
    <t xml:space="preserve">        "wind_direction": 0.3337700273948302,</t>
  </si>
  <si>
    <t xml:space="preserve">        "wind_speed-yesterday": 0.3263617154824032,</t>
  </si>
  <si>
    <t xml:space="preserve">        "wind_direction-yesterday": 0.3185959130412708</t>
  </si>
  <si>
    <t xml:space="preserve">      "hill": {</t>
  </si>
  <si>
    <t xml:space="preserve">        "error_score": 13.359774589538574,</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</si>
  <si>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</si>
  <si>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</si>
  <si>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</si>
  <si>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</si>
  <si>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</si>
  <si>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</si>
  <si>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</si>
  <si>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</si>
  <si>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</si>
  <si>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</si>
  <si>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          "name": "DASHKHOVUZ",</t>
  </si>
  <si>
    <t xml:space="preserve">          "tz": "UTC+5",</t>
  </si>
  <si>
    <t xml:space="preserve">          "state": "Da\u015foguz",</t>
  </si>
  <si>
    <t xml:space="preserve">          "station_id": "TXM00038392",</t>
  </si>
  <si>
    <t xml:space="preserve">          "country": "Turkmenistan",</t>
  </si>
  <si>
    <t xml:space="preserve">          "city": "Tagta"</t>
  </si>
  <si>
    <t xml:space="preserve">          "2024-06-22 22:00:00.000000": 5.959003448486328</t>
  </si>
  <si>
    <t xml:space="preserve">          "temperature": 1.427726047569148,</t>
  </si>
  <si>
    <t xml:space="preserve">          "dew_point_temperature": 0.2649064609515891,</t>
  </si>
  <si>
    <t xml:space="preserve">          "wind_speed": 0.2469819940231858,</t>
  </si>
  <si>
    <t xml:space="preserve">          "dew_point_temperature-yesterday": 0.226328951022934,</t>
  </si>
  <si>
    <t xml:space="preserve">          "temperature-yesterday": 0.20140052567498853</t>
  </si>
  <si>
    <t xml:space="preserve">          "error_score": 6.057170867919922,</t>
  </si>
  <si>
    <t xml:space="preserve">          "error_score": 5.6701860427856445,</t>
  </si>
  <si>
    <t xml:space="preserve">        "UTC+5": {</t>
  </si>
  <si>
    <t xml:space="preserve">          "error_score": 3.5991902351379395,</t>
  </si>
  <si>
    <r>
      <t xml:space="preserve">Experiment 5 </t>
    </r>
    <r>
      <rPr>
        <sz val="11"/>
        <color theme="5"/>
        <rFont val="Calibri"/>
        <family val="2"/>
        <scheme val="minor"/>
      </rPr>
      <t>(mainly visual (FI) &amp; textual (P))</t>
    </r>
  </si>
  <si>
    <t>qwen</t>
  </si>
  <si>
    <t>deepseek</t>
  </si>
  <si>
    <t>kimi</t>
  </si>
  <si>
    <t>Experiment 1</t>
  </si>
  <si>
    <t>Experiment 2</t>
  </si>
  <si>
    <t>Experiment 3</t>
  </si>
  <si>
    <t>Experiment 4</t>
  </si>
  <si>
    <t xml:space="preserve">Statistical Analysis - </t>
  </si>
  <si>
    <t>station</t>
  </si>
  <si>
    <t>model</t>
  </si>
  <si>
    <t>experiment</t>
  </si>
  <si>
    <t>input</t>
  </si>
  <si>
    <t>human_eval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</si>
</sst>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
      <sz val="11"/>
      <color theme="5"/>
      <name val="Calibri"/>
      <family val="2"/>
      <scheme val="minor"/>
    </font>
    <font>
      <sz val="11"/>
      <color theme="0" tint="-0.499984740745262"/>
      <name val="Calibri"/>
      <family val="2"/>
      <scheme val="minor"/>
    </font>
    <font>
      <b/>
      <sz val="11"/>
      <color theme="0" tint="-0.499984740745262"/>
      <name val="Calibri"/>
      <family val="2"/>
      <scheme val="minor"/>
    </font>
    <font>
      <sz val="11"/>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8" tint="0.59999389629810485"/>
        <bgColor indexed="64"/>
      </patternFill>
    </fill>
    <fill>
      <patternFill patternType="solid">
        <fgColor theme="8" tint="0.39997558519241921"/>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26">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3" fillId="0" borderId="0" xfId="0" applyFont="1" applyAlignment="1">
      <alignment horizontal="left" vertical="center" indent="1"/>
    </xf>
    <xf numFmtId="0" fontId="0" fillId="0" borderId="0" xfId="0" applyAlignment="1">
      <alignment horizontal="center"/>
    </xf>
    <xf numFmtId="0" fontId="8" fillId="0" borderId="0" xfId="0" applyFont="1"/>
    <xf numFmtId="0" fontId="8" fillId="5" borderId="0" xfId="0" applyFont="1" applyFill="1"/>
    <xf numFmtId="9" fontId="8" fillId="0" borderId="0" xfId="1" applyFont="1"/>
    <xf numFmtId="9" fontId="8" fillId="0" borderId="1" xfId="0" applyNumberFormat="1" applyFont="1" applyBorder="1"/>
    <xf numFmtId="0" fontId="9" fillId="0" borderId="1" xfId="0" applyFont="1" applyBorder="1"/>
    <xf numFmtId="0" fontId="0" fillId="6" borderId="0" xfId="0" applyFill="1"/>
    <xf numFmtId="0" fontId="0" fillId="7" borderId="0" xfId="0" applyFill="1"/>
    <xf numFmtId="0" fontId="0" fillId="0" borderId="0" xfId="0" applyFill="1"/>
    <xf numFmtId="0" fontId="0" fillId="0" borderId="0" xfId="0" applyAlignment="1"/>
    <xf numFmtId="0" fontId="7" fillId="3" borderId="0" xfId="0" applyFont="1" applyFill="1"/>
    <xf numFmtId="0" fontId="10" fillId="3" borderId="0" xfId="0" applyFont="1" applyFill="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A72C7-5DBE-4131-B997-4965E137BF01}">
  <dimension ref="A1:E115"/>
  <sheetViews>
    <sheetView tabSelected="1" topLeftCell="A90" workbookViewId="0">
      <selection activeCell="H112" sqref="H112"/>
    </sheetView>
  </sheetViews>
  <sheetFormatPr defaultRowHeight="14.4" x14ac:dyDescent="0.3"/>
  <cols>
    <col min="3" max="3" width="11.6640625" bestFit="1" customWidth="1"/>
    <col min="5" max="5" width="10.88671875" bestFit="1" customWidth="1"/>
  </cols>
  <sheetData>
    <row r="1" spans="1:5" x14ac:dyDescent="0.3">
      <c r="A1" t="s">
        <v>3539</v>
      </c>
      <c r="B1" t="s">
        <v>3540</v>
      </c>
      <c r="C1" t="s">
        <v>3541</v>
      </c>
      <c r="D1" t="s">
        <v>3542</v>
      </c>
      <c r="E1" t="s">
        <v>3543</v>
      </c>
    </row>
    <row r="2" spans="1:5" x14ac:dyDescent="0.3">
      <c r="A2" t="s">
        <v>92</v>
      </c>
      <c r="B2" t="s">
        <v>3531</v>
      </c>
      <c r="C2" t="s">
        <v>3534</v>
      </c>
      <c r="D2" t="s">
        <v>95</v>
      </c>
      <c r="E2">
        <f>'Evaluation Table'!D3</f>
        <v>2.7</v>
      </c>
    </row>
    <row r="3" spans="1:5" x14ac:dyDescent="0.3">
      <c r="A3" t="s">
        <v>92</v>
      </c>
      <c r="B3" t="s">
        <v>3531</v>
      </c>
      <c r="C3" t="s">
        <v>3534</v>
      </c>
      <c r="D3" t="s">
        <v>96</v>
      </c>
      <c r="E3">
        <f>'Evaluation Table'!D4</f>
        <v>2.9000000000000004</v>
      </c>
    </row>
    <row r="4" spans="1:5" x14ac:dyDescent="0.3">
      <c r="A4" t="s">
        <v>92</v>
      </c>
      <c r="B4" t="s">
        <v>3531</v>
      </c>
      <c r="C4" t="s">
        <v>3534</v>
      </c>
      <c r="D4" t="s">
        <v>97</v>
      </c>
      <c r="E4">
        <f>'Evaluation Table'!D5</f>
        <v>2.8999999999999995</v>
      </c>
    </row>
    <row r="5" spans="1:5" x14ac:dyDescent="0.3">
      <c r="A5" t="s">
        <v>92</v>
      </c>
      <c r="B5" t="s">
        <v>3532</v>
      </c>
      <c r="C5" t="s">
        <v>3534</v>
      </c>
      <c r="D5" t="s">
        <v>95</v>
      </c>
      <c r="E5">
        <f>'Evaluation Table'!D12</f>
        <v>3.2500000000000009</v>
      </c>
    </row>
    <row r="6" spans="1:5" x14ac:dyDescent="0.3">
      <c r="A6" t="s">
        <v>92</v>
      </c>
      <c r="B6" t="s">
        <v>3532</v>
      </c>
      <c r="C6" t="s">
        <v>3534</v>
      </c>
      <c r="D6" t="s">
        <v>96</v>
      </c>
      <c r="E6">
        <f>'Evaluation Table'!D13</f>
        <v>3</v>
      </c>
    </row>
    <row r="7" spans="1:5" x14ac:dyDescent="0.3">
      <c r="A7" t="s">
        <v>92</v>
      </c>
      <c r="B7" t="s">
        <v>3532</v>
      </c>
      <c r="C7" t="s">
        <v>3534</v>
      </c>
      <c r="D7" t="s">
        <v>97</v>
      </c>
      <c r="E7">
        <f>'Evaluation Table'!D14</f>
        <v>3.1</v>
      </c>
    </row>
    <row r="8" spans="1:5" x14ac:dyDescent="0.3">
      <c r="A8" t="s">
        <v>92</v>
      </c>
      <c r="B8" t="s">
        <v>3533</v>
      </c>
      <c r="C8" t="s">
        <v>3534</v>
      </c>
      <c r="D8" t="s">
        <v>95</v>
      </c>
      <c r="E8">
        <f>'Evaluation Table'!D21</f>
        <v>3.0999999999999996</v>
      </c>
    </row>
    <row r="9" spans="1:5" x14ac:dyDescent="0.3">
      <c r="A9" t="s">
        <v>92</v>
      </c>
      <c r="B9" t="s">
        <v>3533</v>
      </c>
      <c r="C9" t="s">
        <v>3534</v>
      </c>
      <c r="D9" t="s">
        <v>96</v>
      </c>
      <c r="E9">
        <f>'Evaluation Table'!D22</f>
        <v>3.0999999999999996</v>
      </c>
    </row>
    <row r="10" spans="1:5" x14ac:dyDescent="0.3">
      <c r="A10" t="s">
        <v>92</v>
      </c>
      <c r="B10" t="s">
        <v>3533</v>
      </c>
      <c r="C10" t="s">
        <v>3534</v>
      </c>
      <c r="D10" t="s">
        <v>97</v>
      </c>
      <c r="E10">
        <f>'Evaluation Table'!D23</f>
        <v>3.05</v>
      </c>
    </row>
    <row r="11" spans="1:5" x14ac:dyDescent="0.3">
      <c r="A11" t="s">
        <v>111</v>
      </c>
      <c r="B11" t="s">
        <v>3531</v>
      </c>
      <c r="C11" t="s">
        <v>3534</v>
      </c>
      <c r="D11" t="s">
        <v>95</v>
      </c>
      <c r="E11">
        <f>'Evaluation Table'!E3</f>
        <v>2.5</v>
      </c>
    </row>
    <row r="12" spans="1:5" x14ac:dyDescent="0.3">
      <c r="A12" t="s">
        <v>111</v>
      </c>
      <c r="B12" t="s">
        <v>3531</v>
      </c>
      <c r="C12" t="s">
        <v>3534</v>
      </c>
      <c r="D12" t="s">
        <v>96</v>
      </c>
      <c r="E12">
        <f>'Evaluation Table'!E4</f>
        <v>2.75</v>
      </c>
    </row>
    <row r="13" spans="1:5" x14ac:dyDescent="0.3">
      <c r="A13" t="s">
        <v>111</v>
      </c>
      <c r="B13" t="s">
        <v>3531</v>
      </c>
      <c r="C13" t="s">
        <v>3534</v>
      </c>
      <c r="D13" t="s">
        <v>97</v>
      </c>
      <c r="E13">
        <f>'Evaluation Table'!E5</f>
        <v>2.5499999999999998</v>
      </c>
    </row>
    <row r="14" spans="1:5" x14ac:dyDescent="0.3">
      <c r="A14" t="s">
        <v>111</v>
      </c>
      <c r="B14" t="s">
        <v>3532</v>
      </c>
      <c r="C14" t="s">
        <v>3534</v>
      </c>
      <c r="D14" t="s">
        <v>95</v>
      </c>
      <c r="E14">
        <f>'Evaluation Table'!E12</f>
        <v>3.25</v>
      </c>
    </row>
    <row r="15" spans="1:5" x14ac:dyDescent="0.3">
      <c r="A15" t="s">
        <v>111</v>
      </c>
      <c r="B15" t="s">
        <v>3532</v>
      </c>
      <c r="C15" t="s">
        <v>3534</v>
      </c>
      <c r="D15" t="s">
        <v>96</v>
      </c>
      <c r="E15">
        <f>'Evaluation Table'!E13</f>
        <v>3.1500000000000004</v>
      </c>
    </row>
    <row r="16" spans="1:5" x14ac:dyDescent="0.3">
      <c r="A16" t="s">
        <v>111</v>
      </c>
      <c r="B16" t="s">
        <v>3532</v>
      </c>
      <c r="C16" t="s">
        <v>3534</v>
      </c>
      <c r="D16" t="s">
        <v>97</v>
      </c>
      <c r="E16">
        <f>'Evaluation Table'!E14</f>
        <v>3.3</v>
      </c>
    </row>
    <row r="17" spans="1:5" x14ac:dyDescent="0.3">
      <c r="A17" t="s">
        <v>111</v>
      </c>
      <c r="B17" t="s">
        <v>3533</v>
      </c>
      <c r="C17" t="s">
        <v>3534</v>
      </c>
      <c r="D17" t="s">
        <v>95</v>
      </c>
      <c r="E17">
        <f>'Evaluation Table'!E21</f>
        <v>3</v>
      </c>
    </row>
    <row r="18" spans="1:5" x14ac:dyDescent="0.3">
      <c r="A18" t="s">
        <v>111</v>
      </c>
      <c r="B18" t="s">
        <v>3533</v>
      </c>
      <c r="C18" t="s">
        <v>3534</v>
      </c>
      <c r="D18" t="s">
        <v>96</v>
      </c>
      <c r="E18">
        <f>'Evaluation Table'!E22</f>
        <v>3.1</v>
      </c>
    </row>
    <row r="19" spans="1:5" x14ac:dyDescent="0.3">
      <c r="A19" t="s">
        <v>111</v>
      </c>
      <c r="B19" t="s">
        <v>3533</v>
      </c>
      <c r="C19" t="s">
        <v>3534</v>
      </c>
      <c r="D19" t="s">
        <v>97</v>
      </c>
      <c r="E19">
        <f>'Evaluation Table'!E23</f>
        <v>3.0999999999999996</v>
      </c>
    </row>
    <row r="20" spans="1:5" x14ac:dyDescent="0.3">
      <c r="A20" t="s">
        <v>92</v>
      </c>
      <c r="B20" t="s">
        <v>3531</v>
      </c>
      <c r="C20" t="s">
        <v>3535</v>
      </c>
      <c r="D20" t="s">
        <v>95</v>
      </c>
      <c r="E20">
        <f>'Evaluation Table'!F3</f>
        <v>3.1499999999999995</v>
      </c>
    </row>
    <row r="21" spans="1:5" x14ac:dyDescent="0.3">
      <c r="A21" t="s">
        <v>92</v>
      </c>
      <c r="B21" t="s">
        <v>3531</v>
      </c>
      <c r="C21" t="s">
        <v>3535</v>
      </c>
      <c r="D21" t="s">
        <v>96</v>
      </c>
      <c r="E21">
        <f>'Evaluation Table'!F4</f>
        <v>2.85</v>
      </c>
    </row>
    <row r="22" spans="1:5" x14ac:dyDescent="0.3">
      <c r="A22" t="s">
        <v>92</v>
      </c>
      <c r="B22" t="s">
        <v>3531</v>
      </c>
      <c r="C22" t="s">
        <v>3535</v>
      </c>
      <c r="D22" t="s">
        <v>97</v>
      </c>
      <c r="E22">
        <f>'Evaluation Table'!F5</f>
        <v>2.9499999999999993</v>
      </c>
    </row>
    <row r="23" spans="1:5" x14ac:dyDescent="0.3">
      <c r="A23" t="s">
        <v>92</v>
      </c>
      <c r="B23" t="s">
        <v>3532</v>
      </c>
      <c r="C23" t="s">
        <v>3535</v>
      </c>
      <c r="D23" t="s">
        <v>95</v>
      </c>
      <c r="E23">
        <f>'Evaluation Table'!F12</f>
        <v>3.25</v>
      </c>
    </row>
    <row r="24" spans="1:5" x14ac:dyDescent="0.3">
      <c r="A24" t="s">
        <v>92</v>
      </c>
      <c r="B24" t="s">
        <v>3532</v>
      </c>
      <c r="C24" t="s">
        <v>3535</v>
      </c>
      <c r="D24" t="s">
        <v>96</v>
      </c>
      <c r="E24">
        <f>'Evaluation Table'!F13</f>
        <v>3.05</v>
      </c>
    </row>
    <row r="25" spans="1:5" x14ac:dyDescent="0.3">
      <c r="A25" t="s">
        <v>92</v>
      </c>
      <c r="B25" t="s">
        <v>3532</v>
      </c>
      <c r="C25" t="s">
        <v>3535</v>
      </c>
      <c r="D25" t="s">
        <v>97</v>
      </c>
      <c r="E25">
        <f>'Evaluation Table'!F14</f>
        <v>3.3499999999999996</v>
      </c>
    </row>
    <row r="26" spans="1:5" x14ac:dyDescent="0.3">
      <c r="A26" t="s">
        <v>92</v>
      </c>
      <c r="B26" t="s">
        <v>3533</v>
      </c>
      <c r="C26" t="s">
        <v>3535</v>
      </c>
      <c r="D26" t="s">
        <v>95</v>
      </c>
      <c r="E26">
        <f>'Evaluation Table'!F21</f>
        <v>3.1999999999999997</v>
      </c>
    </row>
    <row r="27" spans="1:5" x14ac:dyDescent="0.3">
      <c r="A27" t="s">
        <v>92</v>
      </c>
      <c r="B27" t="s">
        <v>3533</v>
      </c>
      <c r="C27" t="s">
        <v>3535</v>
      </c>
      <c r="D27" t="s">
        <v>96</v>
      </c>
      <c r="E27">
        <f>'Evaluation Table'!F22</f>
        <v>3.3999999999999995</v>
      </c>
    </row>
    <row r="28" spans="1:5" x14ac:dyDescent="0.3">
      <c r="A28" t="s">
        <v>92</v>
      </c>
      <c r="B28" t="s">
        <v>3533</v>
      </c>
      <c r="C28" t="s">
        <v>3535</v>
      </c>
      <c r="D28" t="s">
        <v>97</v>
      </c>
      <c r="E28">
        <f>'Evaluation Table'!F23</f>
        <v>3.4499999999999997</v>
      </c>
    </row>
    <row r="29" spans="1:5" x14ac:dyDescent="0.3">
      <c r="A29" t="s">
        <v>111</v>
      </c>
      <c r="B29" t="s">
        <v>3531</v>
      </c>
      <c r="C29" t="s">
        <v>3535</v>
      </c>
      <c r="D29" t="s">
        <v>95</v>
      </c>
      <c r="E29">
        <f>'Evaluation Table'!G3</f>
        <v>3.05</v>
      </c>
    </row>
    <row r="30" spans="1:5" x14ac:dyDescent="0.3">
      <c r="A30" t="s">
        <v>111</v>
      </c>
      <c r="B30" t="s">
        <v>3531</v>
      </c>
      <c r="C30" t="s">
        <v>3535</v>
      </c>
      <c r="D30" t="s">
        <v>96</v>
      </c>
      <c r="E30">
        <f>'Evaluation Table'!G4</f>
        <v>3</v>
      </c>
    </row>
    <row r="31" spans="1:5" x14ac:dyDescent="0.3">
      <c r="A31" t="s">
        <v>111</v>
      </c>
      <c r="B31" t="s">
        <v>3531</v>
      </c>
      <c r="C31" t="s">
        <v>3535</v>
      </c>
      <c r="D31" t="s">
        <v>97</v>
      </c>
      <c r="E31">
        <f>'Evaluation Table'!G5</f>
        <v>2.8</v>
      </c>
    </row>
    <row r="32" spans="1:5" x14ac:dyDescent="0.3">
      <c r="A32" t="s">
        <v>111</v>
      </c>
      <c r="B32" t="s">
        <v>3532</v>
      </c>
      <c r="C32" t="s">
        <v>3535</v>
      </c>
      <c r="D32" t="s">
        <v>95</v>
      </c>
      <c r="E32">
        <f>'Evaluation Table'!G12</f>
        <v>3.45</v>
      </c>
    </row>
    <row r="33" spans="1:5" x14ac:dyDescent="0.3">
      <c r="A33" t="s">
        <v>111</v>
      </c>
      <c r="B33" t="s">
        <v>3532</v>
      </c>
      <c r="C33" t="s">
        <v>3535</v>
      </c>
      <c r="D33" t="s">
        <v>96</v>
      </c>
      <c r="E33">
        <f>'Evaluation Table'!G13</f>
        <v>3.5</v>
      </c>
    </row>
    <row r="34" spans="1:5" x14ac:dyDescent="0.3">
      <c r="A34" t="s">
        <v>111</v>
      </c>
      <c r="B34" t="s">
        <v>3532</v>
      </c>
      <c r="C34" t="s">
        <v>3535</v>
      </c>
      <c r="D34" t="s">
        <v>97</v>
      </c>
      <c r="E34">
        <f>'Evaluation Table'!G14</f>
        <v>3.4000000000000004</v>
      </c>
    </row>
    <row r="35" spans="1:5" x14ac:dyDescent="0.3">
      <c r="A35" t="s">
        <v>111</v>
      </c>
      <c r="B35" t="s">
        <v>3533</v>
      </c>
      <c r="C35" t="s">
        <v>3535</v>
      </c>
      <c r="D35" t="s">
        <v>95</v>
      </c>
      <c r="E35">
        <f>'Evaluation Table'!G21</f>
        <v>3.4</v>
      </c>
    </row>
    <row r="36" spans="1:5" x14ac:dyDescent="0.3">
      <c r="A36" t="s">
        <v>111</v>
      </c>
      <c r="B36" t="s">
        <v>3533</v>
      </c>
      <c r="C36" t="s">
        <v>3535</v>
      </c>
      <c r="D36" t="s">
        <v>96</v>
      </c>
      <c r="E36">
        <f>'Evaluation Table'!G22</f>
        <v>3.45</v>
      </c>
    </row>
    <row r="37" spans="1:5" x14ac:dyDescent="0.3">
      <c r="A37" t="s">
        <v>111</v>
      </c>
      <c r="B37" t="s">
        <v>3533</v>
      </c>
      <c r="C37" t="s">
        <v>3535</v>
      </c>
      <c r="D37" t="s">
        <v>97</v>
      </c>
      <c r="E37">
        <f>'Evaluation Table'!G23</f>
        <v>3.3500000000000005</v>
      </c>
    </row>
    <row r="38" spans="1:5" x14ac:dyDescent="0.3">
      <c r="A38" t="s">
        <v>213</v>
      </c>
      <c r="B38" t="s">
        <v>3531</v>
      </c>
      <c r="C38" t="s">
        <v>3535</v>
      </c>
      <c r="D38" t="s">
        <v>95</v>
      </c>
      <c r="E38">
        <f>'Evaluation Table'!H3</f>
        <v>3.3</v>
      </c>
    </row>
    <row r="39" spans="1:5" x14ac:dyDescent="0.3">
      <c r="A39" t="s">
        <v>213</v>
      </c>
      <c r="B39" t="s">
        <v>3531</v>
      </c>
      <c r="C39" t="s">
        <v>3535</v>
      </c>
      <c r="D39" t="s">
        <v>96</v>
      </c>
      <c r="E39">
        <f>'Evaluation Table'!H4</f>
        <v>3.1499999999999995</v>
      </c>
    </row>
    <row r="40" spans="1:5" x14ac:dyDescent="0.3">
      <c r="A40" t="s">
        <v>213</v>
      </c>
      <c r="B40" t="s">
        <v>3531</v>
      </c>
      <c r="C40" t="s">
        <v>3535</v>
      </c>
      <c r="D40" t="s">
        <v>97</v>
      </c>
      <c r="E40">
        <f>'Evaluation Table'!H5</f>
        <v>3.25</v>
      </c>
    </row>
    <row r="41" spans="1:5" x14ac:dyDescent="0.3">
      <c r="A41" t="s">
        <v>213</v>
      </c>
      <c r="B41" t="s">
        <v>3532</v>
      </c>
      <c r="C41" t="s">
        <v>3535</v>
      </c>
      <c r="D41" t="s">
        <v>95</v>
      </c>
      <c r="E41">
        <f>'Evaluation Table'!H12</f>
        <v>3.4</v>
      </c>
    </row>
    <row r="42" spans="1:5" x14ac:dyDescent="0.3">
      <c r="A42" t="s">
        <v>213</v>
      </c>
      <c r="B42" t="s">
        <v>3532</v>
      </c>
      <c r="C42" t="s">
        <v>3535</v>
      </c>
      <c r="D42" t="s">
        <v>96</v>
      </c>
      <c r="E42">
        <f>'Evaluation Table'!H13</f>
        <v>3.4</v>
      </c>
    </row>
    <row r="43" spans="1:5" x14ac:dyDescent="0.3">
      <c r="A43" t="s">
        <v>213</v>
      </c>
      <c r="B43" t="s">
        <v>3532</v>
      </c>
      <c r="C43" t="s">
        <v>3535</v>
      </c>
      <c r="D43" t="s">
        <v>97</v>
      </c>
      <c r="E43">
        <f>'Evaluation Table'!H14</f>
        <v>3.4000000000000004</v>
      </c>
    </row>
    <row r="44" spans="1:5" x14ac:dyDescent="0.3">
      <c r="A44" t="s">
        <v>213</v>
      </c>
      <c r="B44" t="s">
        <v>3533</v>
      </c>
      <c r="C44" t="s">
        <v>3535</v>
      </c>
      <c r="D44" t="s">
        <v>95</v>
      </c>
      <c r="E44">
        <f>'Evaluation Table'!H21</f>
        <v>3.7</v>
      </c>
    </row>
    <row r="45" spans="1:5" x14ac:dyDescent="0.3">
      <c r="A45" t="s">
        <v>213</v>
      </c>
      <c r="B45" t="s">
        <v>3533</v>
      </c>
      <c r="C45" t="s">
        <v>3535</v>
      </c>
      <c r="D45" t="s">
        <v>96</v>
      </c>
      <c r="E45">
        <f>'Evaluation Table'!H22</f>
        <v>3.1000000000000005</v>
      </c>
    </row>
    <row r="46" spans="1:5" x14ac:dyDescent="0.3">
      <c r="A46" t="s">
        <v>213</v>
      </c>
      <c r="B46" t="s">
        <v>3533</v>
      </c>
      <c r="C46" t="s">
        <v>3535</v>
      </c>
      <c r="D46" t="s">
        <v>97</v>
      </c>
      <c r="E46">
        <f>'Evaluation Table'!H23</f>
        <v>3.6999999999999997</v>
      </c>
    </row>
    <row r="47" spans="1:5" x14ac:dyDescent="0.3">
      <c r="A47" t="s">
        <v>212</v>
      </c>
      <c r="B47" t="s">
        <v>3531</v>
      </c>
      <c r="C47" t="s">
        <v>3535</v>
      </c>
      <c r="D47" t="s">
        <v>95</v>
      </c>
      <c r="E47">
        <f>'Evaluation Table'!I3</f>
        <v>3.1499999999999995</v>
      </c>
    </row>
    <row r="48" spans="1:5" x14ac:dyDescent="0.3">
      <c r="A48" t="s">
        <v>212</v>
      </c>
      <c r="B48" t="s">
        <v>3531</v>
      </c>
      <c r="C48" t="s">
        <v>3535</v>
      </c>
      <c r="D48" t="s">
        <v>96</v>
      </c>
      <c r="E48">
        <f>'Evaluation Table'!I4</f>
        <v>3.1000000000000005</v>
      </c>
    </row>
    <row r="49" spans="1:5" x14ac:dyDescent="0.3">
      <c r="A49" t="s">
        <v>212</v>
      </c>
      <c r="B49" t="s">
        <v>3531</v>
      </c>
      <c r="C49" t="s">
        <v>3535</v>
      </c>
      <c r="D49" t="s">
        <v>97</v>
      </c>
      <c r="E49">
        <f>'Evaluation Table'!I5</f>
        <v>3.05</v>
      </c>
    </row>
    <row r="50" spans="1:5" x14ac:dyDescent="0.3">
      <c r="A50" t="s">
        <v>212</v>
      </c>
      <c r="B50" t="s">
        <v>3532</v>
      </c>
      <c r="C50" t="s">
        <v>3535</v>
      </c>
      <c r="D50" t="s">
        <v>95</v>
      </c>
      <c r="E50">
        <f>'Evaluation Table'!I12</f>
        <v>3.35</v>
      </c>
    </row>
    <row r="51" spans="1:5" x14ac:dyDescent="0.3">
      <c r="A51" t="s">
        <v>212</v>
      </c>
      <c r="B51" t="s">
        <v>3532</v>
      </c>
      <c r="C51" t="s">
        <v>3535</v>
      </c>
      <c r="D51" t="s">
        <v>96</v>
      </c>
      <c r="E51">
        <f>'Evaluation Table'!I13</f>
        <v>3.45</v>
      </c>
    </row>
    <row r="52" spans="1:5" x14ac:dyDescent="0.3">
      <c r="A52" t="s">
        <v>212</v>
      </c>
      <c r="B52" t="s">
        <v>3532</v>
      </c>
      <c r="C52" t="s">
        <v>3535</v>
      </c>
      <c r="D52" t="s">
        <v>97</v>
      </c>
      <c r="E52">
        <f>'Evaluation Table'!I14</f>
        <v>3.6000000000000005</v>
      </c>
    </row>
    <row r="53" spans="1:5" x14ac:dyDescent="0.3">
      <c r="A53" t="s">
        <v>212</v>
      </c>
      <c r="B53" t="s">
        <v>3533</v>
      </c>
      <c r="C53" t="s">
        <v>3535</v>
      </c>
      <c r="D53" t="s">
        <v>95</v>
      </c>
      <c r="E53">
        <f>'Evaluation Table'!I21</f>
        <v>3.4499999999999997</v>
      </c>
    </row>
    <row r="54" spans="1:5" x14ac:dyDescent="0.3">
      <c r="A54" t="s">
        <v>212</v>
      </c>
      <c r="B54" t="s">
        <v>3533</v>
      </c>
      <c r="C54" t="s">
        <v>3535</v>
      </c>
      <c r="D54" t="s">
        <v>96</v>
      </c>
      <c r="E54">
        <f>'Evaluation Table'!I22</f>
        <v>3.5999999999999996</v>
      </c>
    </row>
    <row r="55" spans="1:5" x14ac:dyDescent="0.3">
      <c r="A55" t="s">
        <v>212</v>
      </c>
      <c r="B55" t="s">
        <v>3533</v>
      </c>
      <c r="C55" t="s">
        <v>3535</v>
      </c>
      <c r="D55" t="s">
        <v>97</v>
      </c>
      <c r="E55">
        <f>'Evaluation Table'!I23</f>
        <v>3.6000000000000005</v>
      </c>
    </row>
    <row r="56" spans="1:5" x14ac:dyDescent="0.3">
      <c r="A56" t="s">
        <v>92</v>
      </c>
      <c r="B56" t="s">
        <v>3531</v>
      </c>
      <c r="C56" t="s">
        <v>3536</v>
      </c>
      <c r="D56" t="s">
        <v>95</v>
      </c>
      <c r="E56">
        <f>'Evaluation Table'!J3</f>
        <v>3.1499999999999995</v>
      </c>
    </row>
    <row r="57" spans="1:5" x14ac:dyDescent="0.3">
      <c r="A57" t="s">
        <v>92</v>
      </c>
      <c r="B57" t="s">
        <v>3531</v>
      </c>
      <c r="C57" t="s">
        <v>3536</v>
      </c>
      <c r="D57" t="s">
        <v>96</v>
      </c>
      <c r="E57">
        <f>'Evaluation Table'!J4</f>
        <v>3.2</v>
      </c>
    </row>
    <row r="58" spans="1:5" x14ac:dyDescent="0.3">
      <c r="A58" t="s">
        <v>92</v>
      </c>
      <c r="B58" t="s">
        <v>3531</v>
      </c>
      <c r="C58" t="s">
        <v>3536</v>
      </c>
      <c r="D58" t="s">
        <v>97</v>
      </c>
      <c r="E58">
        <f>'Evaluation Table'!J5</f>
        <v>3</v>
      </c>
    </row>
    <row r="59" spans="1:5" x14ac:dyDescent="0.3">
      <c r="A59" t="s">
        <v>92</v>
      </c>
      <c r="B59" t="s">
        <v>3532</v>
      </c>
      <c r="C59" t="s">
        <v>3536</v>
      </c>
      <c r="D59" t="s">
        <v>95</v>
      </c>
      <c r="E59">
        <f>'Evaluation Table'!J12</f>
        <v>3.9000000000000004</v>
      </c>
    </row>
    <row r="60" spans="1:5" x14ac:dyDescent="0.3">
      <c r="A60" t="s">
        <v>92</v>
      </c>
      <c r="B60" t="s">
        <v>3532</v>
      </c>
      <c r="C60" t="s">
        <v>3536</v>
      </c>
      <c r="D60" t="s">
        <v>96</v>
      </c>
      <c r="E60">
        <f>'Evaluation Table'!J13</f>
        <v>3.9000000000000004</v>
      </c>
    </row>
    <row r="61" spans="1:5" x14ac:dyDescent="0.3">
      <c r="A61" t="s">
        <v>92</v>
      </c>
      <c r="B61" t="s">
        <v>3532</v>
      </c>
      <c r="C61" t="s">
        <v>3536</v>
      </c>
      <c r="D61" t="s">
        <v>97</v>
      </c>
      <c r="E61">
        <f>'Evaluation Table'!J14</f>
        <v>4</v>
      </c>
    </row>
    <row r="62" spans="1:5" x14ac:dyDescent="0.3">
      <c r="A62" t="s">
        <v>92</v>
      </c>
      <c r="B62" t="s">
        <v>3533</v>
      </c>
      <c r="C62" t="s">
        <v>3536</v>
      </c>
      <c r="D62" t="s">
        <v>95</v>
      </c>
      <c r="E62">
        <f>'Evaluation Table'!J21</f>
        <v>4.0999999999999996</v>
      </c>
    </row>
    <row r="63" spans="1:5" x14ac:dyDescent="0.3">
      <c r="A63" t="s">
        <v>92</v>
      </c>
      <c r="B63" t="s">
        <v>3533</v>
      </c>
      <c r="C63" t="s">
        <v>3536</v>
      </c>
      <c r="D63" t="s">
        <v>96</v>
      </c>
      <c r="E63">
        <f>'Evaluation Table'!J22</f>
        <v>3.45</v>
      </c>
    </row>
    <row r="64" spans="1:5" x14ac:dyDescent="0.3">
      <c r="A64" t="s">
        <v>92</v>
      </c>
      <c r="B64" t="s">
        <v>3533</v>
      </c>
      <c r="C64" t="s">
        <v>3536</v>
      </c>
      <c r="D64" t="s">
        <v>97</v>
      </c>
      <c r="E64">
        <f>'Evaluation Table'!J23</f>
        <v>3.8000000000000007</v>
      </c>
    </row>
    <row r="65" spans="1:5" x14ac:dyDescent="0.3">
      <c r="A65" t="s">
        <v>111</v>
      </c>
      <c r="B65" t="s">
        <v>3531</v>
      </c>
      <c r="C65" t="s">
        <v>3536</v>
      </c>
      <c r="D65" t="s">
        <v>95</v>
      </c>
      <c r="E65">
        <f>'Evaluation Table'!K3</f>
        <v>3.2</v>
      </c>
    </row>
    <row r="66" spans="1:5" x14ac:dyDescent="0.3">
      <c r="A66" t="s">
        <v>111</v>
      </c>
      <c r="B66" t="s">
        <v>3531</v>
      </c>
      <c r="C66" t="s">
        <v>3536</v>
      </c>
      <c r="D66" t="s">
        <v>96</v>
      </c>
      <c r="E66">
        <f>'Evaluation Table'!K4</f>
        <v>3.2</v>
      </c>
    </row>
    <row r="67" spans="1:5" x14ac:dyDescent="0.3">
      <c r="A67" t="s">
        <v>111</v>
      </c>
      <c r="B67" t="s">
        <v>3531</v>
      </c>
      <c r="C67" t="s">
        <v>3536</v>
      </c>
      <c r="D67" t="s">
        <v>97</v>
      </c>
      <c r="E67">
        <f>'Evaluation Table'!K5</f>
        <v>3.6</v>
      </c>
    </row>
    <row r="68" spans="1:5" x14ac:dyDescent="0.3">
      <c r="A68" t="s">
        <v>111</v>
      </c>
      <c r="B68" t="s">
        <v>3532</v>
      </c>
      <c r="C68" t="s">
        <v>3536</v>
      </c>
      <c r="D68" t="s">
        <v>95</v>
      </c>
      <c r="E68">
        <f>'Evaluation Table'!K12</f>
        <v>3.7500000000000004</v>
      </c>
    </row>
    <row r="69" spans="1:5" x14ac:dyDescent="0.3">
      <c r="A69" t="s">
        <v>111</v>
      </c>
      <c r="B69" t="s">
        <v>3532</v>
      </c>
      <c r="C69" t="s">
        <v>3536</v>
      </c>
      <c r="D69" t="s">
        <v>96</v>
      </c>
      <c r="E69">
        <f>'Evaluation Table'!K13</f>
        <v>4</v>
      </c>
    </row>
    <row r="70" spans="1:5" x14ac:dyDescent="0.3">
      <c r="A70" t="s">
        <v>111</v>
      </c>
      <c r="B70" t="s">
        <v>3532</v>
      </c>
      <c r="C70" t="s">
        <v>3536</v>
      </c>
      <c r="D70" t="s">
        <v>97</v>
      </c>
      <c r="E70">
        <f>'Evaluation Table'!K14</f>
        <v>3.7000000000000006</v>
      </c>
    </row>
    <row r="71" spans="1:5" x14ac:dyDescent="0.3">
      <c r="A71" t="s">
        <v>111</v>
      </c>
      <c r="B71" t="s">
        <v>3533</v>
      </c>
      <c r="C71" t="s">
        <v>3536</v>
      </c>
      <c r="D71" t="s">
        <v>95</v>
      </c>
      <c r="E71">
        <f>'Evaluation Table'!K21</f>
        <v>3.8500000000000005</v>
      </c>
    </row>
    <row r="72" spans="1:5" x14ac:dyDescent="0.3">
      <c r="A72" t="s">
        <v>111</v>
      </c>
      <c r="B72" t="s">
        <v>3533</v>
      </c>
      <c r="C72" t="s">
        <v>3536</v>
      </c>
      <c r="D72" t="s">
        <v>96</v>
      </c>
      <c r="E72">
        <f>'Evaluation Table'!K22</f>
        <v>3.85</v>
      </c>
    </row>
    <row r="73" spans="1:5" x14ac:dyDescent="0.3">
      <c r="A73" t="s">
        <v>111</v>
      </c>
      <c r="B73" t="s">
        <v>3533</v>
      </c>
      <c r="C73" t="s">
        <v>3536</v>
      </c>
      <c r="D73" t="s">
        <v>97</v>
      </c>
      <c r="E73">
        <f>'Evaluation Table'!K23</f>
        <v>3.6500000000000004</v>
      </c>
    </row>
    <row r="74" spans="1:5" x14ac:dyDescent="0.3">
      <c r="A74" t="s">
        <v>213</v>
      </c>
      <c r="B74" t="s">
        <v>3531</v>
      </c>
      <c r="C74" t="s">
        <v>3536</v>
      </c>
      <c r="D74" t="s">
        <v>95</v>
      </c>
      <c r="E74">
        <f>'Evaluation Table'!L3</f>
        <v>3.3</v>
      </c>
    </row>
    <row r="75" spans="1:5" x14ac:dyDescent="0.3">
      <c r="A75" t="s">
        <v>213</v>
      </c>
      <c r="B75" t="s">
        <v>3531</v>
      </c>
      <c r="C75" t="s">
        <v>3536</v>
      </c>
      <c r="D75" t="s">
        <v>96</v>
      </c>
      <c r="E75">
        <f>'Evaluation Table'!L4</f>
        <v>3.75</v>
      </c>
    </row>
    <row r="76" spans="1:5" x14ac:dyDescent="0.3">
      <c r="A76" t="s">
        <v>213</v>
      </c>
      <c r="B76" t="s">
        <v>3531</v>
      </c>
      <c r="C76" t="s">
        <v>3536</v>
      </c>
      <c r="D76" t="s">
        <v>97</v>
      </c>
      <c r="E76">
        <f>'Evaluation Table'!L5</f>
        <v>3.4000000000000004</v>
      </c>
    </row>
    <row r="77" spans="1:5" x14ac:dyDescent="0.3">
      <c r="A77" t="s">
        <v>213</v>
      </c>
      <c r="B77" t="s">
        <v>3532</v>
      </c>
      <c r="C77" t="s">
        <v>3536</v>
      </c>
      <c r="D77" t="s">
        <v>95</v>
      </c>
      <c r="E77">
        <f>'Evaluation Table'!L12</f>
        <v>3.7</v>
      </c>
    </row>
    <row r="78" spans="1:5" x14ac:dyDescent="0.3">
      <c r="A78" t="s">
        <v>213</v>
      </c>
      <c r="B78" t="s">
        <v>3532</v>
      </c>
      <c r="C78" t="s">
        <v>3536</v>
      </c>
      <c r="D78" t="s">
        <v>96</v>
      </c>
      <c r="E78">
        <f>'Evaluation Table'!L13</f>
        <v>3.5999999999999996</v>
      </c>
    </row>
    <row r="79" spans="1:5" x14ac:dyDescent="0.3">
      <c r="A79" t="s">
        <v>213</v>
      </c>
      <c r="B79" t="s">
        <v>3532</v>
      </c>
      <c r="C79" t="s">
        <v>3536</v>
      </c>
      <c r="D79" t="s">
        <v>97</v>
      </c>
      <c r="E79">
        <f>'Evaluation Table'!L14</f>
        <v>3.8000000000000003</v>
      </c>
    </row>
    <row r="80" spans="1:5" x14ac:dyDescent="0.3">
      <c r="A80" t="s">
        <v>213</v>
      </c>
      <c r="B80" t="s">
        <v>3533</v>
      </c>
      <c r="C80" t="s">
        <v>3536</v>
      </c>
      <c r="D80" t="s">
        <v>95</v>
      </c>
      <c r="E80">
        <f>'Evaluation Table'!L21</f>
        <v>4.3000000000000007</v>
      </c>
    </row>
    <row r="81" spans="1:5" x14ac:dyDescent="0.3">
      <c r="A81" t="s">
        <v>213</v>
      </c>
      <c r="B81" t="s">
        <v>3533</v>
      </c>
      <c r="C81" t="s">
        <v>3536</v>
      </c>
      <c r="D81" t="s">
        <v>96</v>
      </c>
      <c r="E81">
        <f>'Evaluation Table'!L22</f>
        <v>4.1000000000000005</v>
      </c>
    </row>
    <row r="82" spans="1:5" x14ac:dyDescent="0.3">
      <c r="A82" t="s">
        <v>213</v>
      </c>
      <c r="B82" t="s">
        <v>3533</v>
      </c>
      <c r="C82" t="s">
        <v>3536</v>
      </c>
      <c r="D82" t="s">
        <v>97</v>
      </c>
      <c r="E82">
        <f>'Evaluation Table'!L23</f>
        <v>4.1000000000000005</v>
      </c>
    </row>
    <row r="83" spans="1:5" x14ac:dyDescent="0.3">
      <c r="A83" t="s">
        <v>212</v>
      </c>
      <c r="B83" t="s">
        <v>3531</v>
      </c>
      <c r="C83" t="s">
        <v>3536</v>
      </c>
      <c r="D83" t="s">
        <v>95</v>
      </c>
      <c r="E83">
        <f>'Evaluation Table'!M3</f>
        <v>3.25</v>
      </c>
    </row>
    <row r="84" spans="1:5" x14ac:dyDescent="0.3">
      <c r="A84" t="s">
        <v>212</v>
      </c>
      <c r="B84" t="s">
        <v>3531</v>
      </c>
      <c r="C84" t="s">
        <v>3536</v>
      </c>
      <c r="D84" t="s">
        <v>96</v>
      </c>
      <c r="E84">
        <f>'Evaluation Table'!M4</f>
        <v>3.3</v>
      </c>
    </row>
    <row r="85" spans="1:5" x14ac:dyDescent="0.3">
      <c r="A85" t="s">
        <v>212</v>
      </c>
      <c r="B85" t="s">
        <v>3531</v>
      </c>
      <c r="C85" t="s">
        <v>3536</v>
      </c>
      <c r="D85" t="s">
        <v>97</v>
      </c>
      <c r="E85">
        <f>'Evaluation Table'!M5</f>
        <v>3.75</v>
      </c>
    </row>
    <row r="86" spans="1:5" x14ac:dyDescent="0.3">
      <c r="A86" t="s">
        <v>212</v>
      </c>
      <c r="B86" t="s">
        <v>3532</v>
      </c>
      <c r="C86" t="s">
        <v>3536</v>
      </c>
      <c r="D86" t="s">
        <v>95</v>
      </c>
      <c r="E86">
        <f>'Evaluation Table'!M12</f>
        <v>3.7500000000000004</v>
      </c>
    </row>
    <row r="87" spans="1:5" x14ac:dyDescent="0.3">
      <c r="A87" t="s">
        <v>212</v>
      </c>
      <c r="B87" t="s">
        <v>3532</v>
      </c>
      <c r="C87" t="s">
        <v>3536</v>
      </c>
      <c r="D87" t="s">
        <v>96</v>
      </c>
      <c r="E87">
        <f>'Evaluation Table'!M13</f>
        <v>4</v>
      </c>
    </row>
    <row r="88" spans="1:5" x14ac:dyDescent="0.3">
      <c r="A88" t="s">
        <v>212</v>
      </c>
      <c r="B88" t="s">
        <v>3532</v>
      </c>
      <c r="C88" t="s">
        <v>3536</v>
      </c>
      <c r="D88" t="s">
        <v>97</v>
      </c>
      <c r="E88">
        <f>'Evaluation Table'!M14</f>
        <v>4.0500000000000007</v>
      </c>
    </row>
    <row r="89" spans="1:5" x14ac:dyDescent="0.3">
      <c r="A89" t="s">
        <v>212</v>
      </c>
      <c r="B89" t="s">
        <v>3533</v>
      </c>
      <c r="C89" t="s">
        <v>3536</v>
      </c>
      <c r="D89" t="s">
        <v>95</v>
      </c>
      <c r="E89">
        <f>'Evaluation Table'!M21</f>
        <v>4.25</v>
      </c>
    </row>
    <row r="90" spans="1:5" x14ac:dyDescent="0.3">
      <c r="A90" t="s">
        <v>212</v>
      </c>
      <c r="B90" t="s">
        <v>3533</v>
      </c>
      <c r="C90" t="s">
        <v>3536</v>
      </c>
      <c r="D90" t="s">
        <v>96</v>
      </c>
      <c r="E90">
        <f>'Evaluation Table'!M22</f>
        <v>3.7</v>
      </c>
    </row>
    <row r="91" spans="1:5" x14ac:dyDescent="0.3">
      <c r="A91" t="s">
        <v>212</v>
      </c>
      <c r="B91" t="s">
        <v>3533</v>
      </c>
      <c r="C91" t="s">
        <v>3536</v>
      </c>
      <c r="D91" t="s">
        <v>97</v>
      </c>
      <c r="E91">
        <f>'Evaluation Table'!M23</f>
        <v>3.9000000000000004</v>
      </c>
    </row>
    <row r="92" spans="1:5" x14ac:dyDescent="0.3">
      <c r="A92" t="s">
        <v>92</v>
      </c>
      <c r="B92" t="s">
        <v>3531</v>
      </c>
      <c r="C92" t="s">
        <v>3537</v>
      </c>
      <c r="D92" t="s">
        <v>95</v>
      </c>
      <c r="E92">
        <f>'Evaluation Table'!N3</f>
        <v>4.2</v>
      </c>
    </row>
    <row r="93" spans="1:5" x14ac:dyDescent="0.3">
      <c r="A93" t="s">
        <v>92</v>
      </c>
      <c r="B93" t="s">
        <v>3531</v>
      </c>
      <c r="C93" t="s">
        <v>3537</v>
      </c>
      <c r="D93" t="s">
        <v>96</v>
      </c>
      <c r="E93">
        <f>'Evaluation Table'!N4</f>
        <v>3.7</v>
      </c>
    </row>
    <row r="94" spans="1:5" x14ac:dyDescent="0.3">
      <c r="A94" t="s">
        <v>92</v>
      </c>
      <c r="B94" t="s">
        <v>3531</v>
      </c>
      <c r="C94" t="s">
        <v>3537</v>
      </c>
      <c r="D94" t="s">
        <v>97</v>
      </c>
      <c r="E94">
        <f>'Evaluation Table'!N5</f>
        <v>4.2</v>
      </c>
    </row>
    <row r="95" spans="1:5" x14ac:dyDescent="0.3">
      <c r="A95" t="s">
        <v>92</v>
      </c>
      <c r="B95" t="s">
        <v>3533</v>
      </c>
      <c r="C95" t="s">
        <v>3537</v>
      </c>
      <c r="D95" t="s">
        <v>95</v>
      </c>
      <c r="E95">
        <f>'Evaluation Table'!N21</f>
        <v>4</v>
      </c>
    </row>
    <row r="96" spans="1:5" x14ac:dyDescent="0.3">
      <c r="A96" t="s">
        <v>92</v>
      </c>
      <c r="B96" t="s">
        <v>3533</v>
      </c>
      <c r="C96" t="s">
        <v>3537</v>
      </c>
      <c r="D96" t="s">
        <v>96</v>
      </c>
      <c r="E96">
        <f>'Evaluation Table'!N22</f>
        <v>4.1000000000000005</v>
      </c>
    </row>
    <row r="97" spans="1:5" x14ac:dyDescent="0.3">
      <c r="A97" t="s">
        <v>92</v>
      </c>
      <c r="B97" t="s">
        <v>3533</v>
      </c>
      <c r="C97" t="s">
        <v>3537</v>
      </c>
      <c r="D97" t="s">
        <v>97</v>
      </c>
      <c r="E97">
        <f>'Evaluation Table'!N23</f>
        <v>4.25</v>
      </c>
    </row>
    <row r="98" spans="1:5" x14ac:dyDescent="0.3">
      <c r="A98" t="s">
        <v>111</v>
      </c>
      <c r="B98" t="s">
        <v>3531</v>
      </c>
      <c r="C98" t="s">
        <v>3537</v>
      </c>
      <c r="D98" t="s">
        <v>95</v>
      </c>
      <c r="E98">
        <f>'Evaluation Table'!O3</f>
        <v>3.8000000000000003</v>
      </c>
    </row>
    <row r="99" spans="1:5" x14ac:dyDescent="0.3">
      <c r="A99" t="s">
        <v>111</v>
      </c>
      <c r="B99" t="s">
        <v>3531</v>
      </c>
      <c r="C99" t="s">
        <v>3537</v>
      </c>
      <c r="D99" t="s">
        <v>96</v>
      </c>
      <c r="E99">
        <f>'Evaluation Table'!O4</f>
        <v>3.8000000000000003</v>
      </c>
    </row>
    <row r="100" spans="1:5" x14ac:dyDescent="0.3">
      <c r="A100" t="s">
        <v>111</v>
      </c>
      <c r="B100" t="s">
        <v>3531</v>
      </c>
      <c r="C100" t="s">
        <v>3537</v>
      </c>
      <c r="D100" t="s">
        <v>97</v>
      </c>
      <c r="E100">
        <f>'Evaluation Table'!O5</f>
        <v>4.3000000000000007</v>
      </c>
    </row>
    <row r="101" spans="1:5" x14ac:dyDescent="0.3">
      <c r="A101" t="s">
        <v>111</v>
      </c>
      <c r="B101" t="s">
        <v>3533</v>
      </c>
      <c r="C101" t="s">
        <v>3537</v>
      </c>
      <c r="D101" t="s">
        <v>95</v>
      </c>
      <c r="E101">
        <f>'Evaluation Table'!O21</f>
        <v>3.95</v>
      </c>
    </row>
    <row r="102" spans="1:5" x14ac:dyDescent="0.3">
      <c r="A102" t="s">
        <v>111</v>
      </c>
      <c r="B102" t="s">
        <v>3533</v>
      </c>
      <c r="C102" t="s">
        <v>3537</v>
      </c>
      <c r="D102" t="s">
        <v>96</v>
      </c>
      <c r="E102">
        <f>'Evaluation Table'!O22</f>
        <v>4.05</v>
      </c>
    </row>
    <row r="103" spans="1:5" x14ac:dyDescent="0.3">
      <c r="A103" t="s">
        <v>111</v>
      </c>
      <c r="B103" t="s">
        <v>3533</v>
      </c>
      <c r="C103" t="s">
        <v>3537</v>
      </c>
      <c r="D103" t="s">
        <v>97</v>
      </c>
      <c r="E103">
        <f>'Evaluation Table'!O23</f>
        <v>4.3000000000000007</v>
      </c>
    </row>
    <row r="104" spans="1:5" x14ac:dyDescent="0.3">
      <c r="A104" t="s">
        <v>213</v>
      </c>
      <c r="B104" t="s">
        <v>3531</v>
      </c>
      <c r="C104" t="s">
        <v>3537</v>
      </c>
      <c r="D104" t="s">
        <v>95</v>
      </c>
      <c r="E104">
        <f>'Evaluation Table'!P3</f>
        <v>4.3500000000000005</v>
      </c>
    </row>
    <row r="105" spans="1:5" x14ac:dyDescent="0.3">
      <c r="A105" t="s">
        <v>213</v>
      </c>
      <c r="B105" t="s">
        <v>3531</v>
      </c>
      <c r="C105" t="s">
        <v>3537</v>
      </c>
      <c r="D105" t="s">
        <v>96</v>
      </c>
      <c r="E105">
        <f>'Evaluation Table'!P4</f>
        <v>3.8000000000000003</v>
      </c>
    </row>
    <row r="106" spans="1:5" x14ac:dyDescent="0.3">
      <c r="A106" t="s">
        <v>213</v>
      </c>
      <c r="B106" t="s">
        <v>3531</v>
      </c>
      <c r="C106" t="s">
        <v>3537</v>
      </c>
      <c r="D106" t="s">
        <v>97</v>
      </c>
      <c r="E106">
        <f>'Evaluation Table'!P5</f>
        <v>3.9000000000000004</v>
      </c>
    </row>
    <row r="107" spans="1:5" x14ac:dyDescent="0.3">
      <c r="A107" t="s">
        <v>213</v>
      </c>
      <c r="B107" t="s">
        <v>3533</v>
      </c>
      <c r="C107" t="s">
        <v>3537</v>
      </c>
      <c r="D107" t="s">
        <v>95</v>
      </c>
      <c r="E107">
        <f>'Evaluation Table'!P21</f>
        <v>4.3000000000000007</v>
      </c>
    </row>
    <row r="108" spans="1:5" x14ac:dyDescent="0.3">
      <c r="A108" t="s">
        <v>213</v>
      </c>
      <c r="B108" t="s">
        <v>3533</v>
      </c>
      <c r="C108" t="s">
        <v>3537</v>
      </c>
      <c r="D108" t="s">
        <v>96</v>
      </c>
      <c r="E108">
        <f>'Evaluation Table'!P22</f>
        <v>4.05</v>
      </c>
    </row>
    <row r="109" spans="1:5" x14ac:dyDescent="0.3">
      <c r="A109" t="s">
        <v>213</v>
      </c>
      <c r="B109" t="s">
        <v>3533</v>
      </c>
      <c r="C109" t="s">
        <v>3537</v>
      </c>
      <c r="D109" t="s">
        <v>97</v>
      </c>
      <c r="E109">
        <f>'Evaluation Table'!P23</f>
        <v>4.1000000000000005</v>
      </c>
    </row>
    <row r="110" spans="1:5" x14ac:dyDescent="0.3">
      <c r="A110" t="s">
        <v>212</v>
      </c>
      <c r="B110" t="s">
        <v>3531</v>
      </c>
      <c r="C110" t="s">
        <v>3537</v>
      </c>
      <c r="D110" t="s">
        <v>95</v>
      </c>
      <c r="E110">
        <f>'Evaluation Table'!Q3</f>
        <v>4.3000000000000007</v>
      </c>
    </row>
    <row r="111" spans="1:5" x14ac:dyDescent="0.3">
      <c r="A111" t="s">
        <v>212</v>
      </c>
      <c r="B111" t="s">
        <v>3531</v>
      </c>
      <c r="C111" t="s">
        <v>3537</v>
      </c>
      <c r="D111" t="s">
        <v>96</v>
      </c>
      <c r="E111">
        <f>'Evaluation Table'!Q4</f>
        <v>3.9000000000000004</v>
      </c>
    </row>
    <row r="112" spans="1:5" x14ac:dyDescent="0.3">
      <c r="A112" t="s">
        <v>212</v>
      </c>
      <c r="B112" t="s">
        <v>3531</v>
      </c>
      <c r="C112" t="s">
        <v>3537</v>
      </c>
      <c r="D112" t="s">
        <v>97</v>
      </c>
      <c r="E112">
        <f>'Evaluation Table'!Q5</f>
        <v>4.3</v>
      </c>
    </row>
    <row r="113" spans="1:5" x14ac:dyDescent="0.3">
      <c r="A113" t="s">
        <v>212</v>
      </c>
      <c r="B113" t="s">
        <v>3533</v>
      </c>
      <c r="C113" t="s">
        <v>3537</v>
      </c>
      <c r="D113" t="s">
        <v>95</v>
      </c>
      <c r="E113">
        <f>'Evaluation Table'!Q21</f>
        <v>4.45</v>
      </c>
    </row>
    <row r="114" spans="1:5" x14ac:dyDescent="0.3">
      <c r="A114" t="s">
        <v>212</v>
      </c>
      <c r="B114" t="s">
        <v>3533</v>
      </c>
      <c r="C114" t="s">
        <v>3537</v>
      </c>
      <c r="D114" t="s">
        <v>96</v>
      </c>
      <c r="E114">
        <f>'Evaluation Table'!Q22</f>
        <v>4.05</v>
      </c>
    </row>
    <row r="115" spans="1:5" x14ac:dyDescent="0.3">
      <c r="A115" t="s">
        <v>212</v>
      </c>
      <c r="B115" t="s">
        <v>3533</v>
      </c>
      <c r="C115" t="s">
        <v>3537</v>
      </c>
      <c r="D115" t="s">
        <v>97</v>
      </c>
      <c r="E115">
        <f>'Evaluation Table'!Q23</f>
        <v>4.4000000000000004</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Y45"/>
  <sheetViews>
    <sheetView topLeftCell="N1" workbookViewId="0">
      <selection activeCell="Q18" sqref="Q18"/>
    </sheetView>
  </sheetViews>
  <sheetFormatPr defaultRowHeight="14.4" x14ac:dyDescent="0.3"/>
  <cols>
    <col min="1" max="1" width="13.33203125" bestFit="1" customWidth="1"/>
    <col min="2" max="2" width="3.77734375" bestFit="1" customWidth="1"/>
    <col min="3" max="3" width="5.33203125" bestFit="1" customWidth="1"/>
    <col min="4" max="4" width="10.33203125" customWidth="1"/>
    <col min="5" max="6" width="11.6640625" bestFit="1" customWidth="1"/>
    <col min="9" max="9" width="11.6640625" bestFit="1" customWidth="1"/>
    <col min="18" max="18" width="10.44140625" customWidth="1"/>
    <col min="19" max="19" width="9.88671875" customWidth="1"/>
    <col min="21" max="21" width="8.44140625" customWidth="1"/>
  </cols>
  <sheetData>
    <row r="1" spans="1:25" x14ac:dyDescent="0.3">
      <c r="D1" s="14" t="s">
        <v>207</v>
      </c>
      <c r="E1" s="14"/>
      <c r="F1" s="14" t="s">
        <v>208</v>
      </c>
      <c r="G1" s="14"/>
      <c r="H1" s="14"/>
      <c r="I1" s="14"/>
      <c r="J1" s="14" t="s">
        <v>214</v>
      </c>
      <c r="K1" s="14"/>
      <c r="L1" s="14"/>
      <c r="M1" s="14"/>
      <c r="N1" s="14" t="s">
        <v>209</v>
      </c>
      <c r="O1" s="14"/>
      <c r="P1" s="14"/>
      <c r="Q1" s="14"/>
      <c r="R1" s="14" t="s">
        <v>3530</v>
      </c>
      <c r="S1" s="14"/>
      <c r="T1" s="14"/>
      <c r="U1" s="14"/>
      <c r="V1" s="14" t="s">
        <v>210</v>
      </c>
      <c r="W1" s="14"/>
      <c r="X1" s="14"/>
      <c r="Y1" s="14"/>
    </row>
    <row r="2" spans="1:25" x14ac:dyDescent="0.3">
      <c r="D2" s="12" t="s">
        <v>92</v>
      </c>
      <c r="E2" s="12" t="s">
        <v>111</v>
      </c>
      <c r="F2" s="12" t="s">
        <v>92</v>
      </c>
      <c r="G2" s="12" t="s">
        <v>111</v>
      </c>
      <c r="H2" s="12" t="s">
        <v>213</v>
      </c>
      <c r="I2" s="12" t="s">
        <v>212</v>
      </c>
      <c r="J2" s="12" t="s">
        <v>92</v>
      </c>
      <c r="K2" s="12" t="s">
        <v>111</v>
      </c>
      <c r="L2" s="12" t="s">
        <v>213</v>
      </c>
      <c r="M2" s="12" t="s">
        <v>212</v>
      </c>
      <c r="N2" s="12" t="s">
        <v>92</v>
      </c>
      <c r="O2" s="12" t="s">
        <v>111</v>
      </c>
      <c r="P2" s="12" t="s">
        <v>213</v>
      </c>
      <c r="Q2" s="12" t="s">
        <v>212</v>
      </c>
      <c r="R2" s="12" t="s">
        <v>92</v>
      </c>
      <c r="S2" s="12" t="s">
        <v>111</v>
      </c>
      <c r="T2" s="12" t="s">
        <v>213</v>
      </c>
      <c r="U2" s="12" t="s">
        <v>212</v>
      </c>
      <c r="V2" s="12" t="s">
        <v>92</v>
      </c>
      <c r="W2" s="12" t="s">
        <v>111</v>
      </c>
      <c r="X2" s="12" t="s">
        <v>213</v>
      </c>
      <c r="Y2" s="12" t="s">
        <v>212</v>
      </c>
    </row>
    <row r="3" spans="1:25" x14ac:dyDescent="0.3">
      <c r="A3" s="5" t="s">
        <v>211</v>
      </c>
      <c r="B3" s="8" t="s">
        <v>94</v>
      </c>
      <c r="C3" t="s">
        <v>95</v>
      </c>
      <c r="D3" s="10">
        <f>'d88 #1'!D14</f>
        <v>2.7</v>
      </c>
      <c r="E3" s="10">
        <f>'d131 #1'!D14</f>
        <v>2.5</v>
      </c>
      <c r="F3" s="10">
        <f>'d88 #2'!D14</f>
        <v>3.1499999999999995</v>
      </c>
      <c r="G3" s="10">
        <f>'d131 #2'!D14</f>
        <v>3.05</v>
      </c>
      <c r="H3" s="10">
        <f>'d1383 #2'!D14</f>
        <v>3.3</v>
      </c>
      <c r="I3" s="10">
        <f>'d1456 #2'!D14</f>
        <v>3.1499999999999995</v>
      </c>
      <c r="J3" s="10">
        <f>'d88 #3'!D14</f>
        <v>3.1499999999999995</v>
      </c>
      <c r="K3" s="10">
        <f>'d131 #3'!D14</f>
        <v>3.2</v>
      </c>
      <c r="L3" s="10">
        <f>'d1383 #3'!D14</f>
        <v>3.3</v>
      </c>
      <c r="M3" s="10">
        <f>'d1456 #3'!D14</f>
        <v>3.25</v>
      </c>
      <c r="N3" s="10">
        <f>'d88 #4'!D14</f>
        <v>4.2</v>
      </c>
      <c r="O3" s="10">
        <f>'d131 #4'!D14</f>
        <v>3.8000000000000003</v>
      </c>
      <c r="P3" s="10">
        <f>'d1383 #4'!D14</f>
        <v>4.3500000000000005</v>
      </c>
      <c r="Q3" s="10">
        <f>'d1456 #4'!D14</f>
        <v>4.3000000000000007</v>
      </c>
      <c r="R3" s="10"/>
      <c r="S3" s="10"/>
      <c r="T3" s="10"/>
      <c r="U3" s="10"/>
      <c r="V3" s="10"/>
      <c r="W3" s="10"/>
      <c r="X3" s="10"/>
      <c r="Y3" s="10"/>
    </row>
    <row r="4" spans="1:25" x14ac:dyDescent="0.3">
      <c r="C4" t="s">
        <v>96</v>
      </c>
      <c r="D4" s="10">
        <f>'d88 #1'!D27</f>
        <v>2.9000000000000004</v>
      </c>
      <c r="E4" s="10">
        <f>'d131 #1'!D27</f>
        <v>2.75</v>
      </c>
      <c r="F4" s="10">
        <f>'d88 #2'!D27</f>
        <v>2.85</v>
      </c>
      <c r="G4" s="10">
        <f>'d131 #2'!D27</f>
        <v>3</v>
      </c>
      <c r="H4" s="10">
        <f>'d1383 #2'!D27</f>
        <v>3.1499999999999995</v>
      </c>
      <c r="I4" s="10">
        <f>'d1456 #2'!D27</f>
        <v>3.1000000000000005</v>
      </c>
      <c r="J4" s="10">
        <f>'d88 #3'!D27</f>
        <v>3.2</v>
      </c>
      <c r="K4" s="10">
        <f>'d131 #3'!D27</f>
        <v>3.2</v>
      </c>
      <c r="L4" s="10">
        <f>'d1383 #3'!D27</f>
        <v>3.75</v>
      </c>
      <c r="M4" s="10">
        <f>'d1456 #3'!D27</f>
        <v>3.3</v>
      </c>
      <c r="N4" s="10">
        <f>'d88 #4'!D27</f>
        <v>3.7</v>
      </c>
      <c r="O4" s="10">
        <f>'d131 #4'!D27</f>
        <v>3.8000000000000003</v>
      </c>
      <c r="P4" s="10">
        <f>'d1383 #4'!D27</f>
        <v>3.8000000000000003</v>
      </c>
      <c r="Q4" s="10">
        <f>'d1456 #4'!D27</f>
        <v>3.9000000000000004</v>
      </c>
      <c r="R4" s="10"/>
      <c r="S4" s="10"/>
      <c r="T4" s="10"/>
      <c r="U4" s="10"/>
      <c r="V4" s="10"/>
      <c r="W4" s="10"/>
      <c r="X4" s="10"/>
      <c r="Y4" s="10"/>
    </row>
    <row r="5" spans="1:25" x14ac:dyDescent="0.3">
      <c r="C5" t="s">
        <v>97</v>
      </c>
      <c r="D5" s="10">
        <f>'d88 #1'!D40</f>
        <v>2.8999999999999995</v>
      </c>
      <c r="E5" s="10">
        <f>'d131 #1'!D40</f>
        <v>2.5499999999999998</v>
      </c>
      <c r="F5" s="10">
        <f>'d88 #2'!D40</f>
        <v>2.9499999999999993</v>
      </c>
      <c r="G5" s="10">
        <f>'d131 #2'!D40</f>
        <v>2.8</v>
      </c>
      <c r="H5" s="10">
        <f>'d1383 #2'!D40</f>
        <v>3.25</v>
      </c>
      <c r="I5" s="10">
        <f>'d1456 #2'!D40</f>
        <v>3.05</v>
      </c>
      <c r="J5" s="10">
        <f>'d88 #3'!D40</f>
        <v>3</v>
      </c>
      <c r="K5" s="10">
        <f>'d131 #3'!D40</f>
        <v>3.6</v>
      </c>
      <c r="L5" s="10">
        <f>'d1383 #3'!D40</f>
        <v>3.4000000000000004</v>
      </c>
      <c r="M5" s="10">
        <f>'d1456 #3'!D40</f>
        <v>3.75</v>
      </c>
      <c r="N5" s="10">
        <f>'d88 #4'!D40</f>
        <v>4.2</v>
      </c>
      <c r="O5" s="10">
        <f>'d131 #4'!D40</f>
        <v>4.3000000000000007</v>
      </c>
      <c r="P5" s="10">
        <f>'d1383 #4'!D40</f>
        <v>3.9000000000000004</v>
      </c>
      <c r="Q5" s="10">
        <f>'d1456 #4'!D40</f>
        <v>4.3</v>
      </c>
      <c r="R5" s="10"/>
      <c r="S5" s="10"/>
      <c r="T5" s="10"/>
      <c r="U5" s="10"/>
      <c r="V5" s="10"/>
      <c r="W5" s="10"/>
      <c r="X5" s="10"/>
      <c r="Y5" s="10"/>
    </row>
    <row r="6" spans="1:25" x14ac:dyDescent="0.3">
      <c r="B6" s="9" t="s">
        <v>93</v>
      </c>
      <c r="C6" t="s">
        <v>95</v>
      </c>
      <c r="D6" s="11"/>
      <c r="E6" s="11"/>
      <c r="F6" s="11"/>
      <c r="G6" s="11"/>
      <c r="H6" s="11"/>
      <c r="I6" s="11"/>
      <c r="J6" s="11"/>
      <c r="K6" s="11"/>
      <c r="L6" s="11"/>
      <c r="M6" s="11"/>
      <c r="N6" s="11"/>
      <c r="O6" s="11"/>
      <c r="P6" s="11"/>
      <c r="Q6" s="11"/>
      <c r="R6" s="11"/>
      <c r="S6" s="11"/>
      <c r="T6" s="11"/>
      <c r="U6" s="11"/>
      <c r="V6" s="11"/>
      <c r="W6" s="11"/>
      <c r="X6" s="11"/>
      <c r="Y6" s="11"/>
    </row>
    <row r="7" spans="1:25" x14ac:dyDescent="0.3">
      <c r="C7" t="s">
        <v>96</v>
      </c>
      <c r="D7" s="11"/>
      <c r="E7" s="11"/>
      <c r="F7" s="11"/>
      <c r="G7" s="11"/>
      <c r="H7" s="11"/>
      <c r="I7" s="11"/>
      <c r="J7" s="11"/>
      <c r="K7" s="11"/>
      <c r="L7" s="11"/>
      <c r="M7" s="11"/>
      <c r="N7" s="11"/>
      <c r="O7" s="11"/>
      <c r="P7" s="11"/>
      <c r="Q7" s="11"/>
      <c r="R7" s="11"/>
      <c r="S7" s="11"/>
      <c r="T7" s="11"/>
      <c r="U7" s="11"/>
      <c r="V7" s="11"/>
      <c r="W7" s="11"/>
      <c r="X7" s="11"/>
      <c r="Y7" s="11"/>
    </row>
    <row r="8" spans="1:25" x14ac:dyDescent="0.3">
      <c r="C8" t="s">
        <v>97</v>
      </c>
      <c r="D8" s="11"/>
      <c r="E8" s="11"/>
      <c r="F8" s="11"/>
      <c r="G8" s="11"/>
      <c r="H8" s="11"/>
      <c r="I8" s="11"/>
      <c r="J8" s="11"/>
      <c r="K8" s="11"/>
      <c r="L8" s="11"/>
      <c r="M8" s="11"/>
      <c r="N8" s="11"/>
      <c r="O8" s="11"/>
      <c r="P8" s="11"/>
      <c r="Q8" s="11"/>
      <c r="R8" s="11"/>
      <c r="S8" s="11"/>
      <c r="T8" s="11"/>
      <c r="U8" s="11"/>
      <c r="V8" s="11"/>
      <c r="W8" s="11"/>
      <c r="X8" s="11"/>
      <c r="Y8" s="11"/>
    </row>
    <row r="9" spans="1:25" x14ac:dyDescent="0.3">
      <c r="B9" t="s">
        <v>101</v>
      </c>
      <c r="C9" t="s">
        <v>95</v>
      </c>
    </row>
    <row r="10" spans="1:25" x14ac:dyDescent="0.3">
      <c r="C10" t="s">
        <v>96</v>
      </c>
    </row>
    <row r="11" spans="1:25" x14ac:dyDescent="0.3">
      <c r="C11" t="s">
        <v>97</v>
      </c>
    </row>
    <row r="12" spans="1:25" x14ac:dyDescent="0.3">
      <c r="A12" s="5" t="s">
        <v>99</v>
      </c>
      <c r="B12" s="8" t="s">
        <v>94</v>
      </c>
      <c r="C12" t="s">
        <v>95</v>
      </c>
      <c r="D12" s="10">
        <f>'d88 #1'!D53</f>
        <v>3.2500000000000009</v>
      </c>
      <c r="E12" s="10">
        <f>'d131 #1'!D53</f>
        <v>3.25</v>
      </c>
      <c r="F12" s="10">
        <f>'d88 #2'!D53</f>
        <v>3.25</v>
      </c>
      <c r="G12" s="10">
        <f>'d131 #2'!D53</f>
        <v>3.45</v>
      </c>
      <c r="H12" s="10">
        <f>'d1383 #2'!D66</f>
        <v>3.4</v>
      </c>
      <c r="I12" s="10">
        <f>'d1456 #2'!D53</f>
        <v>3.35</v>
      </c>
      <c r="J12" s="10">
        <f>'d88 #3'!D53</f>
        <v>3.9000000000000004</v>
      </c>
      <c r="K12" s="10">
        <f>'d131 #3'!D53</f>
        <v>3.7500000000000004</v>
      </c>
      <c r="L12" s="10">
        <f>'d1383 #3'!D53</f>
        <v>3.7</v>
      </c>
      <c r="M12" s="10">
        <f>'d1456 #3'!D53</f>
        <v>3.7500000000000004</v>
      </c>
      <c r="R12" s="10"/>
      <c r="S12" s="10"/>
      <c r="T12" s="10"/>
      <c r="U12" s="10"/>
      <c r="V12" s="10"/>
      <c r="W12" s="10"/>
      <c r="X12" s="10"/>
      <c r="Y12" s="10"/>
    </row>
    <row r="13" spans="1:25" x14ac:dyDescent="0.3">
      <c r="C13" t="s">
        <v>96</v>
      </c>
      <c r="D13" s="10">
        <f>'d88 #1'!D66</f>
        <v>3</v>
      </c>
      <c r="E13" s="10">
        <f>'d131 #1'!D66</f>
        <v>3.1500000000000004</v>
      </c>
      <c r="F13" s="10">
        <f>'d88 #2'!D66</f>
        <v>3.05</v>
      </c>
      <c r="G13" s="10">
        <f>'d131 #2'!D66</f>
        <v>3.5</v>
      </c>
      <c r="H13" s="10">
        <f>'d1383 #2'!D66</f>
        <v>3.4</v>
      </c>
      <c r="I13" s="10">
        <f>'d1456 #2'!D66</f>
        <v>3.45</v>
      </c>
      <c r="J13" s="10">
        <f>'d88 #3'!D66</f>
        <v>3.9000000000000004</v>
      </c>
      <c r="K13" s="10">
        <f>'d131 #3'!D66</f>
        <v>4</v>
      </c>
      <c r="L13" s="10">
        <f>'d1383 #3'!D66</f>
        <v>3.5999999999999996</v>
      </c>
      <c r="M13" s="10">
        <f>'d1456 #3'!D66</f>
        <v>4</v>
      </c>
      <c r="R13" s="10"/>
      <c r="S13" s="10"/>
      <c r="T13" s="10"/>
      <c r="U13" s="10"/>
      <c r="V13" s="10"/>
      <c r="W13" s="10"/>
      <c r="X13" s="10"/>
      <c r="Y13" s="10"/>
    </row>
    <row r="14" spans="1:25" x14ac:dyDescent="0.3">
      <c r="C14" t="s">
        <v>97</v>
      </c>
      <c r="D14" s="10">
        <f>'d88 #1'!D79</f>
        <v>3.1</v>
      </c>
      <c r="E14" s="10">
        <f>'d131 #1'!D79</f>
        <v>3.3</v>
      </c>
      <c r="F14" s="10">
        <f>'d88 #2'!D79</f>
        <v>3.3499999999999996</v>
      </c>
      <c r="G14" s="10">
        <f>'d131 #2'!D79</f>
        <v>3.4000000000000004</v>
      </c>
      <c r="H14" s="10">
        <f>'d1383 #2'!D79</f>
        <v>3.4000000000000004</v>
      </c>
      <c r="I14" s="10">
        <f>'d1456 #2'!D79</f>
        <v>3.6000000000000005</v>
      </c>
      <c r="J14" s="25">
        <f>'d88 #3'!D79</f>
        <v>4</v>
      </c>
      <c r="K14" s="10">
        <f>'d131 #3'!D79</f>
        <v>3.7000000000000006</v>
      </c>
      <c r="L14" s="10">
        <f>'d1383 #3'!D79</f>
        <v>3.8000000000000003</v>
      </c>
      <c r="M14" s="10">
        <f>'d1456 #3'!D79</f>
        <v>4.0500000000000007</v>
      </c>
      <c r="R14" s="10"/>
      <c r="S14" s="10"/>
      <c r="T14" s="10"/>
      <c r="U14" s="10"/>
      <c r="V14" s="10"/>
      <c r="W14" s="10"/>
      <c r="X14" s="10"/>
      <c r="Y14" s="10"/>
    </row>
    <row r="15" spans="1:25" x14ac:dyDescent="0.3">
      <c r="B15" s="9" t="s">
        <v>93</v>
      </c>
      <c r="C15" t="s">
        <v>95</v>
      </c>
      <c r="D15" s="11"/>
      <c r="E15" s="11"/>
      <c r="F15" s="11"/>
      <c r="G15" s="11"/>
      <c r="H15" s="11"/>
      <c r="I15" s="11"/>
      <c r="J15" s="11"/>
      <c r="K15" s="11"/>
      <c r="L15" s="11"/>
      <c r="M15" s="11"/>
      <c r="R15" s="11"/>
      <c r="S15" s="11"/>
      <c r="T15" s="11"/>
      <c r="U15" s="11"/>
      <c r="V15" s="11"/>
      <c r="W15" s="11"/>
      <c r="X15" s="11"/>
      <c r="Y15" s="11"/>
    </row>
    <row r="16" spans="1:25" x14ac:dyDescent="0.3">
      <c r="C16" t="s">
        <v>96</v>
      </c>
      <c r="D16" s="11"/>
      <c r="E16" s="11"/>
      <c r="F16" s="11"/>
      <c r="G16" s="11"/>
      <c r="H16" s="11"/>
      <c r="I16" s="11"/>
      <c r="J16" s="11"/>
      <c r="K16" s="11"/>
      <c r="L16" s="11"/>
      <c r="M16" s="11"/>
      <c r="R16" s="11"/>
      <c r="S16" s="11"/>
      <c r="T16" s="11"/>
      <c r="U16" s="11"/>
      <c r="V16" s="11"/>
      <c r="W16" s="11"/>
      <c r="X16" s="11"/>
      <c r="Y16" s="11"/>
    </row>
    <row r="17" spans="1:25" x14ac:dyDescent="0.3">
      <c r="C17" t="s">
        <v>97</v>
      </c>
      <c r="D17" s="11"/>
      <c r="E17" s="11"/>
      <c r="F17" s="11"/>
      <c r="G17" s="11"/>
      <c r="H17" s="11"/>
      <c r="I17" s="11"/>
      <c r="J17" s="11"/>
      <c r="K17" s="11"/>
      <c r="L17" s="11"/>
      <c r="M17" s="11"/>
      <c r="R17" s="11"/>
      <c r="S17" s="11"/>
      <c r="T17" s="11"/>
      <c r="U17" s="11"/>
      <c r="V17" s="11"/>
      <c r="W17" s="11"/>
      <c r="X17" s="11"/>
      <c r="Y17" s="11"/>
    </row>
    <row r="18" spans="1:25" x14ac:dyDescent="0.3">
      <c r="B18" t="s">
        <v>101</v>
      </c>
      <c r="C18" t="s">
        <v>95</v>
      </c>
    </row>
    <row r="19" spans="1:25" x14ac:dyDescent="0.3">
      <c r="C19" t="s">
        <v>96</v>
      </c>
    </row>
    <row r="20" spans="1:25" x14ac:dyDescent="0.3">
      <c r="C20" t="s">
        <v>97</v>
      </c>
    </row>
    <row r="21" spans="1:25" x14ac:dyDescent="0.3">
      <c r="A21" s="5" t="s">
        <v>100</v>
      </c>
      <c r="B21" s="8" t="s">
        <v>94</v>
      </c>
      <c r="C21" t="s">
        <v>95</v>
      </c>
      <c r="D21" s="10">
        <f>'d88 #1'!D92</f>
        <v>3.0999999999999996</v>
      </c>
      <c r="E21" s="10">
        <f>'d131 #1'!D92</f>
        <v>3</v>
      </c>
      <c r="F21" s="10">
        <f>'d88 #2'!D92</f>
        <v>3.1999999999999997</v>
      </c>
      <c r="G21" s="10">
        <f>'d131 #2'!D92</f>
        <v>3.4</v>
      </c>
      <c r="H21" s="10">
        <f>'d1383 #2'!D92</f>
        <v>3.7</v>
      </c>
      <c r="I21" s="10">
        <f>'d1456 #2'!D92</f>
        <v>3.4499999999999997</v>
      </c>
      <c r="J21" s="10">
        <f>'d88 #3'!D92</f>
        <v>4.0999999999999996</v>
      </c>
      <c r="K21" s="10">
        <f>'d131 #3'!D92</f>
        <v>3.8500000000000005</v>
      </c>
      <c r="L21" s="10">
        <f>'d1383 #3'!D92</f>
        <v>4.3000000000000007</v>
      </c>
      <c r="M21" s="10">
        <f>'d1456 #3'!D92</f>
        <v>4.25</v>
      </c>
      <c r="N21" s="10">
        <f>'d88 #4'!D92</f>
        <v>4</v>
      </c>
      <c r="O21" s="10">
        <f>'d131 #4'!D92</f>
        <v>3.95</v>
      </c>
      <c r="P21" s="10">
        <f>'d1383 #4'!D92</f>
        <v>4.3000000000000007</v>
      </c>
      <c r="Q21" s="10">
        <f>'d1456 #4'!D92</f>
        <v>4.45</v>
      </c>
      <c r="R21" s="10"/>
      <c r="S21" s="10"/>
      <c r="T21" s="10"/>
      <c r="U21" s="10"/>
      <c r="V21" s="10"/>
      <c r="W21" s="10"/>
      <c r="X21" s="10"/>
      <c r="Y21" s="10"/>
    </row>
    <row r="22" spans="1:25" x14ac:dyDescent="0.3">
      <c r="C22" t="s">
        <v>96</v>
      </c>
      <c r="D22" s="10">
        <f>'d88 #1'!D105</f>
        <v>3.0999999999999996</v>
      </c>
      <c r="E22" s="10">
        <f>'d131 #1'!D105</f>
        <v>3.1</v>
      </c>
      <c r="F22" s="10">
        <f>'d88 #2'!D105</f>
        <v>3.3999999999999995</v>
      </c>
      <c r="G22" s="10">
        <f>'d131 #2'!D105</f>
        <v>3.45</v>
      </c>
      <c r="H22" s="10">
        <f>'d1383 #2'!D105</f>
        <v>3.1000000000000005</v>
      </c>
      <c r="I22" s="10">
        <f>'d1456 #2'!D105</f>
        <v>3.5999999999999996</v>
      </c>
      <c r="J22" s="10">
        <f>'d88 #3'!D105</f>
        <v>3.45</v>
      </c>
      <c r="K22" s="10">
        <f>'d131 #3'!D105</f>
        <v>3.85</v>
      </c>
      <c r="L22" s="10">
        <f>'d1383 #3'!D105</f>
        <v>4.1000000000000005</v>
      </c>
      <c r="M22" s="10">
        <f>'d1456 #3'!D105</f>
        <v>3.7</v>
      </c>
      <c r="N22" s="10">
        <f>'d88 #4'!D105</f>
        <v>4.1000000000000005</v>
      </c>
      <c r="O22" s="10">
        <f>'d131 #4'!D105</f>
        <v>4.05</v>
      </c>
      <c r="P22" s="10">
        <f>'d1383 #4'!D105</f>
        <v>4.05</v>
      </c>
      <c r="Q22" s="10">
        <f>'d1456 #4'!D105</f>
        <v>4.05</v>
      </c>
      <c r="R22" s="10"/>
      <c r="S22" s="10"/>
      <c r="T22" s="10"/>
      <c r="U22" s="10"/>
      <c r="V22" s="10"/>
      <c r="W22" s="10"/>
      <c r="X22" s="10"/>
      <c r="Y22" s="10"/>
    </row>
    <row r="23" spans="1:25" x14ac:dyDescent="0.3">
      <c r="C23" t="s">
        <v>97</v>
      </c>
      <c r="D23" s="10">
        <f>'d88 #1'!D118</f>
        <v>3.05</v>
      </c>
      <c r="E23" s="10">
        <f>'d131 #1'!D118</f>
        <v>3.0999999999999996</v>
      </c>
      <c r="F23" s="10">
        <f>'d88 #2'!D118</f>
        <v>3.4499999999999997</v>
      </c>
      <c r="G23" s="10">
        <f>'d131 #2'!D118</f>
        <v>3.3500000000000005</v>
      </c>
      <c r="H23" s="10">
        <f>'d1383 #2'!D118</f>
        <v>3.6999999999999997</v>
      </c>
      <c r="I23" s="10">
        <f>'d1456 #2'!D118</f>
        <v>3.6000000000000005</v>
      </c>
      <c r="J23" s="10">
        <f>'d88 #3'!D118</f>
        <v>3.8000000000000007</v>
      </c>
      <c r="K23" s="10">
        <f>'d131 #3'!D118</f>
        <v>3.6500000000000004</v>
      </c>
      <c r="L23" s="10">
        <f>'d1383 #3'!D118</f>
        <v>4.1000000000000005</v>
      </c>
      <c r="M23" s="10">
        <f>'d1456 #3'!D118</f>
        <v>3.9000000000000004</v>
      </c>
      <c r="N23" s="24">
        <f>'d88 #4'!D118</f>
        <v>4.25</v>
      </c>
      <c r="O23" s="24">
        <f>'d131 #4'!D118</f>
        <v>4.3000000000000007</v>
      </c>
      <c r="P23" s="24">
        <f>'d1383 #4'!D118</f>
        <v>4.1000000000000005</v>
      </c>
      <c r="Q23" s="24">
        <f>'d1456 #4'!D118</f>
        <v>4.4000000000000004</v>
      </c>
      <c r="R23" s="10"/>
      <c r="S23" s="10"/>
      <c r="T23" s="10"/>
      <c r="U23" s="10"/>
      <c r="V23" s="10"/>
      <c r="W23" s="10"/>
      <c r="X23" s="10"/>
      <c r="Y23" s="10"/>
    </row>
    <row r="24" spans="1:25" x14ac:dyDescent="0.3">
      <c r="B24" s="9" t="s">
        <v>93</v>
      </c>
      <c r="C24" t="s">
        <v>95</v>
      </c>
      <c r="D24" s="11"/>
      <c r="E24" s="11"/>
      <c r="F24" s="11"/>
      <c r="G24" s="11"/>
      <c r="H24" s="11"/>
      <c r="I24" s="11"/>
      <c r="J24" s="11"/>
      <c r="K24" s="11"/>
      <c r="L24" s="11"/>
      <c r="M24" s="11"/>
      <c r="N24" s="11"/>
      <c r="O24" s="11"/>
      <c r="P24" s="11"/>
      <c r="Q24" s="11"/>
      <c r="R24" s="11"/>
      <c r="S24" s="11"/>
      <c r="T24" s="11"/>
      <c r="U24" s="11"/>
      <c r="V24" s="11"/>
      <c r="W24" s="11"/>
      <c r="X24" s="11"/>
      <c r="Y24" s="11"/>
    </row>
    <row r="25" spans="1:25" x14ac:dyDescent="0.3">
      <c r="C25" t="s">
        <v>96</v>
      </c>
      <c r="D25" s="11"/>
      <c r="E25" s="11"/>
      <c r="F25" s="11"/>
      <c r="G25" s="11"/>
      <c r="H25" s="11"/>
      <c r="I25" s="11"/>
      <c r="J25" s="11"/>
      <c r="K25" s="11"/>
      <c r="L25" s="11"/>
      <c r="M25" s="11"/>
      <c r="N25" s="11"/>
      <c r="O25" s="11"/>
      <c r="P25" s="11"/>
      <c r="Q25" s="11"/>
      <c r="R25" s="11"/>
      <c r="S25" s="11"/>
      <c r="T25" s="11"/>
      <c r="U25" s="11"/>
      <c r="V25" s="11"/>
      <c r="W25" s="11"/>
      <c r="X25" s="11"/>
      <c r="Y25" s="11"/>
    </row>
    <row r="26" spans="1:25" x14ac:dyDescent="0.3">
      <c r="C26" t="s">
        <v>97</v>
      </c>
      <c r="D26" s="11"/>
      <c r="E26" s="11"/>
      <c r="F26" s="11"/>
      <c r="G26" s="11"/>
      <c r="H26" s="11"/>
      <c r="I26" s="11"/>
      <c r="J26" s="11"/>
      <c r="K26" s="11"/>
      <c r="L26" s="11"/>
      <c r="M26" s="11"/>
      <c r="N26" s="11"/>
      <c r="O26" s="11"/>
      <c r="P26" s="11"/>
      <c r="Q26" s="11"/>
      <c r="R26" s="11"/>
      <c r="S26" s="11"/>
      <c r="T26" s="11"/>
      <c r="U26" s="11"/>
      <c r="V26" s="11"/>
      <c r="W26" s="11"/>
      <c r="X26" s="11"/>
      <c r="Y26" s="11"/>
    </row>
    <row r="27" spans="1:25" x14ac:dyDescent="0.3">
      <c r="B27" t="s">
        <v>101</v>
      </c>
      <c r="C27" t="s">
        <v>95</v>
      </c>
    </row>
    <row r="28" spans="1:25" x14ac:dyDescent="0.3">
      <c r="C28" t="s">
        <v>96</v>
      </c>
    </row>
    <row r="29" spans="1:25" x14ac:dyDescent="0.3">
      <c r="C29" t="s">
        <v>97</v>
      </c>
    </row>
    <row r="31" spans="1:25" x14ac:dyDescent="0.3">
      <c r="A31" t="s">
        <v>98</v>
      </c>
    </row>
    <row r="32" spans="1:25" x14ac:dyDescent="0.3">
      <c r="A32" t="s">
        <v>99</v>
      </c>
    </row>
    <row r="33" spans="1:19" x14ac:dyDescent="0.3">
      <c r="A33" t="s">
        <v>100</v>
      </c>
    </row>
    <row r="35" spans="1:19" x14ac:dyDescent="0.3">
      <c r="A35" t="s">
        <v>95</v>
      </c>
    </row>
    <row r="36" spans="1:19" x14ac:dyDescent="0.3">
      <c r="A36" t="s">
        <v>96</v>
      </c>
    </row>
    <row r="37" spans="1:19" x14ac:dyDescent="0.3">
      <c r="A37" t="s">
        <v>97</v>
      </c>
    </row>
    <row r="38" spans="1:19" x14ac:dyDescent="0.3">
      <c r="D38" s="14" t="s">
        <v>3534</v>
      </c>
      <c r="E38" s="14"/>
      <c r="F38" s="14"/>
      <c r="G38" s="14" t="s">
        <v>3535</v>
      </c>
      <c r="H38" s="14"/>
      <c r="I38" s="14"/>
      <c r="J38" s="14" t="s">
        <v>3536</v>
      </c>
      <c r="K38" s="14"/>
      <c r="L38" s="14"/>
      <c r="M38" s="14" t="s">
        <v>3537</v>
      </c>
      <c r="N38" s="14"/>
      <c r="O38" s="23"/>
    </row>
    <row r="39" spans="1:19" x14ac:dyDescent="0.3">
      <c r="D39" s="20" t="s">
        <v>3531</v>
      </c>
      <c r="E39" s="20" t="s">
        <v>3532</v>
      </c>
      <c r="F39" s="20" t="s">
        <v>3533</v>
      </c>
      <c r="G39" s="21" t="s">
        <v>3531</v>
      </c>
      <c r="H39" s="21" t="s">
        <v>3532</v>
      </c>
      <c r="I39" s="21" t="s">
        <v>3533</v>
      </c>
      <c r="J39" s="20" t="s">
        <v>3531</v>
      </c>
      <c r="K39" s="20" t="s">
        <v>3532</v>
      </c>
      <c r="L39" s="20" t="s">
        <v>3533</v>
      </c>
      <c r="M39" s="21" t="s">
        <v>3531</v>
      </c>
      <c r="N39" s="21" t="s">
        <v>3533</v>
      </c>
    </row>
    <row r="40" spans="1:19" x14ac:dyDescent="0.3">
      <c r="A40" s="20" t="s">
        <v>95</v>
      </c>
      <c r="D40" s="10">
        <f>SUM(D3:E3)*2</f>
        <v>10.4</v>
      </c>
      <c r="E40" s="10">
        <f>SUM(D12:E12)*2</f>
        <v>13.000000000000002</v>
      </c>
      <c r="F40" s="10">
        <f>SUM(D21:E21) *2</f>
        <v>12.2</v>
      </c>
      <c r="G40" s="10">
        <f>SUM(F3:I3)</f>
        <v>12.649999999999999</v>
      </c>
      <c r="H40" s="10">
        <f>SUM(F12:I12)</f>
        <v>13.45</v>
      </c>
      <c r="I40" s="10">
        <f>SUM(F21:I21)</f>
        <v>13.75</v>
      </c>
      <c r="J40" s="10">
        <f>SUM(J3:M3)</f>
        <v>12.899999999999999</v>
      </c>
      <c r="K40" s="10">
        <f>SUM(J12:M12)</f>
        <v>15.100000000000001</v>
      </c>
      <c r="L40" s="10">
        <f>SUM(J21:M21)</f>
        <v>16.5</v>
      </c>
      <c r="M40" s="10">
        <f>SUM(N3:Q3)</f>
        <v>16.650000000000002</v>
      </c>
      <c r="N40" s="10">
        <f xml:space="preserve"> SUM(N21:Q21)</f>
        <v>16.7</v>
      </c>
      <c r="O40">
        <f>SUM(D40:N40)</f>
        <v>153.29999999999998</v>
      </c>
    </row>
    <row r="41" spans="1:19" x14ac:dyDescent="0.3">
      <c r="A41" s="20" t="s">
        <v>96</v>
      </c>
      <c r="D41" s="10">
        <f t="shared" ref="D41:D42" si="0">SUM(D4:E4)*2</f>
        <v>11.3</v>
      </c>
      <c r="E41" s="10">
        <f t="shared" ref="E41:E42" si="1">SUM(D13:E13)*2</f>
        <v>12.3</v>
      </c>
      <c r="F41" s="10">
        <f t="shared" ref="F41:F42" si="2">SUM(D22:E22) *2</f>
        <v>12.399999999999999</v>
      </c>
      <c r="G41" s="10">
        <f t="shared" ref="G41:G42" si="3">SUM(F4:I4)</f>
        <v>12.100000000000001</v>
      </c>
      <c r="H41" s="10">
        <f t="shared" ref="H41:H42" si="4">SUM(F13:I13)</f>
        <v>13.399999999999999</v>
      </c>
      <c r="I41" s="10">
        <f t="shared" ref="I41:I42" si="5">SUM(F22:I22)</f>
        <v>13.549999999999999</v>
      </c>
      <c r="J41" s="10">
        <f t="shared" ref="J41:J42" si="6">SUM(J4:M4)</f>
        <v>13.45</v>
      </c>
      <c r="K41" s="10">
        <f t="shared" ref="K41:K42" si="7">SUM(J13:M13)</f>
        <v>15.5</v>
      </c>
      <c r="L41" s="10">
        <f t="shared" ref="L41:L42" si="8">SUM(J22:M22)</f>
        <v>15.100000000000001</v>
      </c>
      <c r="M41" s="10">
        <f t="shared" ref="M41:M42" si="9">SUM(N4:Q4)</f>
        <v>15.200000000000001</v>
      </c>
      <c r="N41" s="10">
        <f t="shared" ref="N41:N42" si="10" xml:space="preserve"> SUM(N22:Q22)</f>
        <v>16.25</v>
      </c>
      <c r="O41">
        <f t="shared" ref="O41:O42" si="11">SUM(D41:N41)</f>
        <v>150.54999999999998</v>
      </c>
    </row>
    <row r="42" spans="1:19" x14ac:dyDescent="0.3">
      <c r="A42" s="20" t="s">
        <v>97</v>
      </c>
      <c r="D42" s="10">
        <f>SUM(D5:E5)*2</f>
        <v>10.899999999999999</v>
      </c>
      <c r="E42" s="10">
        <f t="shared" si="1"/>
        <v>12.8</v>
      </c>
      <c r="F42" s="10">
        <f t="shared" si="2"/>
        <v>12.299999999999999</v>
      </c>
      <c r="G42" s="10">
        <f t="shared" si="3"/>
        <v>12.05</v>
      </c>
      <c r="H42" s="10">
        <f t="shared" si="4"/>
        <v>13.75</v>
      </c>
      <c r="I42" s="10">
        <f t="shared" si="5"/>
        <v>14.100000000000001</v>
      </c>
      <c r="J42" s="10">
        <f t="shared" si="6"/>
        <v>13.75</v>
      </c>
      <c r="K42" s="10">
        <f t="shared" si="7"/>
        <v>15.550000000000002</v>
      </c>
      <c r="L42" s="10">
        <f t="shared" si="8"/>
        <v>15.450000000000001</v>
      </c>
      <c r="M42" s="10">
        <f t="shared" si="9"/>
        <v>16.7</v>
      </c>
      <c r="N42" s="10">
        <f t="shared" si="10"/>
        <v>17.050000000000004</v>
      </c>
      <c r="O42">
        <f t="shared" si="11"/>
        <v>154.4</v>
      </c>
    </row>
    <row r="43" spans="1:19" x14ac:dyDescent="0.3">
      <c r="D43" s="22"/>
      <c r="E43" s="22"/>
      <c r="F43" s="22"/>
      <c r="G43" s="22"/>
      <c r="H43" s="22"/>
      <c r="I43" s="22"/>
      <c r="J43" s="22"/>
      <c r="K43" s="22"/>
      <c r="L43" s="22"/>
      <c r="M43" s="22"/>
      <c r="N43" s="22"/>
      <c r="O43" s="22"/>
      <c r="P43" s="22"/>
      <c r="Q43" s="22"/>
      <c r="R43" s="22"/>
      <c r="S43" s="22"/>
    </row>
    <row r="44" spans="1:19" x14ac:dyDescent="0.3">
      <c r="D44" s="22"/>
      <c r="E44" s="22"/>
      <c r="F44" s="22"/>
      <c r="G44" s="22"/>
      <c r="H44" s="22"/>
      <c r="I44" s="22"/>
      <c r="J44" s="22"/>
      <c r="K44" s="22"/>
      <c r="L44" s="22"/>
      <c r="M44" s="22"/>
      <c r="N44" s="22"/>
      <c r="O44" s="22"/>
      <c r="P44" s="22"/>
      <c r="Q44" s="22"/>
      <c r="R44" s="22"/>
      <c r="S44" s="22"/>
    </row>
    <row r="45" spans="1:19" x14ac:dyDescent="0.3">
      <c r="A45" s="20" t="s">
        <v>3538</v>
      </c>
      <c r="D45" s="22"/>
      <c r="E45" s="22"/>
      <c r="F45" s="22"/>
      <c r="G45" s="22"/>
      <c r="H45" s="22"/>
      <c r="I45" s="22"/>
      <c r="J45" s="22"/>
      <c r="K45" s="22"/>
      <c r="L45" s="22"/>
      <c r="M45" s="22"/>
      <c r="N45" s="22"/>
      <c r="O45" s="22"/>
      <c r="P45" s="22"/>
      <c r="Q45" s="22"/>
      <c r="R45" s="22"/>
      <c r="S45" s="22"/>
    </row>
  </sheetData>
  <mergeCells count="10">
    <mergeCell ref="V1:Y1"/>
    <mergeCell ref="D38:F38"/>
    <mergeCell ref="G38:I38"/>
    <mergeCell ref="J38:L38"/>
    <mergeCell ref="M38:N38"/>
    <mergeCell ref="D1:E1"/>
    <mergeCell ref="F1:I1"/>
    <mergeCell ref="J1:M1"/>
    <mergeCell ref="N1:Q1"/>
    <mergeCell ref="R1:U1"/>
  </mergeCells>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30"/>
  <sheetViews>
    <sheetView zoomScale="90" zoomScaleNormal="90" workbookViewId="0">
      <selection activeCell="A51" sqref="A5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3</v>
      </c>
      <c r="D5">
        <f>C5*B5</f>
        <v>0.44999999999999996</v>
      </c>
      <c r="G5" s="7" t="s">
        <v>7</v>
      </c>
    </row>
    <row r="6" spans="1:7" x14ac:dyDescent="0.3">
      <c r="A6" t="s">
        <v>202</v>
      </c>
      <c r="B6" s="3">
        <v>0.1</v>
      </c>
      <c r="C6">
        <v>2</v>
      </c>
      <c r="D6">
        <f t="shared" ref="D6:D12" si="0">C6*B6</f>
        <v>0.2</v>
      </c>
      <c r="G6" s="7" t="s">
        <v>8</v>
      </c>
    </row>
    <row r="7" spans="1:7" x14ac:dyDescent="0.3">
      <c r="A7" t="s">
        <v>206</v>
      </c>
      <c r="B7" s="3">
        <v>0.1</v>
      </c>
      <c r="C7">
        <v>3</v>
      </c>
      <c r="D7">
        <f t="shared" si="0"/>
        <v>0.30000000000000004</v>
      </c>
      <c r="G7" s="7" t="s">
        <v>9</v>
      </c>
    </row>
    <row r="8" spans="1:7" x14ac:dyDescent="0.3">
      <c r="A8" t="s">
        <v>91</v>
      </c>
      <c r="B8" s="3">
        <v>0.15</v>
      </c>
      <c r="C8">
        <v>2</v>
      </c>
      <c r="D8">
        <f t="shared" si="0"/>
        <v>0.3</v>
      </c>
      <c r="G8" s="7" t="s">
        <v>10</v>
      </c>
    </row>
    <row r="9" spans="1:7" x14ac:dyDescent="0.3">
      <c r="A9" t="s">
        <v>90</v>
      </c>
      <c r="B9" s="3">
        <v>0.15</v>
      </c>
      <c r="C9">
        <v>2</v>
      </c>
      <c r="D9">
        <f t="shared" si="0"/>
        <v>0.3</v>
      </c>
      <c r="G9" s="7" t="s">
        <v>11</v>
      </c>
    </row>
    <row r="10" spans="1:7" x14ac:dyDescent="0.3">
      <c r="A10" t="s">
        <v>203</v>
      </c>
      <c r="B10" s="3">
        <v>0.05</v>
      </c>
      <c r="C10">
        <v>4</v>
      </c>
      <c r="D10">
        <f t="shared" si="0"/>
        <v>0.2</v>
      </c>
      <c r="G10" s="7" t="s">
        <v>12</v>
      </c>
    </row>
    <row r="11" spans="1:7" x14ac:dyDescent="0.3">
      <c r="A11" t="s">
        <v>204</v>
      </c>
      <c r="B11" s="3">
        <v>0.05</v>
      </c>
      <c r="C11">
        <v>4</v>
      </c>
      <c r="D11">
        <f t="shared" si="0"/>
        <v>0.2</v>
      </c>
      <c r="G11" s="7" t="s">
        <v>13</v>
      </c>
    </row>
    <row r="12" spans="1:7" x14ac:dyDescent="0.3">
      <c r="A12" t="s">
        <v>89</v>
      </c>
      <c r="B12" s="3">
        <v>0.1</v>
      </c>
      <c r="C12">
        <v>3</v>
      </c>
      <c r="D12">
        <f t="shared" si="0"/>
        <v>0.30000000000000004</v>
      </c>
      <c r="G12" s="7" t="s">
        <v>14</v>
      </c>
    </row>
    <row r="13" spans="1:7" x14ac:dyDescent="0.3">
      <c r="A13" t="s">
        <v>88</v>
      </c>
      <c r="B13" s="3">
        <v>0.15</v>
      </c>
      <c r="C13">
        <v>3</v>
      </c>
      <c r="D13">
        <f>C13*B13</f>
        <v>0.44999999999999996</v>
      </c>
    </row>
    <row r="14" spans="1:7" ht="15" thickBot="1" x14ac:dyDescent="0.35">
      <c r="B14" s="4">
        <f>SUM(B5:B13)</f>
        <v>1</v>
      </c>
      <c r="D14" s="6">
        <f>SUM(D5:D13)</f>
        <v>2.7</v>
      </c>
      <c r="G14" s="7" t="s">
        <v>15</v>
      </c>
    </row>
    <row r="15" spans="1:7" ht="15" thickTop="1" x14ac:dyDescent="0.3">
      <c r="G15" s="7" t="s">
        <v>16</v>
      </c>
    </row>
    <row r="16" spans="1:7" x14ac:dyDescent="0.3">
      <c r="A16" t="s">
        <v>103</v>
      </c>
      <c r="G16" s="7" t="s">
        <v>17</v>
      </c>
    </row>
    <row r="17" spans="1:7" x14ac:dyDescent="0.3">
      <c r="A17" s="1" t="s">
        <v>0</v>
      </c>
      <c r="B17" s="1" t="s">
        <v>1</v>
      </c>
      <c r="C17" s="1" t="s">
        <v>201</v>
      </c>
      <c r="D17" s="1" t="s">
        <v>3</v>
      </c>
      <c r="G17" s="7" t="s">
        <v>18</v>
      </c>
    </row>
    <row r="18" spans="1:7" x14ac:dyDescent="0.3">
      <c r="A18" t="s">
        <v>205</v>
      </c>
      <c r="B18" s="3">
        <v>0.15</v>
      </c>
      <c r="C18">
        <v>3</v>
      </c>
      <c r="D18">
        <f>C18*B18</f>
        <v>0.44999999999999996</v>
      </c>
      <c r="G18" s="7" t="s">
        <v>19</v>
      </c>
    </row>
    <row r="19" spans="1:7" x14ac:dyDescent="0.3">
      <c r="A19" t="s">
        <v>202</v>
      </c>
      <c r="B19" s="3">
        <v>0.1</v>
      </c>
      <c r="C19">
        <v>3</v>
      </c>
      <c r="D19">
        <f t="shared" ref="D19:D25" si="1">C19*B19</f>
        <v>0.30000000000000004</v>
      </c>
      <c r="G19" s="7" t="s">
        <v>20</v>
      </c>
    </row>
    <row r="20" spans="1:7" x14ac:dyDescent="0.3">
      <c r="A20" t="s">
        <v>206</v>
      </c>
      <c r="B20" s="3">
        <v>0.1</v>
      </c>
      <c r="C20">
        <v>3</v>
      </c>
      <c r="D20">
        <f t="shared" si="1"/>
        <v>0.30000000000000004</v>
      </c>
      <c r="G20" s="7" t="s">
        <v>21</v>
      </c>
    </row>
    <row r="21" spans="1:7" x14ac:dyDescent="0.3">
      <c r="A21" t="s">
        <v>91</v>
      </c>
      <c r="B21" s="3">
        <v>0.15</v>
      </c>
      <c r="C21">
        <v>2</v>
      </c>
      <c r="D21">
        <f t="shared" si="1"/>
        <v>0.3</v>
      </c>
      <c r="G21" s="7" t="s">
        <v>22</v>
      </c>
    </row>
    <row r="22" spans="1:7" x14ac:dyDescent="0.3">
      <c r="A22" t="s">
        <v>90</v>
      </c>
      <c r="B22" s="3">
        <v>0.15</v>
      </c>
      <c r="C22">
        <v>2</v>
      </c>
      <c r="D22">
        <f t="shared" si="1"/>
        <v>0.3</v>
      </c>
      <c r="G22" s="7" t="s">
        <v>23</v>
      </c>
    </row>
    <row r="23" spans="1:7" x14ac:dyDescent="0.3">
      <c r="A23" t="s">
        <v>203</v>
      </c>
      <c r="B23" s="3">
        <v>0.05</v>
      </c>
      <c r="C23">
        <v>4</v>
      </c>
      <c r="D23">
        <f t="shared" si="1"/>
        <v>0.2</v>
      </c>
      <c r="G23" s="7" t="s">
        <v>17</v>
      </c>
    </row>
    <row r="24" spans="1:7" x14ac:dyDescent="0.3">
      <c r="A24" t="s">
        <v>204</v>
      </c>
      <c r="B24" s="3">
        <v>0.05</v>
      </c>
      <c r="C24">
        <v>4</v>
      </c>
      <c r="D24">
        <f t="shared" si="1"/>
        <v>0.2</v>
      </c>
      <c r="G24" s="7" t="s">
        <v>24</v>
      </c>
    </row>
    <row r="25" spans="1:7" x14ac:dyDescent="0.3">
      <c r="A25" t="s">
        <v>89</v>
      </c>
      <c r="B25" s="3">
        <v>0.1</v>
      </c>
      <c r="C25">
        <v>4</v>
      </c>
      <c r="D25">
        <f t="shared" si="1"/>
        <v>0.4</v>
      </c>
      <c r="G25" s="7" t="s">
        <v>25</v>
      </c>
    </row>
    <row r="26" spans="1:7" x14ac:dyDescent="0.3">
      <c r="A26" t="s">
        <v>88</v>
      </c>
      <c r="B26" s="3">
        <v>0.15</v>
      </c>
      <c r="C26">
        <v>3</v>
      </c>
      <c r="D26">
        <f>C26*B26</f>
        <v>0.44999999999999996</v>
      </c>
      <c r="G26" s="7" t="s">
        <v>26</v>
      </c>
    </row>
    <row r="27" spans="1:7" ht="15" thickBot="1" x14ac:dyDescent="0.35">
      <c r="B27" s="4">
        <f>SUM(B18:B26)</f>
        <v>1</v>
      </c>
      <c r="D27" s="6">
        <f>SUM(D18:D26)</f>
        <v>2.9000000000000004</v>
      </c>
      <c r="G27" s="7" t="s">
        <v>27</v>
      </c>
    </row>
    <row r="28" spans="1:7" ht="15" thickTop="1" x14ac:dyDescent="0.3">
      <c r="G28" s="7" t="s">
        <v>28</v>
      </c>
    </row>
    <row r="29" spans="1:7" x14ac:dyDescent="0.3">
      <c r="A29" t="s">
        <v>104</v>
      </c>
      <c r="G29" s="7" t="s">
        <v>29</v>
      </c>
    </row>
    <row r="30" spans="1:7" x14ac:dyDescent="0.3">
      <c r="A30" s="1" t="s">
        <v>0</v>
      </c>
      <c r="B30" s="1" t="s">
        <v>1</v>
      </c>
      <c r="C30" s="1" t="s">
        <v>201</v>
      </c>
      <c r="D30" s="1" t="s">
        <v>3</v>
      </c>
      <c r="G30" s="7" t="s">
        <v>30</v>
      </c>
    </row>
    <row r="31" spans="1:7" x14ac:dyDescent="0.3">
      <c r="A31" t="s">
        <v>205</v>
      </c>
      <c r="B31" s="3">
        <v>0.15</v>
      </c>
      <c r="C31">
        <v>3</v>
      </c>
      <c r="D31">
        <f>C31*B31</f>
        <v>0.44999999999999996</v>
      </c>
      <c r="G31" s="7" t="s">
        <v>31</v>
      </c>
    </row>
    <row r="32" spans="1:7" x14ac:dyDescent="0.3">
      <c r="A32" t="s">
        <v>202</v>
      </c>
      <c r="B32" s="3">
        <v>0.1</v>
      </c>
      <c r="C32">
        <v>2</v>
      </c>
      <c r="D32">
        <f t="shared" ref="D32:D38" si="2">C32*B32</f>
        <v>0.2</v>
      </c>
      <c r="G32" s="7" t="s">
        <v>32</v>
      </c>
    </row>
    <row r="33" spans="1:7" x14ac:dyDescent="0.3">
      <c r="A33" t="s">
        <v>206</v>
      </c>
      <c r="B33" s="3">
        <v>0.1</v>
      </c>
      <c r="C33">
        <v>3</v>
      </c>
      <c r="D33">
        <f t="shared" si="2"/>
        <v>0.30000000000000004</v>
      </c>
      <c r="G33" s="7" t="s">
        <v>33</v>
      </c>
    </row>
    <row r="34" spans="1:7" x14ac:dyDescent="0.3">
      <c r="A34" t="s">
        <v>91</v>
      </c>
      <c r="B34" s="3">
        <v>0.15</v>
      </c>
      <c r="C34">
        <v>3</v>
      </c>
      <c r="D34">
        <f t="shared" si="2"/>
        <v>0.44999999999999996</v>
      </c>
      <c r="G34" s="7" t="s">
        <v>17</v>
      </c>
    </row>
    <row r="35" spans="1:7" x14ac:dyDescent="0.3">
      <c r="A35" t="s">
        <v>90</v>
      </c>
      <c r="B35" s="3">
        <v>0.15</v>
      </c>
      <c r="C35">
        <v>2</v>
      </c>
      <c r="D35">
        <f t="shared" si="2"/>
        <v>0.3</v>
      </c>
      <c r="G35" s="7" t="s">
        <v>34</v>
      </c>
    </row>
    <row r="36" spans="1:7" x14ac:dyDescent="0.3">
      <c r="A36" t="s">
        <v>203</v>
      </c>
      <c r="B36" s="3">
        <v>0.05</v>
      </c>
      <c r="C36">
        <v>4</v>
      </c>
      <c r="D36">
        <f t="shared" si="2"/>
        <v>0.2</v>
      </c>
      <c r="G36" s="7" t="s">
        <v>35</v>
      </c>
    </row>
    <row r="37" spans="1:7" x14ac:dyDescent="0.3">
      <c r="A37" t="s">
        <v>204</v>
      </c>
      <c r="B37" s="3">
        <v>0.05</v>
      </c>
      <c r="C37">
        <v>3</v>
      </c>
      <c r="D37">
        <f t="shared" si="2"/>
        <v>0.15000000000000002</v>
      </c>
      <c r="G37" s="7" t="s">
        <v>36</v>
      </c>
    </row>
    <row r="38" spans="1:7" x14ac:dyDescent="0.3">
      <c r="A38" t="s">
        <v>89</v>
      </c>
      <c r="B38" s="3">
        <v>0.1</v>
      </c>
      <c r="C38">
        <v>4</v>
      </c>
      <c r="D38">
        <f t="shared" si="2"/>
        <v>0.4</v>
      </c>
      <c r="G38" s="7" t="s">
        <v>37</v>
      </c>
    </row>
    <row r="39" spans="1:7" x14ac:dyDescent="0.3">
      <c r="A39" t="s">
        <v>88</v>
      </c>
      <c r="B39" s="3">
        <v>0.15</v>
      </c>
      <c r="C39">
        <v>3</v>
      </c>
      <c r="D39">
        <f>C39*B39</f>
        <v>0.44999999999999996</v>
      </c>
      <c r="G39" s="7" t="s">
        <v>38</v>
      </c>
    </row>
    <row r="40" spans="1:7" ht="15" thickBot="1" x14ac:dyDescent="0.35">
      <c r="B40" s="4">
        <f>SUM(B31:B39)</f>
        <v>1</v>
      </c>
      <c r="D40" s="6">
        <f>SUM(D31:D39)</f>
        <v>2.8999999999999995</v>
      </c>
      <c r="G40" s="7" t="s">
        <v>39</v>
      </c>
    </row>
    <row r="41" spans="1:7" ht="15" thickTop="1" x14ac:dyDescent="0.3">
      <c r="G41" s="7" t="s">
        <v>16</v>
      </c>
    </row>
    <row r="42" spans="1:7" x14ac:dyDescent="0.3">
      <c r="A42" t="s">
        <v>105</v>
      </c>
      <c r="G42" s="7" t="s">
        <v>17</v>
      </c>
    </row>
    <row r="43" spans="1:7" x14ac:dyDescent="0.3">
      <c r="A43" s="1" t="s">
        <v>0</v>
      </c>
      <c r="B43" s="1" t="s">
        <v>1</v>
      </c>
      <c r="C43" s="1" t="s">
        <v>201</v>
      </c>
      <c r="D43" s="1" t="s">
        <v>3</v>
      </c>
      <c r="G43" s="7" t="s">
        <v>40</v>
      </c>
    </row>
    <row r="44" spans="1:7" x14ac:dyDescent="0.3">
      <c r="A44" t="s">
        <v>205</v>
      </c>
      <c r="B44" s="3">
        <v>0.15</v>
      </c>
      <c r="C44">
        <v>3</v>
      </c>
      <c r="D44">
        <f>C44*B44</f>
        <v>0.44999999999999996</v>
      </c>
      <c r="G44" s="7" t="s">
        <v>41</v>
      </c>
    </row>
    <row r="45" spans="1:7" x14ac:dyDescent="0.3">
      <c r="A45" t="s">
        <v>202</v>
      </c>
      <c r="B45" s="3">
        <v>0.1</v>
      </c>
      <c r="C45">
        <v>3</v>
      </c>
      <c r="D45">
        <f t="shared" ref="D45:D51" si="3">C45*B45</f>
        <v>0.30000000000000004</v>
      </c>
      <c r="G45" s="7" t="s">
        <v>42</v>
      </c>
    </row>
    <row r="46" spans="1:7" x14ac:dyDescent="0.3">
      <c r="A46" t="s">
        <v>206</v>
      </c>
      <c r="B46" s="3">
        <v>0.1</v>
      </c>
      <c r="C46">
        <v>3</v>
      </c>
      <c r="D46">
        <f t="shared" si="3"/>
        <v>0.30000000000000004</v>
      </c>
      <c r="G46" s="7" t="s">
        <v>43</v>
      </c>
    </row>
    <row r="47" spans="1:7" x14ac:dyDescent="0.3">
      <c r="A47" t="s">
        <v>91</v>
      </c>
      <c r="B47" s="3">
        <v>0.15</v>
      </c>
      <c r="C47">
        <v>3</v>
      </c>
      <c r="D47">
        <f t="shared" si="3"/>
        <v>0.44999999999999996</v>
      </c>
      <c r="G47" s="7" t="s">
        <v>44</v>
      </c>
    </row>
    <row r="48" spans="1:7" x14ac:dyDescent="0.3">
      <c r="A48" t="s">
        <v>90</v>
      </c>
      <c r="B48" s="3">
        <v>0.15</v>
      </c>
      <c r="C48">
        <v>4</v>
      </c>
      <c r="D48">
        <f t="shared" si="3"/>
        <v>0.6</v>
      </c>
      <c r="G48" s="7" t="s">
        <v>29</v>
      </c>
    </row>
    <row r="49" spans="1:7" x14ac:dyDescent="0.3">
      <c r="A49" t="s">
        <v>203</v>
      </c>
      <c r="B49" s="3">
        <v>0.05</v>
      </c>
      <c r="C49">
        <v>4</v>
      </c>
      <c r="D49">
        <f t="shared" si="3"/>
        <v>0.2</v>
      </c>
      <c r="G49" s="7" t="s">
        <v>45</v>
      </c>
    </row>
    <row r="50" spans="1:7" x14ac:dyDescent="0.3">
      <c r="A50" t="s">
        <v>204</v>
      </c>
      <c r="B50" s="3">
        <v>0.05</v>
      </c>
      <c r="C50">
        <v>4</v>
      </c>
      <c r="D50">
        <f t="shared" si="3"/>
        <v>0.2</v>
      </c>
      <c r="G50" s="7" t="s">
        <v>46</v>
      </c>
    </row>
    <row r="51" spans="1:7" x14ac:dyDescent="0.3">
      <c r="A51" t="s">
        <v>89</v>
      </c>
      <c r="B51" s="3">
        <v>0.1</v>
      </c>
      <c r="C51">
        <v>3</v>
      </c>
      <c r="D51">
        <f t="shared" si="3"/>
        <v>0.30000000000000004</v>
      </c>
      <c r="G51" s="7" t="s">
        <v>47</v>
      </c>
    </row>
    <row r="52" spans="1:7" x14ac:dyDescent="0.3">
      <c r="A52" t="s">
        <v>88</v>
      </c>
      <c r="B52" s="3">
        <v>0.15</v>
      </c>
      <c r="C52">
        <v>3</v>
      </c>
      <c r="D52">
        <f>C52*B52</f>
        <v>0.44999999999999996</v>
      </c>
      <c r="G52" s="7" t="s">
        <v>48</v>
      </c>
    </row>
    <row r="53" spans="1:7" ht="15" thickBot="1" x14ac:dyDescent="0.35">
      <c r="B53" s="4">
        <f>SUM(B44:B52)</f>
        <v>1</v>
      </c>
      <c r="D53" s="6">
        <f>SUM(D44:D52)</f>
        <v>3.2500000000000009</v>
      </c>
      <c r="G53" s="7" t="s">
        <v>16</v>
      </c>
    </row>
    <row r="54" spans="1:7" ht="15" thickTop="1" x14ac:dyDescent="0.3">
      <c r="G54" s="7" t="s">
        <v>17</v>
      </c>
    </row>
    <row r="55" spans="1:7" x14ac:dyDescent="0.3">
      <c r="A55" t="s">
        <v>106</v>
      </c>
      <c r="G55" s="7" t="s">
        <v>49</v>
      </c>
    </row>
    <row r="56" spans="1:7" x14ac:dyDescent="0.3">
      <c r="A56" s="1" t="s">
        <v>0</v>
      </c>
      <c r="B56" s="1" t="s">
        <v>1</v>
      </c>
      <c r="C56" s="1" t="s">
        <v>201</v>
      </c>
      <c r="D56" s="1" t="s">
        <v>3</v>
      </c>
      <c r="G56" s="7" t="s">
        <v>50</v>
      </c>
    </row>
    <row r="57" spans="1:7" x14ac:dyDescent="0.3">
      <c r="A57" t="s">
        <v>205</v>
      </c>
      <c r="B57" s="3">
        <v>0.15</v>
      </c>
      <c r="C57">
        <v>3</v>
      </c>
      <c r="D57">
        <f>C57*B57</f>
        <v>0.44999999999999996</v>
      </c>
      <c r="G57" s="7" t="s">
        <v>51</v>
      </c>
    </row>
    <row r="58" spans="1:7" x14ac:dyDescent="0.3">
      <c r="A58" t="s">
        <v>202</v>
      </c>
      <c r="B58" s="3">
        <v>0.1</v>
      </c>
      <c r="C58">
        <v>3</v>
      </c>
      <c r="D58">
        <f>C58*B58</f>
        <v>0.30000000000000004</v>
      </c>
      <c r="G58" s="7" t="s">
        <v>52</v>
      </c>
    </row>
    <row r="59" spans="1:7" x14ac:dyDescent="0.3">
      <c r="A59" t="s">
        <v>206</v>
      </c>
      <c r="B59" s="3">
        <v>0.1</v>
      </c>
      <c r="C59">
        <v>3</v>
      </c>
      <c r="D59">
        <f>C59*B59</f>
        <v>0.30000000000000004</v>
      </c>
      <c r="G59" s="7" t="s">
        <v>53</v>
      </c>
    </row>
    <row r="60" spans="1:7" x14ac:dyDescent="0.3">
      <c r="A60" t="s">
        <v>91</v>
      </c>
      <c r="B60" s="3">
        <v>0.15</v>
      </c>
      <c r="C60">
        <v>3</v>
      </c>
      <c r="D60">
        <f>C60*B60</f>
        <v>0.44999999999999996</v>
      </c>
      <c r="G60" s="7" t="s">
        <v>54</v>
      </c>
    </row>
    <row r="61" spans="1:7" x14ac:dyDescent="0.3">
      <c r="A61" t="s">
        <v>90</v>
      </c>
      <c r="B61" s="3">
        <v>0.15</v>
      </c>
      <c r="C61">
        <v>2</v>
      </c>
      <c r="D61">
        <f>C61*B61</f>
        <v>0.3</v>
      </c>
      <c r="G61" s="7" t="s">
        <v>29</v>
      </c>
    </row>
    <row r="62" spans="1:7" x14ac:dyDescent="0.3">
      <c r="A62" t="s">
        <v>203</v>
      </c>
      <c r="B62" s="3">
        <v>0.05</v>
      </c>
      <c r="C62">
        <v>4</v>
      </c>
      <c r="D62">
        <f>C62*B62</f>
        <v>0.2</v>
      </c>
      <c r="G62" s="7" t="s">
        <v>55</v>
      </c>
    </row>
    <row r="63" spans="1:7" x14ac:dyDescent="0.3">
      <c r="A63" t="s">
        <v>204</v>
      </c>
      <c r="B63" s="3">
        <v>0.05</v>
      </c>
      <c r="C63">
        <v>3</v>
      </c>
      <c r="D63">
        <f>C63*B63</f>
        <v>0.15000000000000002</v>
      </c>
      <c r="G63" s="7" t="s">
        <v>56</v>
      </c>
    </row>
    <row r="64" spans="1:7" x14ac:dyDescent="0.3">
      <c r="A64" t="s">
        <v>89</v>
      </c>
      <c r="B64" s="3">
        <v>0.1</v>
      </c>
      <c r="C64">
        <v>4</v>
      </c>
      <c r="D64">
        <f>C64*B64</f>
        <v>0.4</v>
      </c>
      <c r="G64" s="7" t="s">
        <v>57</v>
      </c>
    </row>
    <row r="65" spans="1:7" x14ac:dyDescent="0.3">
      <c r="A65" t="s">
        <v>88</v>
      </c>
      <c r="B65" s="3">
        <v>0.15</v>
      </c>
      <c r="C65">
        <v>3</v>
      </c>
      <c r="D65">
        <f>C65*B65</f>
        <v>0.44999999999999996</v>
      </c>
      <c r="G65" s="7" t="s">
        <v>53</v>
      </c>
    </row>
    <row r="66" spans="1:7" ht="15" thickBot="1" x14ac:dyDescent="0.35">
      <c r="B66" s="4">
        <f>SUM(B57:B65)</f>
        <v>1</v>
      </c>
      <c r="D66" s="6">
        <f>SUM(D57:D65)</f>
        <v>3</v>
      </c>
      <c r="G66" s="7" t="s">
        <v>54</v>
      </c>
    </row>
    <row r="67" spans="1:7" ht="15" thickTop="1" x14ac:dyDescent="0.3">
      <c r="G67" s="7" t="s">
        <v>29</v>
      </c>
    </row>
    <row r="68" spans="1:7" x14ac:dyDescent="0.3">
      <c r="A68" t="s">
        <v>107</v>
      </c>
      <c r="G68" s="7" t="s">
        <v>58</v>
      </c>
    </row>
    <row r="69" spans="1:7" x14ac:dyDescent="0.3">
      <c r="A69" s="1" t="s">
        <v>0</v>
      </c>
      <c r="B69" s="1" t="s">
        <v>1</v>
      </c>
      <c r="C69" s="1" t="s">
        <v>201</v>
      </c>
      <c r="D69" s="1" t="s">
        <v>3</v>
      </c>
      <c r="G69" s="7" t="s">
        <v>59</v>
      </c>
    </row>
    <row r="70" spans="1:7" x14ac:dyDescent="0.3">
      <c r="A70" t="s">
        <v>205</v>
      </c>
      <c r="B70" s="3">
        <v>0.15</v>
      </c>
      <c r="C70">
        <v>3</v>
      </c>
      <c r="D70">
        <f>C70*B70</f>
        <v>0.44999999999999996</v>
      </c>
      <c r="G70" s="7" t="s">
        <v>60</v>
      </c>
    </row>
    <row r="71" spans="1:7" x14ac:dyDescent="0.3">
      <c r="A71" t="s">
        <v>202</v>
      </c>
      <c r="B71" s="3">
        <v>0.1</v>
      </c>
      <c r="C71">
        <v>2</v>
      </c>
      <c r="D71">
        <f>C71*B71</f>
        <v>0.2</v>
      </c>
      <c r="G71" s="7" t="s">
        <v>53</v>
      </c>
    </row>
    <row r="72" spans="1:7" x14ac:dyDescent="0.3">
      <c r="A72" t="s">
        <v>206</v>
      </c>
      <c r="B72" s="3">
        <v>0.1</v>
      </c>
      <c r="C72">
        <v>3</v>
      </c>
      <c r="D72">
        <f>C72*B72</f>
        <v>0.30000000000000004</v>
      </c>
      <c r="G72" s="7" t="s">
        <v>54</v>
      </c>
    </row>
    <row r="73" spans="1:7" x14ac:dyDescent="0.3">
      <c r="A73" t="s">
        <v>91</v>
      </c>
      <c r="B73" s="3">
        <v>0.15</v>
      </c>
      <c r="C73">
        <v>3</v>
      </c>
      <c r="D73">
        <f>C73*B73</f>
        <v>0.44999999999999996</v>
      </c>
      <c r="G73" s="7" t="s">
        <v>29</v>
      </c>
    </row>
    <row r="74" spans="1:7" x14ac:dyDescent="0.3">
      <c r="A74" t="s">
        <v>90</v>
      </c>
      <c r="B74" s="3">
        <v>0.15</v>
      </c>
      <c r="C74">
        <v>2</v>
      </c>
      <c r="D74">
        <f>C74*B74</f>
        <v>0.3</v>
      </c>
      <c r="G74" s="7" t="s">
        <v>61</v>
      </c>
    </row>
    <row r="75" spans="1:7" x14ac:dyDescent="0.3">
      <c r="A75" t="s">
        <v>203</v>
      </c>
      <c r="B75" s="3">
        <v>0.05</v>
      </c>
      <c r="C75">
        <v>4</v>
      </c>
      <c r="D75">
        <f>C75*B75</f>
        <v>0.2</v>
      </c>
      <c r="G75" s="7" t="s">
        <v>62</v>
      </c>
    </row>
    <row r="76" spans="1:7" x14ac:dyDescent="0.3">
      <c r="A76" t="s">
        <v>204</v>
      </c>
      <c r="B76" s="3">
        <v>0.05</v>
      </c>
      <c r="C76">
        <v>4</v>
      </c>
      <c r="D76">
        <f>C76*B76</f>
        <v>0.2</v>
      </c>
      <c r="G76" s="7" t="s">
        <v>63</v>
      </c>
    </row>
    <row r="77" spans="1:7" x14ac:dyDescent="0.3">
      <c r="A77" t="s">
        <v>89</v>
      </c>
      <c r="B77" s="3">
        <v>0.1</v>
      </c>
      <c r="C77">
        <v>4</v>
      </c>
      <c r="D77">
        <f>C77*B77</f>
        <v>0.4</v>
      </c>
      <c r="G77" s="7" t="s">
        <v>53</v>
      </c>
    </row>
    <row r="78" spans="1:7" x14ac:dyDescent="0.3">
      <c r="A78" t="s">
        <v>88</v>
      </c>
      <c r="B78" s="3">
        <v>0.15</v>
      </c>
      <c r="C78">
        <v>4</v>
      </c>
      <c r="D78">
        <f>C78*B78</f>
        <v>0.6</v>
      </c>
      <c r="G78" s="7" t="s">
        <v>54</v>
      </c>
    </row>
    <row r="79" spans="1:7" ht="15" thickBot="1" x14ac:dyDescent="0.35">
      <c r="B79" s="4">
        <f>SUM(B70:B78)</f>
        <v>1</v>
      </c>
      <c r="D79" s="6">
        <f>SUM(D70:D78)</f>
        <v>3.1</v>
      </c>
      <c r="G79" s="7" t="s">
        <v>29</v>
      </c>
    </row>
    <row r="80" spans="1:7" ht="15" thickTop="1" x14ac:dyDescent="0.3">
      <c r="G80" s="7" t="s">
        <v>64</v>
      </c>
    </row>
    <row r="81" spans="1:7" x14ac:dyDescent="0.3">
      <c r="A81" t="s">
        <v>108</v>
      </c>
      <c r="G81" s="7" t="s">
        <v>65</v>
      </c>
    </row>
    <row r="82" spans="1:7" x14ac:dyDescent="0.3">
      <c r="A82" s="1" t="s">
        <v>0</v>
      </c>
      <c r="B82" s="1" t="s">
        <v>1</v>
      </c>
      <c r="C82" s="1" t="s">
        <v>201</v>
      </c>
      <c r="D82" s="1" t="s">
        <v>3</v>
      </c>
      <c r="G82" s="7" t="s">
        <v>66</v>
      </c>
    </row>
    <row r="83" spans="1:7" x14ac:dyDescent="0.3">
      <c r="A83" t="s">
        <v>205</v>
      </c>
      <c r="B83" s="3">
        <v>0.15</v>
      </c>
      <c r="C83">
        <v>3</v>
      </c>
      <c r="D83">
        <f>C83*B83</f>
        <v>0.44999999999999996</v>
      </c>
      <c r="G83" s="7" t="s">
        <v>67</v>
      </c>
    </row>
    <row r="84" spans="1:7" x14ac:dyDescent="0.3">
      <c r="A84" t="s">
        <v>202</v>
      </c>
      <c r="B84" s="3">
        <v>0.1</v>
      </c>
      <c r="C84">
        <v>4</v>
      </c>
      <c r="D84">
        <f t="shared" ref="D84:D90" si="4">C84*B84</f>
        <v>0.4</v>
      </c>
      <c r="G84" s="7" t="s">
        <v>54</v>
      </c>
    </row>
    <row r="85" spans="1:7" x14ac:dyDescent="0.3">
      <c r="A85" t="s">
        <v>206</v>
      </c>
      <c r="B85" s="3">
        <v>0.1</v>
      </c>
      <c r="C85">
        <v>3</v>
      </c>
      <c r="D85">
        <f t="shared" si="4"/>
        <v>0.30000000000000004</v>
      </c>
      <c r="G85" s="7" t="s">
        <v>29</v>
      </c>
    </row>
    <row r="86" spans="1:7" x14ac:dyDescent="0.3">
      <c r="A86" t="s">
        <v>91</v>
      </c>
      <c r="B86" s="3">
        <v>0.15</v>
      </c>
      <c r="C86">
        <v>2</v>
      </c>
      <c r="D86">
        <f t="shared" si="4"/>
        <v>0.3</v>
      </c>
      <c r="G86" s="7" t="s">
        <v>68</v>
      </c>
    </row>
    <row r="87" spans="1:7" x14ac:dyDescent="0.3">
      <c r="A87" t="s">
        <v>90</v>
      </c>
      <c r="B87" s="3">
        <v>0.15</v>
      </c>
      <c r="C87">
        <v>3</v>
      </c>
      <c r="D87">
        <f t="shared" si="4"/>
        <v>0.44999999999999996</v>
      </c>
      <c r="G87" s="7" t="s">
        <v>69</v>
      </c>
    </row>
    <row r="88" spans="1:7" x14ac:dyDescent="0.3">
      <c r="A88" t="s">
        <v>203</v>
      </c>
      <c r="B88" s="3">
        <v>0.05</v>
      </c>
      <c r="C88">
        <v>4</v>
      </c>
      <c r="D88">
        <f t="shared" si="4"/>
        <v>0.2</v>
      </c>
      <c r="G88" s="7" t="s">
        <v>70</v>
      </c>
    </row>
    <row r="89" spans="1:7" x14ac:dyDescent="0.3">
      <c r="A89" t="s">
        <v>204</v>
      </c>
      <c r="B89" s="3">
        <v>0.05</v>
      </c>
      <c r="C89">
        <v>3</v>
      </c>
      <c r="D89">
        <f t="shared" si="4"/>
        <v>0.15000000000000002</v>
      </c>
      <c r="G89" s="7" t="s">
        <v>17</v>
      </c>
    </row>
    <row r="90" spans="1:7" x14ac:dyDescent="0.3">
      <c r="A90" t="s">
        <v>89</v>
      </c>
      <c r="B90" s="3">
        <v>0.1</v>
      </c>
      <c r="C90">
        <v>4</v>
      </c>
      <c r="D90">
        <f t="shared" si="4"/>
        <v>0.4</v>
      </c>
      <c r="G90" s="7" t="s">
        <v>71</v>
      </c>
    </row>
    <row r="91" spans="1:7" x14ac:dyDescent="0.3">
      <c r="A91" t="s">
        <v>88</v>
      </c>
      <c r="B91" s="3">
        <v>0.15</v>
      </c>
      <c r="C91">
        <v>3</v>
      </c>
      <c r="D91">
        <f>C91*B91</f>
        <v>0.44999999999999996</v>
      </c>
      <c r="G91" s="7" t="s">
        <v>72</v>
      </c>
    </row>
    <row r="92" spans="1:7" ht="15" thickBot="1" x14ac:dyDescent="0.35">
      <c r="B92" s="4">
        <f>SUM(B83:B91)</f>
        <v>1</v>
      </c>
      <c r="D92" s="6">
        <f>SUM(D83:D91)</f>
        <v>3.0999999999999996</v>
      </c>
      <c r="G92" s="7" t="s">
        <v>73</v>
      </c>
    </row>
    <row r="93" spans="1:7" ht="15" thickTop="1" x14ac:dyDescent="0.3">
      <c r="G93" s="7" t="s">
        <v>74</v>
      </c>
    </row>
    <row r="94" spans="1:7" x14ac:dyDescent="0.3">
      <c r="A94" t="s">
        <v>109</v>
      </c>
      <c r="G94" s="7" t="s">
        <v>75</v>
      </c>
    </row>
    <row r="95" spans="1:7" x14ac:dyDescent="0.3">
      <c r="A95" s="1" t="s">
        <v>0</v>
      </c>
      <c r="B95" s="1" t="s">
        <v>1</v>
      </c>
      <c r="C95" s="1" t="s">
        <v>201</v>
      </c>
      <c r="D95" s="1" t="s">
        <v>3</v>
      </c>
      <c r="G95" s="7" t="s">
        <v>76</v>
      </c>
    </row>
    <row r="96" spans="1:7" x14ac:dyDescent="0.3">
      <c r="A96" t="s">
        <v>205</v>
      </c>
      <c r="B96" s="3">
        <v>0.15</v>
      </c>
      <c r="C96">
        <v>3</v>
      </c>
      <c r="D96">
        <f>C96*B96</f>
        <v>0.44999999999999996</v>
      </c>
      <c r="G96" s="7" t="s">
        <v>77</v>
      </c>
    </row>
    <row r="97" spans="1:7" x14ac:dyDescent="0.3">
      <c r="A97" t="s">
        <v>202</v>
      </c>
      <c r="B97" s="3">
        <v>0.1</v>
      </c>
      <c r="C97">
        <v>4</v>
      </c>
      <c r="D97">
        <f t="shared" ref="D97:D103" si="5">C97*B97</f>
        <v>0.4</v>
      </c>
    </row>
    <row r="98" spans="1:7" x14ac:dyDescent="0.3">
      <c r="A98" t="s">
        <v>206</v>
      </c>
      <c r="B98" s="3">
        <v>0.1</v>
      </c>
      <c r="C98">
        <v>3</v>
      </c>
      <c r="D98">
        <f t="shared" si="5"/>
        <v>0.30000000000000004</v>
      </c>
      <c r="G98" s="7" t="s">
        <v>215</v>
      </c>
    </row>
    <row r="99" spans="1:7" x14ac:dyDescent="0.3">
      <c r="A99" t="s">
        <v>91</v>
      </c>
      <c r="B99" s="3">
        <v>0.15</v>
      </c>
      <c r="C99">
        <v>3</v>
      </c>
      <c r="D99">
        <f t="shared" si="5"/>
        <v>0.44999999999999996</v>
      </c>
    </row>
    <row r="100" spans="1:7" x14ac:dyDescent="0.3">
      <c r="A100" t="s">
        <v>90</v>
      </c>
      <c r="B100" s="3">
        <v>0.15</v>
      </c>
      <c r="C100">
        <v>3</v>
      </c>
      <c r="D100">
        <f t="shared" si="5"/>
        <v>0.44999999999999996</v>
      </c>
      <c r="G100" s="7" t="s">
        <v>216</v>
      </c>
    </row>
    <row r="101" spans="1:7" x14ac:dyDescent="0.3">
      <c r="A101" t="s">
        <v>203</v>
      </c>
      <c r="B101" s="3">
        <v>0.05</v>
      </c>
      <c r="C101">
        <v>3</v>
      </c>
      <c r="D101">
        <f t="shared" si="5"/>
        <v>0.15000000000000002</v>
      </c>
      <c r="G101" s="13" t="s">
        <v>217</v>
      </c>
    </row>
    <row r="102" spans="1:7" x14ac:dyDescent="0.3">
      <c r="A102" t="s">
        <v>204</v>
      </c>
      <c r="B102" s="3">
        <v>0.05</v>
      </c>
      <c r="C102">
        <v>3</v>
      </c>
      <c r="D102">
        <f t="shared" si="5"/>
        <v>0.15000000000000002</v>
      </c>
      <c r="G102" s="13" t="s">
        <v>218</v>
      </c>
    </row>
    <row r="103" spans="1:7" x14ac:dyDescent="0.3">
      <c r="A103" t="s">
        <v>89</v>
      </c>
      <c r="B103" s="3">
        <v>0.1</v>
      </c>
      <c r="C103">
        <v>3</v>
      </c>
      <c r="D103">
        <f t="shared" si="5"/>
        <v>0.30000000000000004</v>
      </c>
      <c r="G103" s="13" t="s">
        <v>219</v>
      </c>
    </row>
    <row r="104" spans="1:7" x14ac:dyDescent="0.3">
      <c r="A104" t="s">
        <v>88</v>
      </c>
      <c r="B104" s="3">
        <v>0.15</v>
      </c>
      <c r="C104">
        <v>3</v>
      </c>
      <c r="D104">
        <f>C104*B104</f>
        <v>0.44999999999999996</v>
      </c>
      <c r="G104" s="13" t="s">
        <v>220</v>
      </c>
    </row>
    <row r="105" spans="1:7" ht="15" thickBot="1" x14ac:dyDescent="0.35">
      <c r="B105" s="4">
        <f>SUM(B96:B104)</f>
        <v>1</v>
      </c>
      <c r="D105" s="6">
        <f>SUM(D96:D104)</f>
        <v>3.0999999999999996</v>
      </c>
    </row>
    <row r="106" spans="1:7" ht="15" thickTop="1" x14ac:dyDescent="0.3">
      <c r="G106" s="7" t="s">
        <v>221</v>
      </c>
    </row>
    <row r="107" spans="1:7" x14ac:dyDescent="0.3">
      <c r="A107" t="s">
        <v>110</v>
      </c>
      <c r="G107" s="13" t="s">
        <v>222</v>
      </c>
    </row>
    <row r="108" spans="1:7" x14ac:dyDescent="0.3">
      <c r="A108" s="1" t="s">
        <v>0</v>
      </c>
      <c r="B108" s="1" t="s">
        <v>1</v>
      </c>
      <c r="C108" s="1" t="s">
        <v>201</v>
      </c>
      <c r="D108" s="1" t="s">
        <v>3</v>
      </c>
      <c r="G108" s="13" t="s">
        <v>223</v>
      </c>
    </row>
    <row r="109" spans="1:7" x14ac:dyDescent="0.3">
      <c r="A109" t="s">
        <v>205</v>
      </c>
      <c r="B109" s="3">
        <v>0.15</v>
      </c>
      <c r="C109">
        <v>3</v>
      </c>
      <c r="D109">
        <f>C109*B109</f>
        <v>0.44999999999999996</v>
      </c>
      <c r="G109" s="13" t="s">
        <v>224</v>
      </c>
    </row>
    <row r="110" spans="1:7" x14ac:dyDescent="0.3">
      <c r="A110" t="s">
        <v>202</v>
      </c>
      <c r="B110" s="3">
        <v>0.1</v>
      </c>
      <c r="C110">
        <v>2</v>
      </c>
      <c r="D110">
        <f t="shared" ref="D110:D116" si="6">C110*B110</f>
        <v>0.2</v>
      </c>
      <c r="G110" s="13" t="s">
        <v>225</v>
      </c>
    </row>
    <row r="111" spans="1:7" x14ac:dyDescent="0.3">
      <c r="A111" t="s">
        <v>206</v>
      </c>
      <c r="B111" s="3">
        <v>0.1</v>
      </c>
      <c r="C111">
        <v>3</v>
      </c>
      <c r="D111">
        <f t="shared" si="6"/>
        <v>0.30000000000000004</v>
      </c>
      <c r="G111" s="13" t="s">
        <v>226</v>
      </c>
    </row>
    <row r="112" spans="1:7" x14ac:dyDescent="0.3">
      <c r="A112" t="s">
        <v>91</v>
      </c>
      <c r="B112" s="3">
        <v>0.15</v>
      </c>
      <c r="C112">
        <v>3</v>
      </c>
      <c r="D112">
        <f t="shared" si="6"/>
        <v>0.44999999999999996</v>
      </c>
      <c r="G112" s="13" t="s">
        <v>227</v>
      </c>
    </row>
    <row r="113" spans="1:7" x14ac:dyDescent="0.3">
      <c r="A113" t="s">
        <v>90</v>
      </c>
      <c r="B113" s="3">
        <v>0.15</v>
      </c>
      <c r="C113">
        <v>3</v>
      </c>
      <c r="D113">
        <f t="shared" si="6"/>
        <v>0.44999999999999996</v>
      </c>
      <c r="G113" s="13" t="s">
        <v>228</v>
      </c>
    </row>
    <row r="114" spans="1:7" x14ac:dyDescent="0.3">
      <c r="A114" t="s">
        <v>203</v>
      </c>
      <c r="B114" s="3">
        <v>0.05</v>
      </c>
      <c r="C114">
        <v>4</v>
      </c>
      <c r="D114">
        <f t="shared" si="6"/>
        <v>0.2</v>
      </c>
      <c r="G114" s="13" t="s">
        <v>229</v>
      </c>
    </row>
    <row r="115" spans="1:7" x14ac:dyDescent="0.3">
      <c r="A115" t="s">
        <v>204</v>
      </c>
      <c r="B115" s="3">
        <v>0.05</v>
      </c>
      <c r="C115">
        <v>3</v>
      </c>
      <c r="D115">
        <f t="shared" si="6"/>
        <v>0.15000000000000002</v>
      </c>
      <c r="G115" s="13" t="s">
        <v>230</v>
      </c>
    </row>
    <row r="116" spans="1:7" x14ac:dyDescent="0.3">
      <c r="A116" t="s">
        <v>89</v>
      </c>
      <c r="B116" s="3">
        <v>0.1</v>
      </c>
      <c r="C116">
        <v>4</v>
      </c>
      <c r="D116">
        <f t="shared" si="6"/>
        <v>0.4</v>
      </c>
    </row>
    <row r="117" spans="1:7" x14ac:dyDescent="0.3">
      <c r="A117" t="s">
        <v>88</v>
      </c>
      <c r="B117" s="3">
        <v>0.15</v>
      </c>
      <c r="C117">
        <v>3</v>
      </c>
      <c r="D117">
        <f>C117*B117</f>
        <v>0.44999999999999996</v>
      </c>
      <c r="G117" s="7" t="s">
        <v>231</v>
      </c>
    </row>
    <row r="118" spans="1:7" ht="15" thickBot="1" x14ac:dyDescent="0.35">
      <c r="B118" s="4">
        <f>SUM(B109:B117)</f>
        <v>1</v>
      </c>
      <c r="D118" s="6">
        <f>SUM(D109:D117)</f>
        <v>3.05</v>
      </c>
      <c r="G118" s="7" t="s">
        <v>232</v>
      </c>
    </row>
    <row r="119" spans="1:7" ht="15" thickTop="1" x14ac:dyDescent="0.3"/>
    <row r="120" spans="1:7" x14ac:dyDescent="0.3">
      <c r="G120" s="7" t="s">
        <v>233</v>
      </c>
    </row>
    <row r="121" spans="1:7" x14ac:dyDescent="0.3">
      <c r="G121" s="13" t="s">
        <v>234</v>
      </c>
    </row>
    <row r="122" spans="1:7" x14ac:dyDescent="0.3">
      <c r="G122" s="13" t="s">
        <v>235</v>
      </c>
    </row>
    <row r="123" spans="1:7" x14ac:dyDescent="0.3">
      <c r="G123" s="13" t="s">
        <v>236</v>
      </c>
    </row>
    <row r="125" spans="1:7" x14ac:dyDescent="0.3">
      <c r="G125" s="7" t="s">
        <v>237</v>
      </c>
    </row>
    <row r="127" spans="1:7" x14ac:dyDescent="0.3">
      <c r="G127" s="7" t="s">
        <v>238</v>
      </c>
    </row>
    <row r="128" spans="1:7" x14ac:dyDescent="0.3">
      <c r="G128" s="13" t="s">
        <v>239</v>
      </c>
    </row>
    <row r="129" spans="7:7" x14ac:dyDescent="0.3">
      <c r="G129" s="13" t="s">
        <v>240</v>
      </c>
    </row>
    <row r="130" spans="7:7" x14ac:dyDescent="0.3">
      <c r="G130" s="13" t="s">
        <v>241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35"/>
  <sheetViews>
    <sheetView topLeftCell="E21" workbookViewId="0">
      <selection activeCell="C118" sqref="C118"/>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2</v>
      </c>
      <c r="D5">
        <f>C5*B5</f>
        <v>0.3</v>
      </c>
      <c r="G5" s="7" t="s">
        <v>7</v>
      </c>
    </row>
    <row r="6" spans="1:7" x14ac:dyDescent="0.3">
      <c r="A6" t="s">
        <v>202</v>
      </c>
      <c r="B6" s="3">
        <v>0.1</v>
      </c>
      <c r="C6">
        <v>2</v>
      </c>
      <c r="D6">
        <f t="shared" ref="D6:D12" si="0">C6*B6</f>
        <v>0.2</v>
      </c>
      <c r="G6" s="7" t="s">
        <v>78</v>
      </c>
    </row>
    <row r="7" spans="1:7" x14ac:dyDescent="0.3">
      <c r="A7" t="s">
        <v>206</v>
      </c>
      <c r="B7" s="3">
        <v>0.1</v>
      </c>
      <c r="C7">
        <v>2</v>
      </c>
      <c r="D7">
        <f t="shared" si="0"/>
        <v>0.2</v>
      </c>
      <c r="G7" s="7" t="s">
        <v>112</v>
      </c>
    </row>
    <row r="8" spans="1:7" x14ac:dyDescent="0.3">
      <c r="A8" t="s">
        <v>91</v>
      </c>
      <c r="B8" s="3">
        <v>0.15</v>
      </c>
      <c r="C8">
        <v>2</v>
      </c>
      <c r="D8">
        <f t="shared" si="0"/>
        <v>0.3</v>
      </c>
      <c r="G8" s="7" t="s">
        <v>79</v>
      </c>
    </row>
    <row r="9" spans="1:7" x14ac:dyDescent="0.3">
      <c r="A9" t="s">
        <v>90</v>
      </c>
      <c r="B9" s="3">
        <v>0.15</v>
      </c>
      <c r="C9">
        <v>2</v>
      </c>
      <c r="D9">
        <f t="shared" si="0"/>
        <v>0.3</v>
      </c>
      <c r="G9" s="7" t="s">
        <v>113</v>
      </c>
    </row>
    <row r="10" spans="1:7" x14ac:dyDescent="0.3">
      <c r="A10" t="s">
        <v>203</v>
      </c>
      <c r="B10" s="3">
        <v>0.05</v>
      </c>
      <c r="C10">
        <v>4</v>
      </c>
      <c r="D10">
        <f t="shared" si="0"/>
        <v>0.2</v>
      </c>
      <c r="G10" s="7" t="s">
        <v>114</v>
      </c>
    </row>
    <row r="11" spans="1:7" x14ac:dyDescent="0.3">
      <c r="A11" t="s">
        <v>204</v>
      </c>
      <c r="B11" s="3">
        <v>0.05</v>
      </c>
      <c r="C11">
        <v>3</v>
      </c>
      <c r="D11">
        <f t="shared" si="0"/>
        <v>0.15000000000000002</v>
      </c>
      <c r="G11" s="7" t="s">
        <v>80</v>
      </c>
    </row>
    <row r="12" spans="1:7" x14ac:dyDescent="0.3">
      <c r="A12" t="s">
        <v>89</v>
      </c>
      <c r="B12" s="3">
        <v>0.1</v>
      </c>
      <c r="C12">
        <v>4</v>
      </c>
      <c r="D12">
        <f t="shared" si="0"/>
        <v>0.4</v>
      </c>
      <c r="G12" s="7" t="s">
        <v>115</v>
      </c>
    </row>
    <row r="13" spans="1:7" x14ac:dyDescent="0.3">
      <c r="A13" t="s">
        <v>88</v>
      </c>
      <c r="B13" s="3">
        <v>0.15</v>
      </c>
      <c r="C13">
        <v>3</v>
      </c>
      <c r="D13">
        <f>C13*B13</f>
        <v>0.44999999999999996</v>
      </c>
      <c r="G13" s="7" t="s">
        <v>116</v>
      </c>
    </row>
    <row r="14" spans="1:7" ht="15" thickBot="1" x14ac:dyDescent="0.35">
      <c r="B14" s="4">
        <f>SUM(B5:B13)</f>
        <v>1</v>
      </c>
      <c r="D14" s="6">
        <f>SUM(D5:D13)</f>
        <v>2.5</v>
      </c>
      <c r="G14" s="7" t="s">
        <v>16</v>
      </c>
    </row>
    <row r="15" spans="1:7" ht="15" thickTop="1" x14ac:dyDescent="0.3">
      <c r="G15" s="7" t="s">
        <v>17</v>
      </c>
    </row>
    <row r="16" spans="1:7" x14ac:dyDescent="0.3">
      <c r="A16" t="s">
        <v>103</v>
      </c>
      <c r="G16" s="7" t="s">
        <v>18</v>
      </c>
    </row>
    <row r="17" spans="1:7" x14ac:dyDescent="0.3">
      <c r="A17" s="1" t="s">
        <v>0</v>
      </c>
      <c r="B17" s="1" t="s">
        <v>1</v>
      </c>
      <c r="C17" s="1" t="s">
        <v>201</v>
      </c>
      <c r="D17" s="1" t="s">
        <v>3</v>
      </c>
      <c r="G17" s="7" t="s">
        <v>117</v>
      </c>
    </row>
    <row r="18" spans="1:7" x14ac:dyDescent="0.3">
      <c r="A18" t="s">
        <v>205</v>
      </c>
      <c r="B18" s="3">
        <v>0.15</v>
      </c>
      <c r="C18">
        <v>3</v>
      </c>
      <c r="D18">
        <f>C18*B18</f>
        <v>0.44999999999999996</v>
      </c>
      <c r="G18" s="7" t="s">
        <v>20</v>
      </c>
    </row>
    <row r="19" spans="1:7" x14ac:dyDescent="0.3">
      <c r="A19" t="s">
        <v>202</v>
      </c>
      <c r="B19" s="3">
        <v>0.1</v>
      </c>
      <c r="C19">
        <v>3</v>
      </c>
      <c r="D19">
        <f t="shared" ref="D19:D25" si="1">C19*B19</f>
        <v>0.30000000000000004</v>
      </c>
      <c r="G19" s="7" t="s">
        <v>21</v>
      </c>
    </row>
    <row r="20" spans="1:7" x14ac:dyDescent="0.3">
      <c r="A20" t="s">
        <v>206</v>
      </c>
      <c r="B20" s="3">
        <v>0.1</v>
      </c>
      <c r="C20">
        <v>2</v>
      </c>
      <c r="D20">
        <f t="shared" si="1"/>
        <v>0.2</v>
      </c>
      <c r="G20" s="7" t="s">
        <v>118</v>
      </c>
    </row>
    <row r="21" spans="1:7" x14ac:dyDescent="0.3">
      <c r="A21" t="s">
        <v>91</v>
      </c>
      <c r="B21" s="3">
        <v>0.15</v>
      </c>
      <c r="C21">
        <v>2</v>
      </c>
      <c r="D21">
        <f t="shared" si="1"/>
        <v>0.3</v>
      </c>
      <c r="G21" s="7" t="s">
        <v>119</v>
      </c>
    </row>
    <row r="22" spans="1:7" x14ac:dyDescent="0.3">
      <c r="A22" t="s">
        <v>90</v>
      </c>
      <c r="B22" s="3">
        <v>0.15</v>
      </c>
      <c r="C22">
        <v>2</v>
      </c>
      <c r="D22">
        <f t="shared" si="1"/>
        <v>0.3</v>
      </c>
      <c r="G22" s="7" t="s">
        <v>17</v>
      </c>
    </row>
    <row r="23" spans="1:7" x14ac:dyDescent="0.3">
      <c r="A23" t="s">
        <v>203</v>
      </c>
      <c r="B23" s="3">
        <v>0.05</v>
      </c>
      <c r="C23">
        <v>4</v>
      </c>
      <c r="D23">
        <f t="shared" si="1"/>
        <v>0.2</v>
      </c>
      <c r="G23" s="7" t="s">
        <v>24</v>
      </c>
    </row>
    <row r="24" spans="1:7" x14ac:dyDescent="0.3">
      <c r="A24" t="s">
        <v>204</v>
      </c>
      <c r="B24" s="3">
        <v>0.05</v>
      </c>
      <c r="C24">
        <v>3</v>
      </c>
      <c r="D24">
        <f t="shared" si="1"/>
        <v>0.15000000000000002</v>
      </c>
      <c r="G24" s="7" t="s">
        <v>25</v>
      </c>
    </row>
    <row r="25" spans="1:7" x14ac:dyDescent="0.3">
      <c r="A25" t="s">
        <v>89</v>
      </c>
      <c r="B25" s="3">
        <v>0.1</v>
      </c>
      <c r="C25">
        <v>4</v>
      </c>
      <c r="D25">
        <f t="shared" si="1"/>
        <v>0.4</v>
      </c>
      <c r="G25" s="7" t="s">
        <v>120</v>
      </c>
    </row>
    <row r="26" spans="1:7" x14ac:dyDescent="0.3">
      <c r="A26" t="s">
        <v>88</v>
      </c>
      <c r="B26" s="3">
        <v>0.15</v>
      </c>
      <c r="C26">
        <v>3</v>
      </c>
      <c r="D26">
        <f>C26*B26</f>
        <v>0.44999999999999996</v>
      </c>
      <c r="G26" s="7" t="s">
        <v>121</v>
      </c>
    </row>
    <row r="27" spans="1:7" ht="15" thickBot="1" x14ac:dyDescent="0.35">
      <c r="B27" s="4">
        <f>SUM(B18:B26)</f>
        <v>1</v>
      </c>
      <c r="D27" s="6">
        <f>SUM(D18:D26)</f>
        <v>2.75</v>
      </c>
      <c r="G27" s="7" t="s">
        <v>122</v>
      </c>
    </row>
    <row r="28" spans="1:7" ht="15" thickTop="1" x14ac:dyDescent="0.3">
      <c r="G28" s="7" t="s">
        <v>29</v>
      </c>
    </row>
    <row r="29" spans="1:7" x14ac:dyDescent="0.3">
      <c r="A29" t="s">
        <v>104</v>
      </c>
      <c r="G29" s="7" t="s">
        <v>123</v>
      </c>
    </row>
    <row r="30" spans="1:7" x14ac:dyDescent="0.3">
      <c r="A30" s="1" t="s">
        <v>0</v>
      </c>
      <c r="B30" s="1" t="s">
        <v>1</v>
      </c>
      <c r="C30" s="1" t="s">
        <v>201</v>
      </c>
      <c r="D30" s="1" t="s">
        <v>3</v>
      </c>
      <c r="G30" s="7" t="s">
        <v>31</v>
      </c>
    </row>
    <row r="31" spans="1:7" x14ac:dyDescent="0.3">
      <c r="A31" t="s">
        <v>205</v>
      </c>
      <c r="B31" s="3">
        <v>0.15</v>
      </c>
      <c r="C31">
        <v>2</v>
      </c>
      <c r="D31">
        <f>C31*B31</f>
        <v>0.3</v>
      </c>
      <c r="G31" s="7" t="s">
        <v>124</v>
      </c>
    </row>
    <row r="32" spans="1:7" x14ac:dyDescent="0.3">
      <c r="A32" t="s">
        <v>202</v>
      </c>
      <c r="B32" s="3">
        <v>0.1</v>
      </c>
      <c r="C32">
        <v>2</v>
      </c>
      <c r="D32">
        <f t="shared" ref="D32:D38" si="2">C32*B32</f>
        <v>0.2</v>
      </c>
      <c r="G32" s="7" t="s">
        <v>125</v>
      </c>
    </row>
    <row r="33" spans="1:7" x14ac:dyDescent="0.3">
      <c r="A33" t="s">
        <v>206</v>
      </c>
      <c r="B33" s="3">
        <v>0.1</v>
      </c>
      <c r="C33">
        <v>3</v>
      </c>
      <c r="D33">
        <f t="shared" si="2"/>
        <v>0.30000000000000004</v>
      </c>
      <c r="G33" s="7" t="s">
        <v>17</v>
      </c>
    </row>
    <row r="34" spans="1:7" x14ac:dyDescent="0.3">
      <c r="A34" t="s">
        <v>91</v>
      </c>
      <c r="B34" s="3">
        <v>0.15</v>
      </c>
      <c r="C34">
        <v>3</v>
      </c>
      <c r="D34">
        <f t="shared" si="2"/>
        <v>0.44999999999999996</v>
      </c>
      <c r="G34" s="7" t="s">
        <v>34</v>
      </c>
    </row>
    <row r="35" spans="1:7" x14ac:dyDescent="0.3">
      <c r="A35" t="s">
        <v>90</v>
      </c>
      <c r="B35" s="3">
        <v>0.15</v>
      </c>
      <c r="C35">
        <v>2</v>
      </c>
      <c r="D35">
        <f t="shared" si="2"/>
        <v>0.3</v>
      </c>
      <c r="G35" s="7" t="s">
        <v>126</v>
      </c>
    </row>
    <row r="36" spans="1:7" x14ac:dyDescent="0.3">
      <c r="A36" t="s">
        <v>203</v>
      </c>
      <c r="B36" s="3">
        <v>0.05</v>
      </c>
      <c r="C36">
        <v>4</v>
      </c>
      <c r="D36">
        <f t="shared" si="2"/>
        <v>0.2</v>
      </c>
      <c r="G36" s="7" t="s">
        <v>36</v>
      </c>
    </row>
    <row r="37" spans="1:7" x14ac:dyDescent="0.3">
      <c r="A37" t="s">
        <v>204</v>
      </c>
      <c r="B37" s="3">
        <v>0.05</v>
      </c>
      <c r="C37">
        <v>4</v>
      </c>
      <c r="D37">
        <f t="shared" si="2"/>
        <v>0.2</v>
      </c>
      <c r="G37" s="7" t="s">
        <v>127</v>
      </c>
    </row>
    <row r="38" spans="1:7" x14ac:dyDescent="0.3">
      <c r="A38" t="s">
        <v>89</v>
      </c>
      <c r="B38" s="3">
        <v>0.1</v>
      </c>
      <c r="C38">
        <v>3</v>
      </c>
      <c r="D38">
        <f t="shared" si="2"/>
        <v>0.30000000000000004</v>
      </c>
      <c r="G38" s="7" t="s">
        <v>128</v>
      </c>
    </row>
    <row r="39" spans="1:7" x14ac:dyDescent="0.3">
      <c r="A39" t="s">
        <v>88</v>
      </c>
      <c r="B39" s="3">
        <v>0.15</v>
      </c>
      <c r="C39">
        <v>2</v>
      </c>
      <c r="D39">
        <f>C39*B39</f>
        <v>0.3</v>
      </c>
      <c r="G39" s="7" t="s">
        <v>39</v>
      </c>
    </row>
    <row r="40" spans="1:7" ht="15" thickBot="1" x14ac:dyDescent="0.35">
      <c r="B40" s="4">
        <f>SUM(B31:B39)</f>
        <v>1</v>
      </c>
      <c r="D40" s="6">
        <f>SUM(D31:D39)</f>
        <v>2.5499999999999998</v>
      </c>
      <c r="G40" s="7" t="s">
        <v>16</v>
      </c>
    </row>
    <row r="41" spans="1:7" ht="15" thickTop="1" x14ac:dyDescent="0.3">
      <c r="G41" s="7" t="s">
        <v>17</v>
      </c>
    </row>
    <row r="42" spans="1:7" x14ac:dyDescent="0.3">
      <c r="A42" t="s">
        <v>105</v>
      </c>
      <c r="G42" s="7" t="s">
        <v>40</v>
      </c>
    </row>
    <row r="43" spans="1:7" x14ac:dyDescent="0.3">
      <c r="A43" s="1" t="s">
        <v>0</v>
      </c>
      <c r="B43" s="1" t="s">
        <v>1</v>
      </c>
      <c r="C43" s="1" t="s">
        <v>201</v>
      </c>
      <c r="D43" s="1" t="s">
        <v>3</v>
      </c>
      <c r="G43" s="7" t="s">
        <v>41</v>
      </c>
    </row>
    <row r="44" spans="1:7" x14ac:dyDescent="0.3">
      <c r="A44" t="s">
        <v>205</v>
      </c>
      <c r="B44" s="3">
        <v>0.15</v>
      </c>
      <c r="C44">
        <v>3</v>
      </c>
      <c r="D44">
        <f>C44*B44</f>
        <v>0.44999999999999996</v>
      </c>
      <c r="G44" s="7" t="s">
        <v>129</v>
      </c>
    </row>
    <row r="45" spans="1:7" x14ac:dyDescent="0.3">
      <c r="A45" t="s">
        <v>202</v>
      </c>
      <c r="B45" s="3">
        <v>0.1</v>
      </c>
      <c r="C45">
        <v>4</v>
      </c>
      <c r="D45">
        <f t="shared" ref="D45:D51" si="3">C45*B45</f>
        <v>0.4</v>
      </c>
      <c r="G45" s="7" t="s">
        <v>130</v>
      </c>
    </row>
    <row r="46" spans="1:7" x14ac:dyDescent="0.3">
      <c r="A46" t="s">
        <v>206</v>
      </c>
      <c r="B46" s="3">
        <v>0.1</v>
      </c>
      <c r="C46">
        <v>3</v>
      </c>
      <c r="D46">
        <f t="shared" si="3"/>
        <v>0.30000000000000004</v>
      </c>
      <c r="G46" s="7" t="s">
        <v>131</v>
      </c>
    </row>
    <row r="47" spans="1:7" x14ac:dyDescent="0.3">
      <c r="A47" t="s">
        <v>91</v>
      </c>
      <c r="B47" s="3">
        <v>0.15</v>
      </c>
      <c r="C47">
        <v>3</v>
      </c>
      <c r="D47">
        <f t="shared" si="3"/>
        <v>0.44999999999999996</v>
      </c>
      <c r="G47" s="7" t="s">
        <v>29</v>
      </c>
    </row>
    <row r="48" spans="1:7" x14ac:dyDescent="0.3">
      <c r="A48" t="s">
        <v>90</v>
      </c>
      <c r="B48" s="3">
        <v>0.15</v>
      </c>
      <c r="C48">
        <v>2</v>
      </c>
      <c r="D48">
        <f t="shared" si="3"/>
        <v>0.3</v>
      </c>
      <c r="G48" s="7" t="s">
        <v>45</v>
      </c>
    </row>
    <row r="49" spans="1:7" x14ac:dyDescent="0.3">
      <c r="A49" t="s">
        <v>203</v>
      </c>
      <c r="B49" s="3">
        <v>0.05</v>
      </c>
      <c r="C49">
        <v>4</v>
      </c>
      <c r="D49">
        <f t="shared" si="3"/>
        <v>0.2</v>
      </c>
      <c r="G49" s="7" t="s">
        <v>132</v>
      </c>
    </row>
    <row r="50" spans="1:7" x14ac:dyDescent="0.3">
      <c r="A50" t="s">
        <v>204</v>
      </c>
      <c r="B50" s="3">
        <v>0.05</v>
      </c>
      <c r="C50">
        <v>3</v>
      </c>
      <c r="D50">
        <f t="shared" si="3"/>
        <v>0.15000000000000002</v>
      </c>
      <c r="G50" s="7" t="s">
        <v>133</v>
      </c>
    </row>
    <row r="51" spans="1:7" x14ac:dyDescent="0.3">
      <c r="A51" t="s">
        <v>89</v>
      </c>
      <c r="B51" s="3">
        <v>0.1</v>
      </c>
      <c r="C51">
        <v>4</v>
      </c>
      <c r="D51">
        <f t="shared" si="3"/>
        <v>0.4</v>
      </c>
      <c r="G51" s="7" t="s">
        <v>134</v>
      </c>
    </row>
    <row r="52" spans="1:7" x14ac:dyDescent="0.3">
      <c r="A52" t="s">
        <v>88</v>
      </c>
      <c r="B52" s="3">
        <v>0.15</v>
      </c>
      <c r="C52">
        <v>4</v>
      </c>
      <c r="D52">
        <f>C52*B52</f>
        <v>0.6</v>
      </c>
      <c r="G52" s="7" t="s">
        <v>16</v>
      </c>
    </row>
    <row r="53" spans="1:7" ht="15" thickBot="1" x14ac:dyDescent="0.35">
      <c r="B53" s="4">
        <f>SUM(B44:B52)</f>
        <v>1</v>
      </c>
      <c r="D53" s="6">
        <f>SUM(D44:D52)</f>
        <v>3.25</v>
      </c>
      <c r="G53" s="7" t="s">
        <v>17</v>
      </c>
    </row>
    <row r="54" spans="1:7" ht="15" thickTop="1" x14ac:dyDescent="0.3">
      <c r="G54" s="7" t="s">
        <v>49</v>
      </c>
    </row>
    <row r="55" spans="1:7" x14ac:dyDescent="0.3">
      <c r="A55" t="s">
        <v>106</v>
      </c>
      <c r="G55" s="7" t="s">
        <v>135</v>
      </c>
    </row>
    <row r="56" spans="1:7" x14ac:dyDescent="0.3">
      <c r="A56" s="1" t="s">
        <v>0</v>
      </c>
      <c r="B56" s="1" t="s">
        <v>1</v>
      </c>
      <c r="C56" s="1" t="s">
        <v>201</v>
      </c>
      <c r="D56" s="1" t="s">
        <v>3</v>
      </c>
      <c r="G56" s="7" t="s">
        <v>136</v>
      </c>
    </row>
    <row r="57" spans="1:7" x14ac:dyDescent="0.3">
      <c r="A57" t="s">
        <v>205</v>
      </c>
      <c r="B57" s="3">
        <v>0.15</v>
      </c>
      <c r="C57">
        <v>4</v>
      </c>
      <c r="D57">
        <f>C57*B57</f>
        <v>0.6</v>
      </c>
      <c r="G57" s="7" t="s">
        <v>137</v>
      </c>
    </row>
    <row r="58" spans="1:7" x14ac:dyDescent="0.3">
      <c r="A58" t="s">
        <v>202</v>
      </c>
      <c r="B58" s="3">
        <v>0.1</v>
      </c>
      <c r="C58">
        <v>3</v>
      </c>
      <c r="D58">
        <f t="shared" ref="D58:D64" si="4">C58*B58</f>
        <v>0.30000000000000004</v>
      </c>
      <c r="G58" s="7" t="s">
        <v>67</v>
      </c>
    </row>
    <row r="59" spans="1:7" x14ac:dyDescent="0.3">
      <c r="A59" t="s">
        <v>206</v>
      </c>
      <c r="B59" s="3">
        <v>0.1</v>
      </c>
      <c r="C59">
        <v>3</v>
      </c>
      <c r="D59">
        <f t="shared" si="4"/>
        <v>0.30000000000000004</v>
      </c>
      <c r="G59" s="7" t="s">
        <v>54</v>
      </c>
    </row>
    <row r="60" spans="1:7" x14ac:dyDescent="0.3">
      <c r="A60" t="s">
        <v>91</v>
      </c>
      <c r="B60" s="3">
        <v>0.15</v>
      </c>
      <c r="C60">
        <v>3</v>
      </c>
      <c r="D60">
        <f t="shared" si="4"/>
        <v>0.44999999999999996</v>
      </c>
      <c r="G60" s="7" t="s">
        <v>29</v>
      </c>
    </row>
    <row r="61" spans="1:7" x14ac:dyDescent="0.3">
      <c r="A61" t="s">
        <v>90</v>
      </c>
      <c r="B61" s="3">
        <v>0.15</v>
      </c>
      <c r="C61">
        <v>2</v>
      </c>
      <c r="D61">
        <f t="shared" si="4"/>
        <v>0.3</v>
      </c>
      <c r="G61" s="7" t="s">
        <v>83</v>
      </c>
    </row>
    <row r="62" spans="1:7" x14ac:dyDescent="0.3">
      <c r="A62" t="s">
        <v>203</v>
      </c>
      <c r="B62" s="3">
        <v>0.05</v>
      </c>
      <c r="C62">
        <v>4</v>
      </c>
      <c r="D62">
        <f t="shared" si="4"/>
        <v>0.2</v>
      </c>
      <c r="G62" s="7" t="s">
        <v>138</v>
      </c>
    </row>
    <row r="63" spans="1:7" x14ac:dyDescent="0.3">
      <c r="A63" t="s">
        <v>204</v>
      </c>
      <c r="B63" s="3">
        <v>0.05</v>
      </c>
      <c r="C63">
        <v>3</v>
      </c>
      <c r="D63">
        <f t="shared" si="4"/>
        <v>0.15000000000000002</v>
      </c>
      <c r="G63" s="7" t="s">
        <v>139</v>
      </c>
    </row>
    <row r="64" spans="1:7" x14ac:dyDescent="0.3">
      <c r="A64" t="s">
        <v>89</v>
      </c>
      <c r="B64" s="3">
        <v>0.1</v>
      </c>
      <c r="C64">
        <v>4</v>
      </c>
      <c r="D64">
        <f t="shared" si="4"/>
        <v>0.4</v>
      </c>
      <c r="G64" s="7" t="s">
        <v>67</v>
      </c>
    </row>
    <row r="65" spans="1:7" x14ac:dyDescent="0.3">
      <c r="A65" t="s">
        <v>88</v>
      </c>
      <c r="B65" s="3">
        <v>0.15</v>
      </c>
      <c r="C65">
        <v>3</v>
      </c>
      <c r="D65">
        <f>C65*B65</f>
        <v>0.44999999999999996</v>
      </c>
      <c r="G65" s="7" t="s">
        <v>54</v>
      </c>
    </row>
    <row r="66" spans="1:7" ht="15" thickBot="1" x14ac:dyDescent="0.35">
      <c r="B66" s="4">
        <f>SUM(B57:B65)</f>
        <v>1</v>
      </c>
      <c r="D66" s="6">
        <f>SUM(D57:D65)</f>
        <v>3.1500000000000004</v>
      </c>
      <c r="G66" s="7" t="s">
        <v>29</v>
      </c>
    </row>
    <row r="67" spans="1:7" ht="15" thickTop="1" x14ac:dyDescent="0.3">
      <c r="G67" s="7" t="s">
        <v>81</v>
      </c>
    </row>
    <row r="68" spans="1:7" x14ac:dyDescent="0.3">
      <c r="A68" t="s">
        <v>107</v>
      </c>
      <c r="G68" s="7" t="s">
        <v>140</v>
      </c>
    </row>
    <row r="69" spans="1:7" x14ac:dyDescent="0.3">
      <c r="A69" s="1" t="s">
        <v>0</v>
      </c>
      <c r="B69" s="1" t="s">
        <v>1</v>
      </c>
      <c r="C69" s="1" t="s">
        <v>201</v>
      </c>
      <c r="D69" s="1" t="s">
        <v>3</v>
      </c>
      <c r="G69" s="7" t="s">
        <v>141</v>
      </c>
    </row>
    <row r="70" spans="1:7" x14ac:dyDescent="0.3">
      <c r="A70" t="s">
        <v>205</v>
      </c>
      <c r="B70" s="3">
        <v>0.15</v>
      </c>
      <c r="C70">
        <v>3</v>
      </c>
      <c r="D70">
        <f>C70*B70</f>
        <v>0.44999999999999996</v>
      </c>
      <c r="G70" s="7" t="s">
        <v>67</v>
      </c>
    </row>
    <row r="71" spans="1:7" x14ac:dyDescent="0.3">
      <c r="A71" t="s">
        <v>202</v>
      </c>
      <c r="B71" s="3">
        <v>0.1</v>
      </c>
      <c r="C71">
        <v>2</v>
      </c>
      <c r="D71">
        <f t="shared" ref="D71:D77" si="5">C71*B71</f>
        <v>0.2</v>
      </c>
      <c r="G71" s="7" t="s">
        <v>54</v>
      </c>
    </row>
    <row r="72" spans="1:7" x14ac:dyDescent="0.3">
      <c r="A72" t="s">
        <v>206</v>
      </c>
      <c r="B72" s="3">
        <v>0.1</v>
      </c>
      <c r="C72">
        <v>4</v>
      </c>
      <c r="D72">
        <f t="shared" si="5"/>
        <v>0.4</v>
      </c>
      <c r="G72" s="7" t="s">
        <v>29</v>
      </c>
    </row>
    <row r="73" spans="1:7" x14ac:dyDescent="0.3">
      <c r="A73" t="s">
        <v>91</v>
      </c>
      <c r="B73" s="3">
        <v>0.15</v>
      </c>
      <c r="C73">
        <v>4</v>
      </c>
      <c r="D73">
        <f t="shared" si="5"/>
        <v>0.6</v>
      </c>
      <c r="G73" s="7" t="s">
        <v>50</v>
      </c>
    </row>
    <row r="74" spans="1:7" x14ac:dyDescent="0.3">
      <c r="A74" t="s">
        <v>90</v>
      </c>
      <c r="B74" s="3">
        <v>0.15</v>
      </c>
      <c r="C74">
        <v>3</v>
      </c>
      <c r="D74">
        <f t="shared" si="5"/>
        <v>0.44999999999999996</v>
      </c>
      <c r="G74" s="7" t="s">
        <v>142</v>
      </c>
    </row>
    <row r="75" spans="1:7" x14ac:dyDescent="0.3">
      <c r="A75" t="s">
        <v>203</v>
      </c>
      <c r="B75" s="3">
        <v>0.05</v>
      </c>
      <c r="C75">
        <v>3</v>
      </c>
      <c r="D75">
        <f t="shared" si="5"/>
        <v>0.15000000000000002</v>
      </c>
      <c r="G75" s="7" t="s">
        <v>143</v>
      </c>
    </row>
    <row r="76" spans="1:7" x14ac:dyDescent="0.3">
      <c r="A76" t="s">
        <v>204</v>
      </c>
      <c r="B76" s="3">
        <v>0.05</v>
      </c>
      <c r="C76">
        <v>4</v>
      </c>
      <c r="D76">
        <f t="shared" si="5"/>
        <v>0.2</v>
      </c>
      <c r="G76" s="7" t="s">
        <v>67</v>
      </c>
    </row>
    <row r="77" spans="1:7" x14ac:dyDescent="0.3">
      <c r="A77" t="s">
        <v>89</v>
      </c>
      <c r="B77" s="3">
        <v>0.1</v>
      </c>
      <c r="C77">
        <v>4</v>
      </c>
      <c r="D77">
        <f t="shared" si="5"/>
        <v>0.4</v>
      </c>
      <c r="G77" s="7" t="s">
        <v>54</v>
      </c>
    </row>
    <row r="78" spans="1:7" x14ac:dyDescent="0.3">
      <c r="A78" t="s">
        <v>88</v>
      </c>
      <c r="B78" s="3">
        <v>0.15</v>
      </c>
      <c r="C78">
        <v>3</v>
      </c>
      <c r="D78">
        <f>C78*B78</f>
        <v>0.44999999999999996</v>
      </c>
      <c r="G78" s="7" t="s">
        <v>29</v>
      </c>
    </row>
    <row r="79" spans="1:7" ht="15" thickBot="1" x14ac:dyDescent="0.35">
      <c r="B79" s="4">
        <f>SUM(B70:B78)</f>
        <v>1</v>
      </c>
      <c r="D79" s="6">
        <f>SUM(D70:D78)</f>
        <v>3.3</v>
      </c>
      <c r="G79" s="7" t="s">
        <v>82</v>
      </c>
    </row>
    <row r="80" spans="1:7" ht="15" thickTop="1" x14ac:dyDescent="0.3">
      <c r="G80" s="7" t="s">
        <v>144</v>
      </c>
    </row>
    <row r="81" spans="1:7" x14ac:dyDescent="0.3">
      <c r="A81" t="s">
        <v>108</v>
      </c>
      <c r="G81" s="7" t="s">
        <v>145</v>
      </c>
    </row>
    <row r="82" spans="1:7" x14ac:dyDescent="0.3">
      <c r="A82" s="1" t="s">
        <v>0</v>
      </c>
      <c r="B82" s="1" t="s">
        <v>1</v>
      </c>
      <c r="C82" s="1" t="s">
        <v>201</v>
      </c>
      <c r="D82" s="1" t="s">
        <v>3</v>
      </c>
      <c r="G82" s="7" t="s">
        <v>67</v>
      </c>
    </row>
    <row r="83" spans="1:7" x14ac:dyDescent="0.3">
      <c r="A83" t="s">
        <v>205</v>
      </c>
      <c r="B83" s="3">
        <v>0.15</v>
      </c>
      <c r="C83">
        <v>3</v>
      </c>
      <c r="D83">
        <f>C83*B83</f>
        <v>0.44999999999999996</v>
      </c>
      <c r="G83" s="7" t="s">
        <v>54</v>
      </c>
    </row>
    <row r="84" spans="1:7" x14ac:dyDescent="0.3">
      <c r="A84" t="s">
        <v>202</v>
      </c>
      <c r="B84" s="3">
        <v>0.1</v>
      </c>
      <c r="C84">
        <v>2</v>
      </c>
      <c r="D84">
        <f t="shared" ref="D84:D90" si="6">C84*B84</f>
        <v>0.2</v>
      </c>
      <c r="G84" s="7" t="s">
        <v>29</v>
      </c>
    </row>
    <row r="85" spans="1:7" x14ac:dyDescent="0.3">
      <c r="A85" t="s">
        <v>206</v>
      </c>
      <c r="B85" s="3">
        <v>0.1</v>
      </c>
      <c r="C85">
        <v>3</v>
      </c>
      <c r="D85">
        <f t="shared" si="6"/>
        <v>0.30000000000000004</v>
      </c>
      <c r="G85" s="7" t="s">
        <v>146</v>
      </c>
    </row>
    <row r="86" spans="1:7" x14ac:dyDescent="0.3">
      <c r="A86" t="s">
        <v>91</v>
      </c>
      <c r="B86" s="3">
        <v>0.15</v>
      </c>
      <c r="C86">
        <v>3</v>
      </c>
      <c r="D86">
        <f t="shared" si="6"/>
        <v>0.44999999999999996</v>
      </c>
      <c r="G86" s="7" t="s">
        <v>147</v>
      </c>
    </row>
    <row r="87" spans="1:7" x14ac:dyDescent="0.3">
      <c r="A87" t="s">
        <v>90</v>
      </c>
      <c r="B87" s="3">
        <v>0.15</v>
      </c>
      <c r="C87">
        <v>3</v>
      </c>
      <c r="D87">
        <f t="shared" si="6"/>
        <v>0.44999999999999996</v>
      </c>
      <c r="G87" s="7" t="s">
        <v>148</v>
      </c>
    </row>
    <row r="88" spans="1:7" x14ac:dyDescent="0.3">
      <c r="A88" t="s">
        <v>203</v>
      </c>
      <c r="B88" s="3">
        <v>0.05</v>
      </c>
      <c r="C88">
        <v>4</v>
      </c>
      <c r="D88">
        <f t="shared" si="6"/>
        <v>0.2</v>
      </c>
      <c r="G88" s="7" t="s">
        <v>67</v>
      </c>
    </row>
    <row r="89" spans="1:7" x14ac:dyDescent="0.3">
      <c r="A89" t="s">
        <v>204</v>
      </c>
      <c r="B89" s="3">
        <v>0.05</v>
      </c>
      <c r="C89">
        <v>4</v>
      </c>
      <c r="D89">
        <f t="shared" si="6"/>
        <v>0.2</v>
      </c>
      <c r="G89" s="7" t="s">
        <v>54</v>
      </c>
    </row>
    <row r="90" spans="1:7" x14ac:dyDescent="0.3">
      <c r="A90" t="s">
        <v>89</v>
      </c>
      <c r="B90" s="3">
        <v>0.1</v>
      </c>
      <c r="C90">
        <v>3</v>
      </c>
      <c r="D90">
        <f t="shared" si="6"/>
        <v>0.30000000000000004</v>
      </c>
      <c r="G90" s="7" t="s">
        <v>29</v>
      </c>
    </row>
    <row r="91" spans="1:7" x14ac:dyDescent="0.3">
      <c r="A91" t="s">
        <v>88</v>
      </c>
      <c r="B91" s="3">
        <v>0.15</v>
      </c>
      <c r="C91">
        <v>3</v>
      </c>
      <c r="D91">
        <f>C91*B91</f>
        <v>0.44999999999999996</v>
      </c>
      <c r="G91" s="7" t="s">
        <v>68</v>
      </c>
    </row>
    <row r="92" spans="1:7" ht="15" thickBot="1" x14ac:dyDescent="0.35">
      <c r="B92" s="4">
        <f>SUM(B83:B91)</f>
        <v>1</v>
      </c>
      <c r="D92" s="6">
        <f>SUM(D83:D91)</f>
        <v>3</v>
      </c>
      <c r="G92" s="7" t="s">
        <v>149</v>
      </c>
    </row>
    <row r="93" spans="1:7" ht="15" thickTop="1" x14ac:dyDescent="0.3">
      <c r="G93" s="7" t="s">
        <v>70</v>
      </c>
    </row>
    <row r="94" spans="1:7" x14ac:dyDescent="0.3">
      <c r="A94" t="s">
        <v>109</v>
      </c>
      <c r="G94" s="7" t="s">
        <v>17</v>
      </c>
    </row>
    <row r="95" spans="1:7" x14ac:dyDescent="0.3">
      <c r="A95" s="1" t="s">
        <v>0</v>
      </c>
      <c r="B95" s="1" t="s">
        <v>1</v>
      </c>
      <c r="C95" s="1" t="s">
        <v>201</v>
      </c>
      <c r="D95" s="1" t="s">
        <v>3</v>
      </c>
      <c r="G95" s="7" t="s">
        <v>71</v>
      </c>
    </row>
    <row r="96" spans="1:7" x14ac:dyDescent="0.3">
      <c r="A96" t="s">
        <v>205</v>
      </c>
      <c r="B96" s="3">
        <v>0.15</v>
      </c>
      <c r="C96">
        <v>3</v>
      </c>
      <c r="D96">
        <f>C96*B96</f>
        <v>0.44999999999999996</v>
      </c>
      <c r="G96" s="7" t="s">
        <v>150</v>
      </c>
    </row>
    <row r="97" spans="1:7" x14ac:dyDescent="0.3">
      <c r="A97" t="s">
        <v>202</v>
      </c>
      <c r="B97" s="3">
        <v>0.1</v>
      </c>
      <c r="C97">
        <v>3</v>
      </c>
      <c r="D97">
        <f t="shared" ref="D97:D103" si="7">C97*B97</f>
        <v>0.30000000000000004</v>
      </c>
      <c r="G97" s="7" t="s">
        <v>151</v>
      </c>
    </row>
    <row r="98" spans="1:7" x14ac:dyDescent="0.3">
      <c r="A98" t="s">
        <v>206</v>
      </c>
      <c r="B98" s="3">
        <v>0.1</v>
      </c>
      <c r="C98">
        <v>2</v>
      </c>
      <c r="D98">
        <f t="shared" si="7"/>
        <v>0.2</v>
      </c>
      <c r="G98" s="7" t="s">
        <v>84</v>
      </c>
    </row>
    <row r="99" spans="1:7" x14ac:dyDescent="0.3">
      <c r="A99" t="s">
        <v>91</v>
      </c>
      <c r="B99" s="3">
        <v>0.15</v>
      </c>
      <c r="C99">
        <v>3</v>
      </c>
      <c r="D99">
        <f t="shared" si="7"/>
        <v>0.44999999999999996</v>
      </c>
      <c r="G99" s="7" t="s">
        <v>152</v>
      </c>
    </row>
    <row r="100" spans="1:7" x14ac:dyDescent="0.3">
      <c r="A100" t="s">
        <v>90</v>
      </c>
      <c r="B100" s="3">
        <v>0.15</v>
      </c>
      <c r="C100">
        <v>3</v>
      </c>
      <c r="D100">
        <f t="shared" si="7"/>
        <v>0.44999999999999996</v>
      </c>
      <c r="G100" s="7" t="s">
        <v>76</v>
      </c>
    </row>
    <row r="101" spans="1:7" x14ac:dyDescent="0.3">
      <c r="A101" t="s">
        <v>203</v>
      </c>
      <c r="B101" s="3">
        <v>0.05</v>
      </c>
      <c r="C101">
        <v>3</v>
      </c>
      <c r="D101">
        <f t="shared" si="7"/>
        <v>0.15000000000000002</v>
      </c>
      <c r="G101" s="7" t="s">
        <v>77</v>
      </c>
    </row>
    <row r="102" spans="1:7" x14ac:dyDescent="0.3">
      <c r="A102" t="s">
        <v>204</v>
      </c>
      <c r="B102" s="3">
        <v>0.05</v>
      </c>
      <c r="C102">
        <v>2</v>
      </c>
      <c r="D102">
        <f t="shared" si="7"/>
        <v>0.1</v>
      </c>
    </row>
    <row r="103" spans="1:7" x14ac:dyDescent="0.3">
      <c r="A103" t="s">
        <v>89</v>
      </c>
      <c r="B103" s="3">
        <v>0.1</v>
      </c>
      <c r="C103">
        <v>4</v>
      </c>
      <c r="D103">
        <f t="shared" si="7"/>
        <v>0.4</v>
      </c>
      <c r="G103" s="7" t="s">
        <v>242</v>
      </c>
    </row>
    <row r="104" spans="1:7" x14ac:dyDescent="0.3">
      <c r="A104" t="s">
        <v>88</v>
      </c>
      <c r="B104" s="3">
        <v>0.15</v>
      </c>
      <c r="C104">
        <v>4</v>
      </c>
      <c r="D104">
        <f>C104*B104</f>
        <v>0.6</v>
      </c>
    </row>
    <row r="105" spans="1:7" ht="15" thickBot="1" x14ac:dyDescent="0.35">
      <c r="B105" s="4">
        <f>SUM(B96:B104)</f>
        <v>1</v>
      </c>
      <c r="D105" s="6">
        <f>SUM(D96:D104)</f>
        <v>3.1</v>
      </c>
      <c r="G105" s="7" t="s">
        <v>216</v>
      </c>
    </row>
    <row r="106" spans="1:7" ht="15" thickTop="1" x14ac:dyDescent="0.3">
      <c r="G106" s="13" t="s">
        <v>217</v>
      </c>
    </row>
    <row r="107" spans="1:7" x14ac:dyDescent="0.3">
      <c r="A107" t="s">
        <v>110</v>
      </c>
      <c r="G107" s="13" t="s">
        <v>218</v>
      </c>
    </row>
    <row r="108" spans="1:7" x14ac:dyDescent="0.3">
      <c r="A108" s="1" t="s">
        <v>0</v>
      </c>
      <c r="B108" s="1" t="s">
        <v>1</v>
      </c>
      <c r="C108" s="1" t="s">
        <v>201</v>
      </c>
      <c r="D108" s="1" t="s">
        <v>3</v>
      </c>
      <c r="G108" s="13" t="s">
        <v>219</v>
      </c>
    </row>
    <row r="109" spans="1:7" x14ac:dyDescent="0.3">
      <c r="A109" t="s">
        <v>205</v>
      </c>
      <c r="B109" s="3">
        <v>0.15</v>
      </c>
      <c r="C109">
        <v>3</v>
      </c>
      <c r="D109">
        <f>C109*B109</f>
        <v>0.44999999999999996</v>
      </c>
      <c r="G109" s="13" t="s">
        <v>220</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s="7" t="s">
        <v>221</v>
      </c>
    </row>
    <row r="112" spans="1:7" x14ac:dyDescent="0.3">
      <c r="A112" t="s">
        <v>91</v>
      </c>
      <c r="B112" s="3">
        <v>0.15</v>
      </c>
      <c r="C112">
        <v>3</v>
      </c>
      <c r="D112">
        <f t="shared" si="8"/>
        <v>0.44999999999999996</v>
      </c>
      <c r="G112" s="13" t="s">
        <v>222</v>
      </c>
    </row>
    <row r="113" spans="1:7" x14ac:dyDescent="0.3">
      <c r="A113" t="s">
        <v>90</v>
      </c>
      <c r="B113" s="3">
        <v>0.15</v>
      </c>
      <c r="C113">
        <v>3</v>
      </c>
      <c r="D113">
        <f t="shared" si="8"/>
        <v>0.44999999999999996</v>
      </c>
      <c r="G113" s="13" t="s">
        <v>223</v>
      </c>
    </row>
    <row r="114" spans="1:7" x14ac:dyDescent="0.3">
      <c r="A114" t="s">
        <v>203</v>
      </c>
      <c r="B114" s="3">
        <v>0.05</v>
      </c>
      <c r="C114">
        <v>4</v>
      </c>
      <c r="D114">
        <f t="shared" si="8"/>
        <v>0.2</v>
      </c>
      <c r="G114" s="13" t="s">
        <v>224</v>
      </c>
    </row>
    <row r="115" spans="1:7" x14ac:dyDescent="0.3">
      <c r="A115" t="s">
        <v>204</v>
      </c>
      <c r="B115" s="3">
        <v>0.05</v>
      </c>
      <c r="C115">
        <v>4</v>
      </c>
      <c r="D115">
        <f t="shared" si="8"/>
        <v>0.2</v>
      </c>
      <c r="G115" s="13" t="s">
        <v>243</v>
      </c>
    </row>
    <row r="116" spans="1:7" x14ac:dyDescent="0.3">
      <c r="A116" t="s">
        <v>89</v>
      </c>
      <c r="B116" s="3">
        <v>0.1</v>
      </c>
      <c r="C116">
        <v>4</v>
      </c>
      <c r="D116">
        <f t="shared" si="8"/>
        <v>0.4</v>
      </c>
      <c r="G116" s="13" t="s">
        <v>226</v>
      </c>
    </row>
    <row r="117" spans="1:7" x14ac:dyDescent="0.3">
      <c r="A117" t="s">
        <v>88</v>
      </c>
      <c r="B117" s="3">
        <v>0.15</v>
      </c>
      <c r="C117">
        <v>3</v>
      </c>
      <c r="D117">
        <f>C117*B117</f>
        <v>0.44999999999999996</v>
      </c>
      <c r="G117" s="13" t="s">
        <v>227</v>
      </c>
    </row>
    <row r="118" spans="1:7" ht="15" thickBot="1" x14ac:dyDescent="0.35">
      <c r="B118" s="4">
        <f>SUM(B109:B117)</f>
        <v>1</v>
      </c>
      <c r="D118" s="6">
        <f>SUM(D109:D117)</f>
        <v>3.0999999999999996</v>
      </c>
      <c r="G118" s="13" t="s">
        <v>228</v>
      </c>
    </row>
    <row r="119" spans="1:7" ht="15" thickTop="1" x14ac:dyDescent="0.3">
      <c r="G119" s="13" t="s">
        <v>229</v>
      </c>
    </row>
    <row r="120" spans="1:7" x14ac:dyDescent="0.3">
      <c r="G120" s="13" t="s">
        <v>230</v>
      </c>
    </row>
    <row r="122" spans="1:7" x14ac:dyDescent="0.3">
      <c r="G122" s="7" t="s">
        <v>231</v>
      </c>
    </row>
    <row r="123" spans="1:7" x14ac:dyDescent="0.3">
      <c r="G123" s="7" t="s">
        <v>232</v>
      </c>
    </row>
    <row r="125" spans="1:7" x14ac:dyDescent="0.3">
      <c r="G125" s="7" t="s">
        <v>233</v>
      </c>
    </row>
    <row r="126" spans="1:7" x14ac:dyDescent="0.3">
      <c r="G126" s="13" t="s">
        <v>234</v>
      </c>
    </row>
    <row r="127" spans="1:7" x14ac:dyDescent="0.3">
      <c r="G127" s="13" t="s">
        <v>235</v>
      </c>
    </row>
    <row r="128" spans="1:7" x14ac:dyDescent="0.3">
      <c r="G128" s="13" t="s">
        <v>236</v>
      </c>
    </row>
    <row r="130" spans="7:7" x14ac:dyDescent="0.3">
      <c r="G130" s="7" t="s">
        <v>237</v>
      </c>
    </row>
    <row r="132" spans="7:7" x14ac:dyDescent="0.3">
      <c r="G132" s="7" t="s">
        <v>238</v>
      </c>
    </row>
    <row r="133" spans="7:7" x14ac:dyDescent="0.3">
      <c r="G133" s="13" t="s">
        <v>244</v>
      </c>
    </row>
    <row r="134" spans="7:7" x14ac:dyDescent="0.3">
      <c r="G134" s="13" t="s">
        <v>245</v>
      </c>
    </row>
    <row r="135" spans="7:7" x14ac:dyDescent="0.3">
      <c r="G135" s="1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topLeftCell="D1" workbookViewId="0">
      <selection activeCell="C15" sqref="C15"/>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246</v>
      </c>
    </row>
    <row r="6" spans="1:7" x14ac:dyDescent="0.3">
      <c r="A6" t="s">
        <v>202</v>
      </c>
      <c r="B6" s="3">
        <v>0.1</v>
      </c>
      <c r="C6">
        <v>4</v>
      </c>
      <c r="D6">
        <f t="shared" ref="D6:D12" si="0">C6*B6</f>
        <v>0.4</v>
      </c>
      <c r="G6" s="7" t="s">
        <v>156</v>
      </c>
    </row>
    <row r="7" spans="1:7" x14ac:dyDescent="0.3">
      <c r="A7" t="s">
        <v>206</v>
      </c>
      <c r="B7" s="3">
        <v>0.1</v>
      </c>
      <c r="C7">
        <v>2</v>
      </c>
      <c r="D7">
        <f t="shared" si="0"/>
        <v>0.2</v>
      </c>
      <c r="G7" s="7" t="s">
        <v>247</v>
      </c>
    </row>
    <row r="8" spans="1:7" x14ac:dyDescent="0.3">
      <c r="A8" t="s">
        <v>91</v>
      </c>
      <c r="B8" s="3">
        <v>0.15</v>
      </c>
      <c r="C8">
        <v>3</v>
      </c>
      <c r="D8">
        <f t="shared" si="0"/>
        <v>0.44999999999999996</v>
      </c>
      <c r="G8" s="7" t="s">
        <v>248</v>
      </c>
    </row>
    <row r="9" spans="1:7" x14ac:dyDescent="0.3">
      <c r="A9" t="s">
        <v>90</v>
      </c>
      <c r="B9" s="3">
        <v>0.15</v>
      </c>
      <c r="C9">
        <v>3</v>
      </c>
      <c r="D9">
        <f t="shared" si="0"/>
        <v>0.44999999999999996</v>
      </c>
      <c r="G9" s="7" t="s">
        <v>249</v>
      </c>
    </row>
    <row r="10" spans="1:7" x14ac:dyDescent="0.3">
      <c r="A10" t="s">
        <v>203</v>
      </c>
      <c r="B10" s="3">
        <v>0.05</v>
      </c>
      <c r="C10">
        <v>4</v>
      </c>
      <c r="D10">
        <f t="shared" si="0"/>
        <v>0.2</v>
      </c>
      <c r="G10" s="7" t="s">
        <v>250</v>
      </c>
    </row>
    <row r="11" spans="1:7" x14ac:dyDescent="0.3">
      <c r="A11" t="s">
        <v>204</v>
      </c>
      <c r="B11" s="3">
        <v>0.05</v>
      </c>
      <c r="C11">
        <v>3</v>
      </c>
      <c r="D11">
        <f t="shared" si="0"/>
        <v>0.15000000000000002</v>
      </c>
      <c r="G11" s="7" t="s">
        <v>251</v>
      </c>
    </row>
    <row r="12" spans="1:7" x14ac:dyDescent="0.3">
      <c r="A12" t="s">
        <v>89</v>
      </c>
      <c r="B12" s="3">
        <v>0.1</v>
      </c>
      <c r="C12">
        <v>4</v>
      </c>
      <c r="D12">
        <f t="shared" si="0"/>
        <v>0.4</v>
      </c>
      <c r="G12" s="7" t="s">
        <v>252</v>
      </c>
    </row>
    <row r="13" spans="1:7" x14ac:dyDescent="0.3">
      <c r="A13" t="s">
        <v>88</v>
      </c>
      <c r="B13" s="3">
        <v>0.15</v>
      </c>
      <c r="C13">
        <v>3</v>
      </c>
      <c r="D13">
        <f>C13*B13</f>
        <v>0.44999999999999996</v>
      </c>
      <c r="G13" s="7" t="s">
        <v>253</v>
      </c>
    </row>
    <row r="14" spans="1:7" ht="15" thickBot="1" x14ac:dyDescent="0.35">
      <c r="B14" s="4">
        <f>SUM(B5:B13)</f>
        <v>1</v>
      </c>
      <c r="D14" s="6">
        <f>SUM(D5:D13)</f>
        <v>3.1499999999999995</v>
      </c>
      <c r="G14" s="7" t="s">
        <v>254</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2</v>
      </c>
      <c r="D18">
        <f>C18*B18</f>
        <v>0.3</v>
      </c>
      <c r="G18" s="7" t="s">
        <v>255</v>
      </c>
    </row>
    <row r="19" spans="1:7" x14ac:dyDescent="0.3">
      <c r="A19" t="s">
        <v>202</v>
      </c>
      <c r="B19" s="3">
        <v>0.1</v>
      </c>
      <c r="C19">
        <v>3</v>
      </c>
      <c r="D19">
        <f>C19*B19</f>
        <v>0.30000000000000004</v>
      </c>
      <c r="G19" s="7" t="s">
        <v>256</v>
      </c>
    </row>
    <row r="20" spans="1:7" x14ac:dyDescent="0.3">
      <c r="A20" t="s">
        <v>206</v>
      </c>
      <c r="B20" s="3">
        <v>0.1</v>
      </c>
      <c r="C20">
        <v>3</v>
      </c>
      <c r="D20">
        <f>C20*B20</f>
        <v>0.30000000000000004</v>
      </c>
      <c r="G20" s="7" t="s">
        <v>257</v>
      </c>
    </row>
    <row r="21" spans="1:7" x14ac:dyDescent="0.3">
      <c r="A21" t="s">
        <v>91</v>
      </c>
      <c r="B21" s="3">
        <v>0.15</v>
      </c>
      <c r="C21">
        <v>2</v>
      </c>
      <c r="D21">
        <f>C21*B21</f>
        <v>0.3</v>
      </c>
      <c r="G21" s="7" t="s">
        <v>165</v>
      </c>
    </row>
    <row r="22" spans="1:7" x14ac:dyDescent="0.3">
      <c r="A22" t="s">
        <v>90</v>
      </c>
      <c r="B22" s="3">
        <v>0.15</v>
      </c>
      <c r="C22">
        <v>2</v>
      </c>
      <c r="D22">
        <f>C22*B22</f>
        <v>0.3</v>
      </c>
      <c r="G22" s="7" t="s">
        <v>166</v>
      </c>
    </row>
    <row r="23" spans="1:7" x14ac:dyDescent="0.3">
      <c r="A23" t="s">
        <v>203</v>
      </c>
      <c r="B23" s="3">
        <v>0.05</v>
      </c>
      <c r="C23">
        <v>4</v>
      </c>
      <c r="D23">
        <f>C23*B23</f>
        <v>0.2</v>
      </c>
      <c r="G23" s="7" t="s">
        <v>169</v>
      </c>
    </row>
    <row r="24" spans="1:7" x14ac:dyDescent="0.3">
      <c r="A24" t="s">
        <v>204</v>
      </c>
      <c r="B24" s="3">
        <v>0.05</v>
      </c>
      <c r="C24">
        <v>3</v>
      </c>
      <c r="D24">
        <f>C24*B24</f>
        <v>0.15000000000000002</v>
      </c>
      <c r="G24" s="7" t="s">
        <v>170</v>
      </c>
    </row>
    <row r="25" spans="1:7" x14ac:dyDescent="0.3">
      <c r="A25" t="s">
        <v>89</v>
      </c>
      <c r="B25" s="3">
        <v>0.1</v>
      </c>
      <c r="C25">
        <v>4</v>
      </c>
      <c r="D25">
        <f>C25*B25</f>
        <v>0.4</v>
      </c>
      <c r="G25" s="7" t="s">
        <v>258</v>
      </c>
    </row>
    <row r="26" spans="1:7" x14ac:dyDescent="0.3">
      <c r="A26" t="s">
        <v>88</v>
      </c>
      <c r="B26" s="3">
        <v>0.15</v>
      </c>
      <c r="C26">
        <v>4</v>
      </c>
      <c r="D26">
        <f>C26*B26</f>
        <v>0.6</v>
      </c>
      <c r="G26" s="7" t="s">
        <v>259</v>
      </c>
    </row>
    <row r="27" spans="1:7" ht="15" thickBot="1" x14ac:dyDescent="0.35">
      <c r="B27" s="4">
        <f>SUM(B18:B26)</f>
        <v>1</v>
      </c>
      <c r="D27" s="6">
        <f>SUM(D18:D26)</f>
        <v>2.85</v>
      </c>
      <c r="G27" s="7" t="s">
        <v>166</v>
      </c>
    </row>
    <row r="28" spans="1:7" ht="15" thickTop="1" x14ac:dyDescent="0.3">
      <c r="G28" s="7" t="s">
        <v>172</v>
      </c>
    </row>
    <row r="29" spans="1:7" x14ac:dyDescent="0.3">
      <c r="A29" t="s">
        <v>104</v>
      </c>
      <c r="G29" s="7" t="s">
        <v>173</v>
      </c>
    </row>
    <row r="30" spans="1:7" x14ac:dyDescent="0.3">
      <c r="A30" s="1" t="s">
        <v>0</v>
      </c>
      <c r="B30" s="1" t="s">
        <v>1</v>
      </c>
      <c r="C30" s="1" t="s">
        <v>201</v>
      </c>
      <c r="D30" s="1" t="s">
        <v>3</v>
      </c>
      <c r="G30" s="7" t="s">
        <v>260</v>
      </c>
    </row>
    <row r="31" spans="1:7" x14ac:dyDescent="0.3">
      <c r="A31" t="s">
        <v>205</v>
      </c>
      <c r="B31" s="3">
        <v>0.15</v>
      </c>
      <c r="C31">
        <v>3</v>
      </c>
      <c r="D31">
        <f>C31*B31</f>
        <v>0.44999999999999996</v>
      </c>
      <c r="G31" s="7" t="s">
        <v>261</v>
      </c>
    </row>
    <row r="32" spans="1:7" x14ac:dyDescent="0.3">
      <c r="A32" t="s">
        <v>202</v>
      </c>
      <c r="B32" s="3">
        <v>0.1</v>
      </c>
      <c r="C32">
        <v>2</v>
      </c>
      <c r="D32">
        <f t="shared" ref="D32:D38" si="1">C32*B32</f>
        <v>0.2</v>
      </c>
      <c r="G32" s="7" t="s">
        <v>262</v>
      </c>
    </row>
    <row r="33" spans="1:7" x14ac:dyDescent="0.3">
      <c r="A33" t="s">
        <v>206</v>
      </c>
      <c r="B33" s="3">
        <v>0.1</v>
      </c>
      <c r="C33">
        <v>2</v>
      </c>
      <c r="D33">
        <f t="shared" si="1"/>
        <v>0.2</v>
      </c>
      <c r="G33" s="7" t="s">
        <v>177</v>
      </c>
    </row>
    <row r="34" spans="1:7" x14ac:dyDescent="0.3">
      <c r="A34" t="s">
        <v>91</v>
      </c>
      <c r="B34" s="3">
        <v>0.15</v>
      </c>
      <c r="C34">
        <v>3</v>
      </c>
      <c r="D34">
        <f t="shared" si="1"/>
        <v>0.44999999999999996</v>
      </c>
      <c r="G34" s="7" t="s">
        <v>178</v>
      </c>
    </row>
    <row r="35" spans="1:7" x14ac:dyDescent="0.3">
      <c r="A35" t="s">
        <v>90</v>
      </c>
      <c r="B35" s="3">
        <v>0.15</v>
      </c>
      <c r="C35">
        <v>3</v>
      </c>
      <c r="D35">
        <f t="shared" si="1"/>
        <v>0.44999999999999996</v>
      </c>
      <c r="G35" s="7" t="s">
        <v>263</v>
      </c>
    </row>
    <row r="36" spans="1:7" x14ac:dyDescent="0.3">
      <c r="A36" t="s">
        <v>203</v>
      </c>
      <c r="B36" s="3">
        <v>0.05</v>
      </c>
      <c r="C36">
        <v>4</v>
      </c>
      <c r="D36">
        <f t="shared" si="1"/>
        <v>0.2</v>
      </c>
      <c r="G36" s="7" t="s">
        <v>264</v>
      </c>
    </row>
    <row r="37" spans="1:7" x14ac:dyDescent="0.3">
      <c r="A37" t="s">
        <v>204</v>
      </c>
      <c r="B37" s="3">
        <v>0.05</v>
      </c>
      <c r="C37">
        <v>3</v>
      </c>
      <c r="D37">
        <f t="shared" si="1"/>
        <v>0.15000000000000002</v>
      </c>
      <c r="G37" s="7" t="s">
        <v>265</v>
      </c>
    </row>
    <row r="38" spans="1:7" x14ac:dyDescent="0.3">
      <c r="A38" t="s">
        <v>89</v>
      </c>
      <c r="B38" s="3">
        <v>0.1</v>
      </c>
      <c r="C38">
        <v>4</v>
      </c>
      <c r="D38">
        <f t="shared" si="1"/>
        <v>0.4</v>
      </c>
      <c r="G38" s="7" t="s">
        <v>165</v>
      </c>
    </row>
    <row r="39" spans="1:7" x14ac:dyDescent="0.3">
      <c r="A39" t="s">
        <v>88</v>
      </c>
      <c r="B39" s="3">
        <v>0.15</v>
      </c>
      <c r="C39">
        <v>3</v>
      </c>
      <c r="D39">
        <f>C39*B39</f>
        <v>0.44999999999999996</v>
      </c>
      <c r="G39" s="7" t="s">
        <v>166</v>
      </c>
    </row>
    <row r="40" spans="1:7" ht="15" thickBot="1" x14ac:dyDescent="0.35">
      <c r="B40" s="4">
        <f>SUM(B31:B39)</f>
        <v>1</v>
      </c>
      <c r="D40" s="6">
        <f>SUM(D31:D39)</f>
        <v>2.9499999999999993</v>
      </c>
      <c r="G40" s="7" t="s">
        <v>182</v>
      </c>
    </row>
    <row r="41" spans="1:7" ht="15" thickTop="1" x14ac:dyDescent="0.3">
      <c r="G41" s="7" t="s">
        <v>266</v>
      </c>
    </row>
    <row r="42" spans="1:7" x14ac:dyDescent="0.3">
      <c r="A42" t="s">
        <v>105</v>
      </c>
      <c r="G42" s="7" t="s">
        <v>267</v>
      </c>
    </row>
    <row r="43" spans="1:7" x14ac:dyDescent="0.3">
      <c r="A43" s="1" t="s">
        <v>0</v>
      </c>
      <c r="B43" s="1" t="s">
        <v>1</v>
      </c>
      <c r="C43" s="1" t="s">
        <v>201</v>
      </c>
      <c r="D43" s="1" t="s">
        <v>3</v>
      </c>
      <c r="G43" s="7" t="s">
        <v>268</v>
      </c>
    </row>
    <row r="44" spans="1:7" x14ac:dyDescent="0.3">
      <c r="A44" t="s">
        <v>205</v>
      </c>
      <c r="B44" s="3">
        <v>0.15</v>
      </c>
      <c r="C44">
        <v>3</v>
      </c>
      <c r="D44">
        <f>C44*B44</f>
        <v>0.44999999999999996</v>
      </c>
      <c r="G44" s="7" t="s">
        <v>177</v>
      </c>
    </row>
    <row r="45" spans="1:7" x14ac:dyDescent="0.3">
      <c r="A45" t="s">
        <v>202</v>
      </c>
      <c r="B45" s="3">
        <v>0.1</v>
      </c>
      <c r="C45">
        <v>2</v>
      </c>
      <c r="D45">
        <f>C45*B45</f>
        <v>0.2</v>
      </c>
      <c r="G45" s="7" t="s">
        <v>269</v>
      </c>
    </row>
    <row r="46" spans="1:7" x14ac:dyDescent="0.3">
      <c r="A46" t="s">
        <v>206</v>
      </c>
      <c r="B46" s="3">
        <v>0.1</v>
      </c>
      <c r="C46">
        <v>3</v>
      </c>
      <c r="D46">
        <f>C46*B46</f>
        <v>0.30000000000000004</v>
      </c>
      <c r="G46" s="7" t="s">
        <v>270</v>
      </c>
    </row>
    <row r="47" spans="1:7" x14ac:dyDescent="0.3">
      <c r="A47" t="s">
        <v>91</v>
      </c>
      <c r="B47" s="3">
        <v>0.15</v>
      </c>
      <c r="C47">
        <v>3</v>
      </c>
      <c r="D47">
        <f>C47*B47</f>
        <v>0.44999999999999996</v>
      </c>
      <c r="G47" s="7" t="s">
        <v>268</v>
      </c>
    </row>
    <row r="48" spans="1:7" x14ac:dyDescent="0.3">
      <c r="A48" t="s">
        <v>90</v>
      </c>
      <c r="B48" s="3">
        <v>0.15</v>
      </c>
      <c r="C48">
        <v>3</v>
      </c>
      <c r="D48">
        <f>C48*B48</f>
        <v>0.44999999999999996</v>
      </c>
      <c r="G48" s="7" t="s">
        <v>177</v>
      </c>
    </row>
    <row r="49" spans="1:7" x14ac:dyDescent="0.3">
      <c r="A49" t="s">
        <v>203</v>
      </c>
      <c r="B49" s="3">
        <v>0.05</v>
      </c>
      <c r="C49">
        <v>4</v>
      </c>
      <c r="D49">
        <f>C49*B49</f>
        <v>0.2</v>
      </c>
      <c r="G49" s="7" t="s">
        <v>271</v>
      </c>
    </row>
    <row r="50" spans="1:7" x14ac:dyDescent="0.3">
      <c r="A50" t="s">
        <v>204</v>
      </c>
      <c r="B50" s="3">
        <v>0.05</v>
      </c>
      <c r="C50">
        <v>4</v>
      </c>
      <c r="D50">
        <f>C50*B50</f>
        <v>0.2</v>
      </c>
      <c r="G50" s="7" t="s">
        <v>272</v>
      </c>
    </row>
    <row r="51" spans="1:7" x14ac:dyDescent="0.3">
      <c r="A51" t="s">
        <v>89</v>
      </c>
      <c r="B51" s="3">
        <v>0.1</v>
      </c>
      <c r="C51">
        <v>4</v>
      </c>
      <c r="D51">
        <f>C51*B51</f>
        <v>0.4</v>
      </c>
      <c r="G51" s="7" t="s">
        <v>268</v>
      </c>
    </row>
    <row r="52" spans="1:7" x14ac:dyDescent="0.3">
      <c r="A52" t="s">
        <v>88</v>
      </c>
      <c r="B52" s="3">
        <v>0.15</v>
      </c>
      <c r="C52">
        <v>4</v>
      </c>
      <c r="D52">
        <f>C52*B52</f>
        <v>0.6</v>
      </c>
      <c r="G52" s="7" t="s">
        <v>177</v>
      </c>
    </row>
    <row r="53" spans="1:7" ht="15" thickBot="1" x14ac:dyDescent="0.35">
      <c r="B53" s="4">
        <f>SUM(B44:B52)</f>
        <v>1</v>
      </c>
      <c r="D53" s="6">
        <f>SUM(D44:D52)</f>
        <v>3.25</v>
      </c>
      <c r="G53" s="7" t="s">
        <v>273</v>
      </c>
    </row>
    <row r="54" spans="1:7" ht="15" thickTop="1" x14ac:dyDescent="0.3">
      <c r="G54" s="7" t="s">
        <v>274</v>
      </c>
    </row>
    <row r="55" spans="1:7" x14ac:dyDescent="0.3">
      <c r="A55" t="s">
        <v>106</v>
      </c>
      <c r="G55" s="7" t="s">
        <v>185</v>
      </c>
    </row>
    <row r="56" spans="1:7" x14ac:dyDescent="0.3">
      <c r="A56" s="1" t="s">
        <v>0</v>
      </c>
      <c r="B56" s="1" t="s">
        <v>1</v>
      </c>
      <c r="C56" s="1" t="s">
        <v>201</v>
      </c>
      <c r="D56" s="1" t="s">
        <v>3</v>
      </c>
      <c r="G56" s="7" t="s">
        <v>165</v>
      </c>
    </row>
    <row r="57" spans="1:7" x14ac:dyDescent="0.3">
      <c r="A57" t="s">
        <v>205</v>
      </c>
      <c r="B57" s="3">
        <v>0.15</v>
      </c>
      <c r="C57">
        <v>3</v>
      </c>
      <c r="D57">
        <f>C57*B57</f>
        <v>0.44999999999999996</v>
      </c>
      <c r="G57" s="7" t="s">
        <v>166</v>
      </c>
    </row>
    <row r="58" spans="1:7" x14ac:dyDescent="0.3">
      <c r="A58" t="s">
        <v>202</v>
      </c>
      <c r="B58" s="3">
        <v>0.1</v>
      </c>
      <c r="C58">
        <v>3</v>
      </c>
      <c r="D58">
        <f t="shared" ref="D58:D64" si="2">C58*B58</f>
        <v>0.30000000000000004</v>
      </c>
      <c r="G58" s="7" t="s">
        <v>194</v>
      </c>
    </row>
    <row r="59" spans="1:7" x14ac:dyDescent="0.3">
      <c r="A59" t="s">
        <v>206</v>
      </c>
      <c r="B59" s="3">
        <v>0.1</v>
      </c>
      <c r="C59">
        <v>3</v>
      </c>
      <c r="D59">
        <f t="shared" si="2"/>
        <v>0.30000000000000004</v>
      </c>
      <c r="G59" s="7" t="s">
        <v>275</v>
      </c>
    </row>
    <row r="60" spans="1:7" x14ac:dyDescent="0.3">
      <c r="A60" t="s">
        <v>91</v>
      </c>
      <c r="B60" s="3">
        <v>0.15</v>
      </c>
      <c r="C60">
        <v>2</v>
      </c>
      <c r="D60">
        <f t="shared" si="2"/>
        <v>0.3</v>
      </c>
      <c r="G60" s="7" t="s">
        <v>276</v>
      </c>
    </row>
    <row r="61" spans="1:7" x14ac:dyDescent="0.3">
      <c r="A61" t="s">
        <v>90</v>
      </c>
      <c r="B61" s="3">
        <v>0.15</v>
      </c>
      <c r="C61">
        <v>3</v>
      </c>
      <c r="D61">
        <f t="shared" si="2"/>
        <v>0.44999999999999996</v>
      </c>
      <c r="G61" s="7" t="s">
        <v>277</v>
      </c>
    </row>
    <row r="62" spans="1:7" x14ac:dyDescent="0.3">
      <c r="A62" t="s">
        <v>203</v>
      </c>
      <c r="B62" s="3">
        <v>0.05</v>
      </c>
      <c r="C62">
        <v>4</v>
      </c>
      <c r="D62">
        <f t="shared" si="2"/>
        <v>0.2</v>
      </c>
      <c r="G62" s="7" t="s">
        <v>278</v>
      </c>
    </row>
    <row r="63" spans="1:7" x14ac:dyDescent="0.3">
      <c r="A63" t="s">
        <v>204</v>
      </c>
      <c r="B63" s="3">
        <v>0.05</v>
      </c>
      <c r="C63">
        <v>4</v>
      </c>
      <c r="D63">
        <f t="shared" si="2"/>
        <v>0.2</v>
      </c>
      <c r="G63" s="7" t="s">
        <v>199</v>
      </c>
    </row>
    <row r="64" spans="1:7" x14ac:dyDescent="0.3">
      <c r="A64" t="s">
        <v>89</v>
      </c>
      <c r="B64" s="3">
        <v>0.1</v>
      </c>
      <c r="C64">
        <v>4</v>
      </c>
      <c r="D64">
        <f t="shared" si="2"/>
        <v>0.4</v>
      </c>
      <c r="G64" s="7" t="s">
        <v>77</v>
      </c>
    </row>
    <row r="65" spans="1:7" x14ac:dyDescent="0.3">
      <c r="A65" t="s">
        <v>88</v>
      </c>
      <c r="B65" s="3">
        <v>0.15</v>
      </c>
      <c r="C65">
        <v>3</v>
      </c>
      <c r="D65">
        <f>C65*B65</f>
        <v>0.44999999999999996</v>
      </c>
      <c r="G65" s="7"/>
    </row>
    <row r="66" spans="1:7" ht="15" thickBot="1" x14ac:dyDescent="0.35">
      <c r="B66" s="4">
        <f>SUM(B57:B65)</f>
        <v>1</v>
      </c>
      <c r="D66" s="6">
        <f>SUM(D57:D65)</f>
        <v>3.05</v>
      </c>
      <c r="G66" t="s">
        <v>279</v>
      </c>
    </row>
    <row r="67" spans="1:7" ht="15" thickTop="1" x14ac:dyDescent="0.3">
      <c r="G67" s="7"/>
    </row>
    <row r="68" spans="1:7" x14ac:dyDescent="0.3">
      <c r="A68" t="s">
        <v>107</v>
      </c>
      <c r="G68" s="7" t="s">
        <v>280</v>
      </c>
    </row>
    <row r="69" spans="1:7" x14ac:dyDescent="0.3">
      <c r="A69" s="1" t="s">
        <v>0</v>
      </c>
      <c r="B69" s="1" t="s">
        <v>1</v>
      </c>
      <c r="C69" s="1" t="s">
        <v>201</v>
      </c>
      <c r="D69" s="1" t="s">
        <v>3</v>
      </c>
      <c r="G69" t="s">
        <v>281</v>
      </c>
    </row>
    <row r="70" spans="1:7" x14ac:dyDescent="0.3">
      <c r="A70" t="s">
        <v>205</v>
      </c>
      <c r="B70" s="3">
        <v>0.15</v>
      </c>
      <c r="C70">
        <v>3</v>
      </c>
      <c r="D70">
        <f>C70*B70</f>
        <v>0.44999999999999996</v>
      </c>
      <c r="G70" s="7" t="s">
        <v>85</v>
      </c>
    </row>
    <row r="71" spans="1:7" x14ac:dyDescent="0.3">
      <c r="A71" t="s">
        <v>202</v>
      </c>
      <c r="B71" s="3">
        <v>0.1</v>
      </c>
      <c r="C71">
        <v>2</v>
      </c>
      <c r="D71">
        <f t="shared" ref="D71:D77" si="3">C71*B71</f>
        <v>0.2</v>
      </c>
      <c r="G71" s="7" t="s">
        <v>86</v>
      </c>
    </row>
    <row r="72" spans="1:7" x14ac:dyDescent="0.3">
      <c r="A72" t="s">
        <v>206</v>
      </c>
      <c r="B72" s="3">
        <v>0.1</v>
      </c>
      <c r="C72">
        <v>3</v>
      </c>
      <c r="D72">
        <f t="shared" si="3"/>
        <v>0.30000000000000004</v>
      </c>
      <c r="G72" s="7" t="s">
        <v>282</v>
      </c>
    </row>
    <row r="73" spans="1:7" x14ac:dyDescent="0.3">
      <c r="A73" t="s">
        <v>91</v>
      </c>
      <c r="B73" s="3">
        <v>0.15</v>
      </c>
      <c r="C73">
        <v>4</v>
      </c>
      <c r="D73">
        <f t="shared" si="3"/>
        <v>0.6</v>
      </c>
      <c r="G73" s="7" t="s">
        <v>200</v>
      </c>
    </row>
    <row r="74" spans="1:7" x14ac:dyDescent="0.3">
      <c r="A74" t="s">
        <v>90</v>
      </c>
      <c r="B74" s="3">
        <v>0.15</v>
      </c>
      <c r="C74">
        <v>3</v>
      </c>
      <c r="D74">
        <f t="shared" si="3"/>
        <v>0.44999999999999996</v>
      </c>
      <c r="G74" s="7"/>
    </row>
    <row r="75" spans="1:7" x14ac:dyDescent="0.3">
      <c r="A75" t="s">
        <v>203</v>
      </c>
      <c r="B75" s="3">
        <v>0.05</v>
      </c>
      <c r="C75">
        <v>4</v>
      </c>
      <c r="D75">
        <f t="shared" si="3"/>
        <v>0.2</v>
      </c>
      <c r="G75" t="s">
        <v>221</v>
      </c>
    </row>
    <row r="76" spans="1:7" x14ac:dyDescent="0.3">
      <c r="A76" t="s">
        <v>204</v>
      </c>
      <c r="B76" s="3">
        <v>0.05</v>
      </c>
      <c r="C76">
        <v>3</v>
      </c>
      <c r="D76">
        <f t="shared" si="3"/>
        <v>0.15000000000000002</v>
      </c>
      <c r="G76" s="7" t="s">
        <v>222</v>
      </c>
    </row>
    <row r="77" spans="1:7" x14ac:dyDescent="0.3">
      <c r="A77" t="s">
        <v>89</v>
      </c>
      <c r="B77" s="3">
        <v>0.1</v>
      </c>
      <c r="C77">
        <v>4</v>
      </c>
      <c r="D77">
        <f t="shared" si="3"/>
        <v>0.4</v>
      </c>
      <c r="G77" s="7" t="s">
        <v>223</v>
      </c>
    </row>
    <row r="78" spans="1:7" x14ac:dyDescent="0.3">
      <c r="A78" t="s">
        <v>88</v>
      </c>
      <c r="B78" s="3">
        <v>0.15</v>
      </c>
      <c r="C78">
        <v>4</v>
      </c>
      <c r="D78">
        <f>C78*B78</f>
        <v>0.6</v>
      </c>
      <c r="G78" s="7" t="s">
        <v>224</v>
      </c>
    </row>
    <row r="79" spans="1:7" ht="15" thickBot="1" x14ac:dyDescent="0.35">
      <c r="B79" s="4">
        <f>SUM(B70:B78)</f>
        <v>1</v>
      </c>
      <c r="D79" s="6">
        <f>SUM(D70:D78)</f>
        <v>3.3499999999999996</v>
      </c>
      <c r="G79" t="s">
        <v>225</v>
      </c>
    </row>
    <row r="80" spans="1:7" ht="15" thickTop="1" x14ac:dyDescent="0.3">
      <c r="G80" s="7" t="s">
        <v>226</v>
      </c>
    </row>
    <row r="81" spans="1:7" x14ac:dyDescent="0.3">
      <c r="A81" t="s">
        <v>108</v>
      </c>
      <c r="G81" s="7" t="s">
        <v>227</v>
      </c>
    </row>
    <row r="82" spans="1:7" x14ac:dyDescent="0.3">
      <c r="A82" s="1" t="s">
        <v>0</v>
      </c>
      <c r="B82" s="1" t="s">
        <v>1</v>
      </c>
      <c r="C82" s="1" t="s">
        <v>201</v>
      </c>
      <c r="D82" s="1" t="s">
        <v>3</v>
      </c>
      <c r="G82" s="7" t="s">
        <v>228</v>
      </c>
    </row>
    <row r="83" spans="1:7" x14ac:dyDescent="0.3">
      <c r="A83" t="s">
        <v>205</v>
      </c>
      <c r="B83" s="3">
        <v>0.15</v>
      </c>
      <c r="C83">
        <v>3</v>
      </c>
      <c r="D83">
        <f>C83*B83</f>
        <v>0.44999999999999996</v>
      </c>
      <c r="G83" t="s">
        <v>229</v>
      </c>
    </row>
    <row r="84" spans="1:7" x14ac:dyDescent="0.3">
      <c r="A84" t="s">
        <v>202</v>
      </c>
      <c r="B84" s="3">
        <v>0.1</v>
      </c>
      <c r="C84">
        <v>2</v>
      </c>
      <c r="D84">
        <f t="shared" ref="D84:D90" si="4">C84*B84</f>
        <v>0.2</v>
      </c>
      <c r="G84" t="s">
        <v>230</v>
      </c>
    </row>
    <row r="85" spans="1:7" x14ac:dyDescent="0.3">
      <c r="A85" t="s">
        <v>206</v>
      </c>
      <c r="B85" s="3">
        <v>0.1</v>
      </c>
      <c r="C85">
        <v>3</v>
      </c>
      <c r="D85">
        <f t="shared" si="4"/>
        <v>0.30000000000000004</v>
      </c>
    </row>
    <row r="86" spans="1:7" x14ac:dyDescent="0.3">
      <c r="A86" t="s">
        <v>91</v>
      </c>
      <c r="B86" s="3">
        <v>0.15</v>
      </c>
      <c r="C86">
        <v>3</v>
      </c>
      <c r="D86">
        <f t="shared" si="4"/>
        <v>0.44999999999999996</v>
      </c>
      <c r="G86" t="s">
        <v>231</v>
      </c>
    </row>
    <row r="87" spans="1:7" x14ac:dyDescent="0.3">
      <c r="A87" t="s">
        <v>90</v>
      </c>
      <c r="B87" s="3">
        <v>0.15</v>
      </c>
      <c r="C87">
        <v>3</v>
      </c>
      <c r="D87">
        <f t="shared" si="4"/>
        <v>0.44999999999999996</v>
      </c>
      <c r="G87" t="s">
        <v>283</v>
      </c>
    </row>
    <row r="88" spans="1:7" x14ac:dyDescent="0.3">
      <c r="A88" t="s">
        <v>203</v>
      </c>
      <c r="B88" s="3">
        <v>0.05</v>
      </c>
      <c r="C88">
        <v>4</v>
      </c>
      <c r="D88">
        <f t="shared" si="4"/>
        <v>0.2</v>
      </c>
    </row>
    <row r="89" spans="1:7" x14ac:dyDescent="0.3">
      <c r="A89" t="s">
        <v>204</v>
      </c>
      <c r="B89" s="3">
        <v>0.05</v>
      </c>
      <c r="C89">
        <v>3</v>
      </c>
      <c r="D89">
        <f t="shared" si="4"/>
        <v>0.15000000000000002</v>
      </c>
      <c r="G89" t="s">
        <v>233</v>
      </c>
    </row>
    <row r="90" spans="1:7" x14ac:dyDescent="0.3">
      <c r="A90" t="s">
        <v>89</v>
      </c>
      <c r="B90" s="3">
        <v>0.1</v>
      </c>
      <c r="C90">
        <v>4</v>
      </c>
      <c r="D90">
        <f t="shared" si="4"/>
        <v>0.4</v>
      </c>
      <c r="G90" t="s">
        <v>284</v>
      </c>
    </row>
    <row r="91" spans="1:7" x14ac:dyDescent="0.3">
      <c r="A91" t="s">
        <v>88</v>
      </c>
      <c r="B91" s="3">
        <v>0.15</v>
      </c>
      <c r="C91">
        <v>4</v>
      </c>
      <c r="D91">
        <f>C91*B91</f>
        <v>0.6</v>
      </c>
      <c r="G91" t="s">
        <v>285</v>
      </c>
    </row>
    <row r="92" spans="1:7" ht="15" thickBot="1" x14ac:dyDescent="0.35">
      <c r="B92" s="4">
        <f>SUM(B83:B91)</f>
        <v>1</v>
      </c>
      <c r="D92" s="6">
        <f>SUM(D83:D91)</f>
        <v>3.1999999999999997</v>
      </c>
      <c r="G92" t="s">
        <v>286</v>
      </c>
    </row>
    <row r="93" spans="1:7" ht="15" thickTop="1" x14ac:dyDescent="0.3">
      <c r="G93" t="s">
        <v>287</v>
      </c>
    </row>
    <row r="94" spans="1:7" x14ac:dyDescent="0.3">
      <c r="A94" t="s">
        <v>109</v>
      </c>
      <c r="G94" t="s">
        <v>288</v>
      </c>
    </row>
    <row r="95" spans="1:7" x14ac:dyDescent="0.3">
      <c r="A95" s="1" t="s">
        <v>0</v>
      </c>
      <c r="B95" s="1" t="s">
        <v>1</v>
      </c>
      <c r="C95" s="1" t="s">
        <v>201</v>
      </c>
      <c r="D95" s="1" t="s">
        <v>3</v>
      </c>
    </row>
    <row r="96" spans="1:7" x14ac:dyDescent="0.3">
      <c r="A96" t="s">
        <v>205</v>
      </c>
      <c r="B96" s="3">
        <v>0.15</v>
      </c>
      <c r="C96">
        <v>3</v>
      </c>
      <c r="D96">
        <f>C96*B96</f>
        <v>0.44999999999999996</v>
      </c>
      <c r="G96" t="s">
        <v>237</v>
      </c>
    </row>
    <row r="97" spans="1:7" x14ac:dyDescent="0.3">
      <c r="A97" t="s">
        <v>202</v>
      </c>
      <c r="B97" s="3">
        <v>0.1</v>
      </c>
      <c r="C97">
        <v>3</v>
      </c>
      <c r="D97">
        <f t="shared" ref="D97:D103" si="5">C97*B97</f>
        <v>0.30000000000000004</v>
      </c>
    </row>
    <row r="98" spans="1:7" x14ac:dyDescent="0.3">
      <c r="A98" t="s">
        <v>206</v>
      </c>
      <c r="B98" s="3">
        <v>0.1</v>
      </c>
      <c r="C98">
        <v>4</v>
      </c>
      <c r="D98">
        <f t="shared" si="5"/>
        <v>0.4</v>
      </c>
      <c r="G98" t="s">
        <v>238</v>
      </c>
    </row>
    <row r="99" spans="1:7" x14ac:dyDescent="0.3">
      <c r="A99" t="s">
        <v>91</v>
      </c>
      <c r="B99" s="3">
        <v>0.15</v>
      </c>
      <c r="C99">
        <v>3</v>
      </c>
      <c r="D99">
        <f t="shared" si="5"/>
        <v>0.44999999999999996</v>
      </c>
      <c r="G99" t="s">
        <v>239</v>
      </c>
    </row>
    <row r="100" spans="1:7" x14ac:dyDescent="0.3">
      <c r="A100" t="s">
        <v>90</v>
      </c>
      <c r="B100" s="3">
        <v>0.15</v>
      </c>
      <c r="C100">
        <v>4</v>
      </c>
      <c r="D100">
        <f t="shared" si="5"/>
        <v>0.6</v>
      </c>
      <c r="G100" t="s">
        <v>240</v>
      </c>
    </row>
    <row r="101" spans="1:7" x14ac:dyDescent="0.3">
      <c r="A101" t="s">
        <v>203</v>
      </c>
      <c r="B101" s="3">
        <v>0.05</v>
      </c>
      <c r="C101">
        <v>4</v>
      </c>
      <c r="D101">
        <f t="shared" si="5"/>
        <v>0.2</v>
      </c>
      <c r="G101" t="s">
        <v>241</v>
      </c>
    </row>
    <row r="102" spans="1:7" x14ac:dyDescent="0.3">
      <c r="A102" t="s">
        <v>204</v>
      </c>
      <c r="B102" s="3">
        <v>0.05</v>
      </c>
      <c r="C102">
        <v>3</v>
      </c>
      <c r="D102">
        <f t="shared" si="5"/>
        <v>0.15000000000000002</v>
      </c>
    </row>
    <row r="103" spans="1:7" x14ac:dyDescent="0.3">
      <c r="A103" t="s">
        <v>89</v>
      </c>
      <c r="B103" s="3">
        <v>0.1</v>
      </c>
      <c r="C103">
        <v>4</v>
      </c>
      <c r="D103">
        <f t="shared" si="5"/>
        <v>0.4</v>
      </c>
    </row>
    <row r="104" spans="1:7" x14ac:dyDescent="0.3">
      <c r="A104" t="s">
        <v>88</v>
      </c>
      <c r="B104" s="3">
        <v>0.15</v>
      </c>
      <c r="C104">
        <v>3</v>
      </c>
      <c r="D104">
        <f>C104*B104</f>
        <v>0.44999999999999996</v>
      </c>
    </row>
    <row r="105" spans="1:7" ht="15" thickBot="1" x14ac:dyDescent="0.35">
      <c r="B105" s="4">
        <f>SUM(B96:B104)</f>
        <v>1</v>
      </c>
      <c r="D105" s="6">
        <f>SUM(D96:D104)</f>
        <v>3.3999999999999995</v>
      </c>
    </row>
    <row r="106" spans="1:7" ht="15" thickTop="1" x14ac:dyDescent="0.3"/>
    <row r="107" spans="1:7" x14ac:dyDescent="0.3">
      <c r="A107" t="s">
        <v>110</v>
      </c>
    </row>
    <row r="108" spans="1:7" x14ac:dyDescent="0.3">
      <c r="A108" s="1" t="s">
        <v>0</v>
      </c>
      <c r="B108" s="1" t="s">
        <v>1</v>
      </c>
      <c r="C108" s="1" t="s">
        <v>201</v>
      </c>
      <c r="D108" s="1" t="s">
        <v>3</v>
      </c>
    </row>
    <row r="109" spans="1:7" x14ac:dyDescent="0.3">
      <c r="A109" t="s">
        <v>205</v>
      </c>
      <c r="B109" s="3">
        <v>0.15</v>
      </c>
      <c r="C109">
        <v>3</v>
      </c>
      <c r="D109">
        <f>C109*B109</f>
        <v>0.44999999999999996</v>
      </c>
    </row>
    <row r="110" spans="1:7" x14ac:dyDescent="0.3">
      <c r="A110" t="s">
        <v>202</v>
      </c>
      <c r="B110" s="3">
        <v>0.1</v>
      </c>
      <c r="C110">
        <v>2</v>
      </c>
      <c r="D110">
        <f t="shared" ref="D110:D116" si="6">C110*B110</f>
        <v>0.2</v>
      </c>
    </row>
    <row r="111" spans="1:7" x14ac:dyDescent="0.3">
      <c r="A111" t="s">
        <v>206</v>
      </c>
      <c r="B111" s="3">
        <v>0.1</v>
      </c>
      <c r="C111">
        <v>4</v>
      </c>
      <c r="D111">
        <f t="shared" si="6"/>
        <v>0.4</v>
      </c>
    </row>
    <row r="112" spans="1:7" x14ac:dyDescent="0.3">
      <c r="A112" t="s">
        <v>91</v>
      </c>
      <c r="B112" s="3">
        <v>0.15</v>
      </c>
      <c r="C112">
        <v>3</v>
      </c>
      <c r="D112">
        <f t="shared" si="6"/>
        <v>0.44999999999999996</v>
      </c>
    </row>
    <row r="113" spans="1:4" x14ac:dyDescent="0.3">
      <c r="A113" t="s">
        <v>90</v>
      </c>
      <c r="B113" s="3">
        <v>0.15</v>
      </c>
      <c r="C113">
        <v>4</v>
      </c>
      <c r="D113">
        <f t="shared" si="6"/>
        <v>0.6</v>
      </c>
    </row>
    <row r="114" spans="1:4" x14ac:dyDescent="0.3">
      <c r="A114" t="s">
        <v>203</v>
      </c>
      <c r="B114" s="3">
        <v>0.05</v>
      </c>
      <c r="C114">
        <v>4</v>
      </c>
      <c r="D114">
        <f t="shared" si="6"/>
        <v>0.2</v>
      </c>
    </row>
    <row r="115" spans="1:4" x14ac:dyDescent="0.3">
      <c r="A115" t="s">
        <v>204</v>
      </c>
      <c r="B115" s="3">
        <v>0.05</v>
      </c>
      <c r="C115">
        <v>3</v>
      </c>
      <c r="D115">
        <f t="shared" si="6"/>
        <v>0.15000000000000002</v>
      </c>
    </row>
    <row r="116" spans="1:4" x14ac:dyDescent="0.3">
      <c r="A116" t="s">
        <v>89</v>
      </c>
      <c r="B116" s="3">
        <v>0.1</v>
      </c>
      <c r="C116">
        <v>4</v>
      </c>
      <c r="D116">
        <f t="shared" si="6"/>
        <v>0.4</v>
      </c>
    </row>
    <row r="117" spans="1:4" x14ac:dyDescent="0.3">
      <c r="A117" t="s">
        <v>88</v>
      </c>
      <c r="B117" s="3">
        <v>0.15</v>
      </c>
      <c r="C117">
        <v>4</v>
      </c>
      <c r="D117">
        <f>C117*B117</f>
        <v>0.6</v>
      </c>
    </row>
    <row r="118" spans="1:4" ht="15" thickBot="1" x14ac:dyDescent="0.35">
      <c r="B118" s="4">
        <f>SUM(B109:B117)</f>
        <v>1</v>
      </c>
      <c r="D118" s="6">
        <f>SUM(D109:D117)</f>
        <v>3.4499999999999997</v>
      </c>
    </row>
    <row r="119" spans="1:4" ht="15" thickTop="1" x14ac:dyDescent="0.3"/>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topLeftCell="A64" zoomScale="87" workbookViewId="0">
      <selection activeCell="F28" sqref="F28"/>
    </sheetView>
  </sheetViews>
  <sheetFormatPr defaultRowHeight="14.4" x14ac:dyDescent="0.3"/>
  <cols>
    <col min="1" max="1" width="77.332031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155</v>
      </c>
    </row>
    <row r="6" spans="1:7" x14ac:dyDescent="0.3">
      <c r="A6" t="s">
        <v>202</v>
      </c>
      <c r="B6" s="3">
        <v>0.1</v>
      </c>
      <c r="C6">
        <v>2</v>
      </c>
      <c r="D6">
        <f t="shared" ref="D6:D12" si="0">C6*B6</f>
        <v>0.2</v>
      </c>
      <c r="G6" s="7" t="s">
        <v>156</v>
      </c>
    </row>
    <row r="7" spans="1:7" x14ac:dyDescent="0.3">
      <c r="A7" t="s">
        <v>206</v>
      </c>
      <c r="B7" s="3">
        <v>0.1</v>
      </c>
      <c r="C7">
        <v>3</v>
      </c>
      <c r="D7">
        <f t="shared" si="0"/>
        <v>0.30000000000000004</v>
      </c>
      <c r="G7" s="7" t="s">
        <v>157</v>
      </c>
    </row>
    <row r="8" spans="1:7" x14ac:dyDescent="0.3">
      <c r="A8" t="s">
        <v>91</v>
      </c>
      <c r="B8" s="3">
        <v>0.15</v>
      </c>
      <c r="C8">
        <v>3</v>
      </c>
      <c r="D8">
        <f t="shared" si="0"/>
        <v>0.44999999999999996</v>
      </c>
      <c r="G8" s="7" t="s">
        <v>158</v>
      </c>
    </row>
    <row r="9" spans="1:7" x14ac:dyDescent="0.3">
      <c r="A9" t="s">
        <v>90</v>
      </c>
      <c r="B9" s="3">
        <v>0.15</v>
      </c>
      <c r="C9">
        <v>3</v>
      </c>
      <c r="D9">
        <f t="shared" si="0"/>
        <v>0.44999999999999996</v>
      </c>
      <c r="G9" s="7" t="s">
        <v>159</v>
      </c>
    </row>
    <row r="10" spans="1:7" x14ac:dyDescent="0.3">
      <c r="A10" t="s">
        <v>203</v>
      </c>
      <c r="B10" s="3">
        <v>0.05</v>
      </c>
      <c r="C10">
        <v>4</v>
      </c>
      <c r="D10">
        <f t="shared" si="0"/>
        <v>0.2</v>
      </c>
      <c r="G10" s="7" t="s">
        <v>160</v>
      </c>
    </row>
    <row r="11" spans="1:7" x14ac:dyDescent="0.3">
      <c r="A11" t="s">
        <v>204</v>
      </c>
      <c r="B11" s="3">
        <v>0.05</v>
      </c>
      <c r="C11">
        <v>3</v>
      </c>
      <c r="D11">
        <f t="shared" si="0"/>
        <v>0.15000000000000002</v>
      </c>
      <c r="G11" s="7" t="s">
        <v>161</v>
      </c>
    </row>
    <row r="12" spans="1:7" x14ac:dyDescent="0.3">
      <c r="A12" t="s">
        <v>89</v>
      </c>
      <c r="B12" s="3">
        <v>0.1</v>
      </c>
      <c r="C12">
        <v>4</v>
      </c>
      <c r="D12">
        <f t="shared" si="0"/>
        <v>0.4</v>
      </c>
      <c r="G12" s="7" t="s">
        <v>162</v>
      </c>
    </row>
    <row r="13" spans="1:7" x14ac:dyDescent="0.3">
      <c r="A13" t="s">
        <v>88</v>
      </c>
      <c r="B13" s="3">
        <v>0.15</v>
      </c>
      <c r="C13">
        <v>3</v>
      </c>
      <c r="D13">
        <f>C13*B13</f>
        <v>0.44999999999999996</v>
      </c>
      <c r="G13" s="7" t="s">
        <v>163</v>
      </c>
    </row>
    <row r="14" spans="1:7" ht="15" thickBot="1" x14ac:dyDescent="0.35">
      <c r="B14" s="4">
        <f>SUM(B5:B13)</f>
        <v>1</v>
      </c>
      <c r="D14" s="6">
        <f>SUM(D5:D13)</f>
        <v>3.05</v>
      </c>
      <c r="G14" s="7" t="s">
        <v>164</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255</v>
      </c>
    </row>
    <row r="19" spans="1:7" x14ac:dyDescent="0.3">
      <c r="A19" t="s">
        <v>202</v>
      </c>
      <c r="B19" s="3">
        <v>0.1</v>
      </c>
      <c r="C19">
        <v>3</v>
      </c>
      <c r="D19">
        <f t="shared" ref="D19:D25" si="1">C19*B19</f>
        <v>0.30000000000000004</v>
      </c>
      <c r="G19" s="7" t="s">
        <v>256</v>
      </c>
    </row>
    <row r="20" spans="1:7" x14ac:dyDescent="0.3">
      <c r="A20" t="s">
        <v>206</v>
      </c>
      <c r="B20" s="3">
        <v>0.1</v>
      </c>
      <c r="C20">
        <v>3</v>
      </c>
      <c r="D20">
        <f t="shared" si="1"/>
        <v>0.30000000000000004</v>
      </c>
      <c r="G20" s="7" t="s">
        <v>289</v>
      </c>
    </row>
    <row r="21" spans="1:7" x14ac:dyDescent="0.3">
      <c r="A21" t="s">
        <v>91</v>
      </c>
      <c r="B21" s="3">
        <v>0.15</v>
      </c>
      <c r="C21">
        <v>2</v>
      </c>
      <c r="D21">
        <f t="shared" si="1"/>
        <v>0.3</v>
      </c>
      <c r="G21" s="7" t="s">
        <v>290</v>
      </c>
    </row>
    <row r="22" spans="1:7" x14ac:dyDescent="0.3">
      <c r="A22" t="s">
        <v>90</v>
      </c>
      <c r="B22" s="3">
        <v>0.15</v>
      </c>
      <c r="C22">
        <v>3</v>
      </c>
      <c r="D22">
        <f t="shared" si="1"/>
        <v>0.44999999999999996</v>
      </c>
      <c r="G22" s="7" t="s">
        <v>291</v>
      </c>
    </row>
    <row r="23" spans="1:7" x14ac:dyDescent="0.3">
      <c r="A23" t="s">
        <v>203</v>
      </c>
      <c r="B23" s="3">
        <v>0.05</v>
      </c>
      <c r="C23">
        <v>4</v>
      </c>
      <c r="D23">
        <f t="shared" si="1"/>
        <v>0.2</v>
      </c>
      <c r="G23" s="7" t="s">
        <v>292</v>
      </c>
    </row>
    <row r="24" spans="1:7" x14ac:dyDescent="0.3">
      <c r="A24" t="s">
        <v>204</v>
      </c>
      <c r="B24" s="3">
        <v>0.05</v>
      </c>
      <c r="C24">
        <v>3</v>
      </c>
      <c r="D24">
        <f t="shared" si="1"/>
        <v>0.15000000000000002</v>
      </c>
      <c r="G24" s="7" t="s">
        <v>293</v>
      </c>
    </row>
    <row r="25" spans="1:7" x14ac:dyDescent="0.3">
      <c r="A25" t="s">
        <v>89</v>
      </c>
      <c r="B25" s="3">
        <v>0.1</v>
      </c>
      <c r="C25">
        <v>4</v>
      </c>
      <c r="D25">
        <f t="shared" si="1"/>
        <v>0.4</v>
      </c>
      <c r="G25" s="7" t="s">
        <v>294</v>
      </c>
    </row>
    <row r="26" spans="1:7" x14ac:dyDescent="0.3">
      <c r="A26" t="s">
        <v>88</v>
      </c>
      <c r="B26" s="3">
        <v>0.15</v>
      </c>
      <c r="C26">
        <v>3</v>
      </c>
      <c r="D26">
        <f>C26*B26</f>
        <v>0.44999999999999996</v>
      </c>
      <c r="G26" s="7" t="s">
        <v>295</v>
      </c>
    </row>
    <row r="27" spans="1:7" ht="15" thickBot="1" x14ac:dyDescent="0.35">
      <c r="B27" s="4">
        <f>SUM(B18:B26)</f>
        <v>1</v>
      </c>
      <c r="D27" s="6">
        <f>SUM(D18:D26)</f>
        <v>3</v>
      </c>
      <c r="G27" s="7" t="s">
        <v>296</v>
      </c>
    </row>
    <row r="28" spans="1:7" ht="15" thickTop="1" x14ac:dyDescent="0.3">
      <c r="G28" s="7" t="s">
        <v>297</v>
      </c>
    </row>
    <row r="29" spans="1:7" x14ac:dyDescent="0.3">
      <c r="A29" t="s">
        <v>104</v>
      </c>
      <c r="G29" s="7" t="s">
        <v>298</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2</v>
      </c>
      <c r="D32">
        <f t="shared" ref="D32:D38" si="2">C32*B32</f>
        <v>0.2</v>
      </c>
      <c r="G32" s="7" t="s">
        <v>169</v>
      </c>
    </row>
    <row r="33" spans="1:7" x14ac:dyDescent="0.3">
      <c r="A33" t="s">
        <v>206</v>
      </c>
      <c r="B33" s="3">
        <v>0.1</v>
      </c>
      <c r="C33">
        <v>3</v>
      </c>
      <c r="D33">
        <f t="shared" si="2"/>
        <v>0.30000000000000004</v>
      </c>
      <c r="G33" s="7" t="s">
        <v>170</v>
      </c>
    </row>
    <row r="34" spans="1:7" x14ac:dyDescent="0.3">
      <c r="A34" t="s">
        <v>91</v>
      </c>
      <c r="B34" s="3">
        <v>0.15</v>
      </c>
      <c r="C34">
        <v>3</v>
      </c>
      <c r="D34">
        <f t="shared" si="2"/>
        <v>0.44999999999999996</v>
      </c>
      <c r="G34" s="7" t="s">
        <v>171</v>
      </c>
    </row>
    <row r="35" spans="1:7" x14ac:dyDescent="0.3">
      <c r="A35" t="s">
        <v>90</v>
      </c>
      <c r="B35" s="3">
        <v>0.15</v>
      </c>
      <c r="C35">
        <v>2</v>
      </c>
      <c r="D35">
        <f t="shared" si="2"/>
        <v>0.3</v>
      </c>
      <c r="G35" s="7" t="s">
        <v>299</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3</v>
      </c>
      <c r="D38">
        <f t="shared" si="2"/>
        <v>0.30000000000000004</v>
      </c>
      <c r="G38" s="7" t="s">
        <v>173</v>
      </c>
    </row>
    <row r="39" spans="1:7" x14ac:dyDescent="0.3">
      <c r="A39" t="s">
        <v>88</v>
      </c>
      <c r="B39" s="3">
        <v>0.15</v>
      </c>
      <c r="C39">
        <v>3</v>
      </c>
      <c r="D39">
        <f>C39*B39</f>
        <v>0.44999999999999996</v>
      </c>
      <c r="G39" s="7" t="s">
        <v>174</v>
      </c>
    </row>
    <row r="40" spans="1:7" ht="15" thickBot="1" x14ac:dyDescent="0.35">
      <c r="B40" s="4">
        <f>SUM(B31:B39)</f>
        <v>1</v>
      </c>
      <c r="D40" s="6">
        <f>SUM(D31:D39)</f>
        <v>2.8</v>
      </c>
      <c r="G40" s="7" t="s">
        <v>175</v>
      </c>
    </row>
    <row r="41" spans="1:7" ht="15" thickTop="1" x14ac:dyDescent="0.3">
      <c r="G41" s="7" t="s">
        <v>176</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179</v>
      </c>
    </row>
    <row r="45" spans="1:7" x14ac:dyDescent="0.3">
      <c r="A45" t="s">
        <v>202</v>
      </c>
      <c r="B45" s="3">
        <v>0.1</v>
      </c>
      <c r="C45">
        <v>4</v>
      </c>
      <c r="D45">
        <f t="shared" ref="D45:D51" si="3">C45*B45</f>
        <v>0.4</v>
      </c>
      <c r="G45" s="7" t="s">
        <v>180</v>
      </c>
    </row>
    <row r="46" spans="1:7" x14ac:dyDescent="0.3">
      <c r="A46" t="s">
        <v>206</v>
      </c>
      <c r="B46" s="3">
        <v>0.1</v>
      </c>
      <c r="C46">
        <v>3</v>
      </c>
      <c r="D46">
        <f t="shared" si="3"/>
        <v>0.30000000000000004</v>
      </c>
      <c r="G46" s="7" t="s">
        <v>181</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183</v>
      </c>
    </row>
    <row r="51" spans="1:7" x14ac:dyDescent="0.3">
      <c r="A51" t="s">
        <v>89</v>
      </c>
      <c r="B51" s="3">
        <v>0.1</v>
      </c>
      <c r="C51">
        <v>4</v>
      </c>
      <c r="D51">
        <f t="shared" si="3"/>
        <v>0.4</v>
      </c>
      <c r="G51" s="7" t="s">
        <v>184</v>
      </c>
    </row>
    <row r="52" spans="1:7" x14ac:dyDescent="0.3">
      <c r="A52" t="s">
        <v>88</v>
      </c>
      <c r="B52" s="3">
        <v>0.15</v>
      </c>
      <c r="C52">
        <v>4</v>
      </c>
      <c r="D52">
        <f>C52*B52</f>
        <v>0.6</v>
      </c>
      <c r="G52" s="7" t="s">
        <v>185</v>
      </c>
    </row>
    <row r="53" spans="1:7" ht="15" thickBot="1" x14ac:dyDescent="0.35">
      <c r="B53" s="4">
        <f>SUM(B44:B52)</f>
        <v>1</v>
      </c>
      <c r="D53" s="6">
        <f>SUM(D44:D52)</f>
        <v>3.45</v>
      </c>
      <c r="G53" s="7" t="s">
        <v>177</v>
      </c>
    </row>
    <row r="54" spans="1:7" ht="15" thickTop="1" x14ac:dyDescent="0.3">
      <c r="G54" s="7" t="s">
        <v>186</v>
      </c>
    </row>
    <row r="55" spans="1:7" x14ac:dyDescent="0.3">
      <c r="A55" t="s">
        <v>106</v>
      </c>
      <c r="G55" s="7" t="s">
        <v>187</v>
      </c>
    </row>
    <row r="56" spans="1:7" x14ac:dyDescent="0.3">
      <c r="A56" s="1" t="s">
        <v>0</v>
      </c>
      <c r="B56" s="1" t="s">
        <v>1</v>
      </c>
      <c r="C56" s="1" t="s">
        <v>201</v>
      </c>
      <c r="D56" s="1" t="s">
        <v>3</v>
      </c>
      <c r="G56" s="7" t="s">
        <v>185</v>
      </c>
    </row>
    <row r="57" spans="1:7" x14ac:dyDescent="0.3">
      <c r="A57" t="s">
        <v>205</v>
      </c>
      <c r="B57" s="3">
        <v>0.15</v>
      </c>
      <c r="C57">
        <v>4</v>
      </c>
      <c r="D57">
        <f>C57*B57</f>
        <v>0.6</v>
      </c>
      <c r="G57" s="7" t="s">
        <v>177</v>
      </c>
    </row>
    <row r="58" spans="1:7" x14ac:dyDescent="0.3">
      <c r="A58" t="s">
        <v>202</v>
      </c>
      <c r="B58" s="3">
        <v>0.1</v>
      </c>
      <c r="C58">
        <v>3</v>
      </c>
      <c r="D58">
        <f t="shared" ref="D58:D64" si="4">C58*B58</f>
        <v>0.30000000000000004</v>
      </c>
      <c r="G58" s="7" t="s">
        <v>188</v>
      </c>
    </row>
    <row r="59" spans="1:7" x14ac:dyDescent="0.3">
      <c r="A59" t="s">
        <v>206</v>
      </c>
      <c r="B59" s="3">
        <v>0.1</v>
      </c>
      <c r="C59">
        <v>3</v>
      </c>
      <c r="D59">
        <f t="shared" si="4"/>
        <v>0.30000000000000004</v>
      </c>
      <c r="G59" s="7" t="s">
        <v>189</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190</v>
      </c>
    </row>
    <row r="63" spans="1:7" x14ac:dyDescent="0.3">
      <c r="A63" t="s">
        <v>204</v>
      </c>
      <c r="B63" s="3">
        <v>0.05</v>
      </c>
      <c r="C63">
        <v>4</v>
      </c>
      <c r="D63">
        <f t="shared" si="4"/>
        <v>0.2</v>
      </c>
      <c r="G63" s="7" t="s">
        <v>191</v>
      </c>
    </row>
    <row r="64" spans="1:7" x14ac:dyDescent="0.3">
      <c r="A64" t="s">
        <v>89</v>
      </c>
      <c r="B64" s="3">
        <v>0.1</v>
      </c>
      <c r="C64">
        <v>4</v>
      </c>
      <c r="D64">
        <f t="shared" si="4"/>
        <v>0.4</v>
      </c>
      <c r="G64" s="7" t="s">
        <v>185</v>
      </c>
    </row>
    <row r="65" spans="1:7" x14ac:dyDescent="0.3">
      <c r="A65" t="s">
        <v>88</v>
      </c>
      <c r="B65" s="3">
        <v>0.15</v>
      </c>
      <c r="C65">
        <v>3</v>
      </c>
      <c r="D65">
        <f>C65*B65</f>
        <v>0.44999999999999996</v>
      </c>
      <c r="G65" s="7" t="s">
        <v>177</v>
      </c>
    </row>
    <row r="66" spans="1:7" ht="15" thickBot="1" x14ac:dyDescent="0.35">
      <c r="B66" s="4">
        <f>SUM(B57:B65)</f>
        <v>1</v>
      </c>
      <c r="D66" s="6">
        <f>SUM(D57:D65)</f>
        <v>3.5</v>
      </c>
      <c r="G66" t="s">
        <v>192</v>
      </c>
    </row>
    <row r="67" spans="1:7" ht="15" thickTop="1" x14ac:dyDescent="0.3">
      <c r="G67" s="7" t="s">
        <v>193</v>
      </c>
    </row>
    <row r="68" spans="1:7" x14ac:dyDescent="0.3">
      <c r="A68" t="s">
        <v>107</v>
      </c>
      <c r="G68" s="7" t="s">
        <v>185</v>
      </c>
    </row>
    <row r="69" spans="1:7" x14ac:dyDescent="0.3">
      <c r="A69" s="1" t="s">
        <v>0</v>
      </c>
      <c r="B69" s="1" t="s">
        <v>1</v>
      </c>
      <c r="C69" s="1" t="s">
        <v>201</v>
      </c>
      <c r="D69" s="1" t="s">
        <v>3</v>
      </c>
      <c r="G69" t="s">
        <v>165</v>
      </c>
    </row>
    <row r="70" spans="1:7" x14ac:dyDescent="0.3">
      <c r="A70" t="s">
        <v>205</v>
      </c>
      <c r="B70" s="3">
        <v>0.15</v>
      </c>
      <c r="C70">
        <v>4</v>
      </c>
      <c r="D70">
        <f>C70*B70</f>
        <v>0.6</v>
      </c>
      <c r="G70" s="7" t="s">
        <v>166</v>
      </c>
    </row>
    <row r="71" spans="1:7" x14ac:dyDescent="0.3">
      <c r="A71" t="s">
        <v>202</v>
      </c>
      <c r="B71" s="3">
        <v>0.1</v>
      </c>
      <c r="C71">
        <v>2</v>
      </c>
      <c r="D71">
        <f t="shared" ref="D71:D77" si="5">C71*B71</f>
        <v>0.2</v>
      </c>
      <c r="G71" s="7" t="s">
        <v>194</v>
      </c>
    </row>
    <row r="72" spans="1:7" x14ac:dyDescent="0.3">
      <c r="A72" t="s">
        <v>206</v>
      </c>
      <c r="B72" s="3">
        <v>0.1</v>
      </c>
      <c r="C72">
        <v>3</v>
      </c>
      <c r="D72">
        <f t="shared" si="5"/>
        <v>0.30000000000000004</v>
      </c>
      <c r="G72" s="7" t="s">
        <v>195</v>
      </c>
    </row>
    <row r="73" spans="1:7" x14ac:dyDescent="0.3">
      <c r="A73" t="s">
        <v>91</v>
      </c>
      <c r="B73" s="3">
        <v>0.15</v>
      </c>
      <c r="C73">
        <v>4</v>
      </c>
      <c r="D73">
        <f t="shared" si="5"/>
        <v>0.6</v>
      </c>
      <c r="G73" s="7" t="s">
        <v>196</v>
      </c>
    </row>
    <row r="74" spans="1:7" x14ac:dyDescent="0.3">
      <c r="A74" t="s">
        <v>90</v>
      </c>
      <c r="B74" s="3">
        <v>0.15</v>
      </c>
      <c r="C74">
        <v>3</v>
      </c>
      <c r="D74">
        <f t="shared" si="5"/>
        <v>0.44999999999999996</v>
      </c>
      <c r="G74" s="7" t="s">
        <v>197</v>
      </c>
    </row>
    <row r="75" spans="1:7" x14ac:dyDescent="0.3">
      <c r="A75" t="s">
        <v>203</v>
      </c>
      <c r="B75" s="3">
        <v>0.05</v>
      </c>
      <c r="C75">
        <v>4</v>
      </c>
      <c r="D75">
        <f t="shared" si="5"/>
        <v>0.2</v>
      </c>
      <c r="G75" t="s">
        <v>198</v>
      </c>
    </row>
    <row r="76" spans="1:7" x14ac:dyDescent="0.3">
      <c r="A76" t="s">
        <v>204</v>
      </c>
      <c r="B76" s="3">
        <v>0.05</v>
      </c>
      <c r="C76">
        <v>4</v>
      </c>
      <c r="D76">
        <f t="shared" si="5"/>
        <v>0.2</v>
      </c>
      <c r="G76" s="7" t="s">
        <v>199</v>
      </c>
    </row>
    <row r="77" spans="1:7" x14ac:dyDescent="0.3">
      <c r="A77" t="s">
        <v>89</v>
      </c>
      <c r="B77" s="3">
        <v>0.1</v>
      </c>
      <c r="C77">
        <v>4</v>
      </c>
      <c r="D77">
        <f t="shared" si="5"/>
        <v>0.4</v>
      </c>
      <c r="G77" s="7" t="s">
        <v>77</v>
      </c>
    </row>
    <row r="78" spans="1:7" x14ac:dyDescent="0.3">
      <c r="A78" t="s">
        <v>88</v>
      </c>
      <c r="B78" s="3">
        <v>0.15</v>
      </c>
      <c r="C78">
        <v>3</v>
      </c>
      <c r="D78">
        <f>C78*B78</f>
        <v>0.44999999999999996</v>
      </c>
      <c r="G78" s="7"/>
    </row>
    <row r="79" spans="1:7" ht="15" thickBot="1" x14ac:dyDescent="0.35">
      <c r="B79" s="4">
        <f>SUM(B70:B78)</f>
        <v>1</v>
      </c>
      <c r="D79" s="6">
        <f>SUM(D70:D78)</f>
        <v>3.4000000000000004</v>
      </c>
      <c r="G79" t="s">
        <v>300</v>
      </c>
    </row>
    <row r="80" spans="1:7" ht="15" thickTop="1" x14ac:dyDescent="0.3">
      <c r="G80" s="7"/>
    </row>
    <row r="81" spans="1:7" x14ac:dyDescent="0.3">
      <c r="A81" t="s">
        <v>108</v>
      </c>
      <c r="G81" s="7" t="s">
        <v>280</v>
      </c>
    </row>
    <row r="82" spans="1:7" x14ac:dyDescent="0.3">
      <c r="A82" s="1" t="s">
        <v>0</v>
      </c>
      <c r="B82" s="1" t="s">
        <v>1</v>
      </c>
      <c r="C82" s="1" t="s">
        <v>201</v>
      </c>
      <c r="D82" s="1" t="s">
        <v>3</v>
      </c>
      <c r="G82" s="7" t="s">
        <v>281</v>
      </c>
    </row>
    <row r="83" spans="1:7" x14ac:dyDescent="0.3">
      <c r="A83" t="s">
        <v>205</v>
      </c>
      <c r="B83" s="3">
        <v>0.15</v>
      </c>
      <c r="C83">
        <v>3</v>
      </c>
      <c r="D83">
        <f>C83*B83</f>
        <v>0.44999999999999996</v>
      </c>
      <c r="G83" t="s">
        <v>85</v>
      </c>
    </row>
    <row r="84" spans="1:7" x14ac:dyDescent="0.3">
      <c r="A84" t="s">
        <v>202</v>
      </c>
      <c r="B84" s="3">
        <v>0.1</v>
      </c>
      <c r="C84">
        <v>4</v>
      </c>
      <c r="D84">
        <f t="shared" ref="D84:D90" si="6">C84*B84</f>
        <v>0.4</v>
      </c>
      <c r="G84" t="s">
        <v>86</v>
      </c>
    </row>
    <row r="85" spans="1:7" x14ac:dyDescent="0.3">
      <c r="A85" t="s">
        <v>206</v>
      </c>
      <c r="B85" s="3">
        <v>0.1</v>
      </c>
      <c r="C85">
        <v>3</v>
      </c>
      <c r="D85">
        <f t="shared" si="6"/>
        <v>0.30000000000000004</v>
      </c>
      <c r="G85" t="s">
        <v>282</v>
      </c>
    </row>
    <row r="86" spans="1:7" x14ac:dyDescent="0.3">
      <c r="A86" t="s">
        <v>91</v>
      </c>
      <c r="B86" s="3">
        <v>0.15</v>
      </c>
      <c r="C86">
        <v>3</v>
      </c>
      <c r="D86">
        <f t="shared" si="6"/>
        <v>0.44999999999999996</v>
      </c>
      <c r="G86" t="s">
        <v>200</v>
      </c>
    </row>
    <row r="87" spans="1:7" x14ac:dyDescent="0.3">
      <c r="A87" t="s">
        <v>90</v>
      </c>
      <c r="B87" s="3">
        <v>0.15</v>
      </c>
      <c r="C87">
        <v>3</v>
      </c>
      <c r="D87">
        <f t="shared" si="6"/>
        <v>0.44999999999999996</v>
      </c>
    </row>
    <row r="88" spans="1:7" x14ac:dyDescent="0.3">
      <c r="A88" t="s">
        <v>203</v>
      </c>
      <c r="B88" s="3">
        <v>0.05</v>
      </c>
      <c r="C88">
        <v>4</v>
      </c>
      <c r="D88">
        <f t="shared" si="6"/>
        <v>0.2</v>
      </c>
      <c r="G88" t="s">
        <v>221</v>
      </c>
    </row>
    <row r="89" spans="1:7" x14ac:dyDescent="0.3">
      <c r="A89" t="s">
        <v>204</v>
      </c>
      <c r="B89" s="3">
        <v>0.05</v>
      </c>
      <c r="C89">
        <v>3</v>
      </c>
      <c r="D89">
        <f t="shared" si="6"/>
        <v>0.15000000000000002</v>
      </c>
      <c r="G89" t="s">
        <v>222</v>
      </c>
    </row>
    <row r="90" spans="1:7" x14ac:dyDescent="0.3">
      <c r="A90" t="s">
        <v>89</v>
      </c>
      <c r="B90" s="3">
        <v>0.1</v>
      </c>
      <c r="C90">
        <v>4</v>
      </c>
      <c r="D90">
        <f t="shared" si="6"/>
        <v>0.4</v>
      </c>
      <c r="G90" t="s">
        <v>223</v>
      </c>
    </row>
    <row r="91" spans="1:7" x14ac:dyDescent="0.3">
      <c r="A91" t="s">
        <v>88</v>
      </c>
      <c r="B91" s="3">
        <v>0.15</v>
      </c>
      <c r="C91">
        <v>4</v>
      </c>
      <c r="D91">
        <f>C91*B91</f>
        <v>0.6</v>
      </c>
      <c r="G91" t="s">
        <v>224</v>
      </c>
    </row>
    <row r="92" spans="1:7" ht="15" thickBot="1" x14ac:dyDescent="0.35">
      <c r="B92" s="4">
        <f>SUM(B83:B91)</f>
        <v>1</v>
      </c>
      <c r="D92" s="6">
        <f>SUM(D83:D91)</f>
        <v>3.4</v>
      </c>
      <c r="G92" t="s">
        <v>243</v>
      </c>
    </row>
    <row r="93" spans="1:7" ht="15" thickTop="1" x14ac:dyDescent="0.3">
      <c r="G93" t="s">
        <v>226</v>
      </c>
    </row>
    <row r="94" spans="1:7" x14ac:dyDescent="0.3">
      <c r="A94" t="s">
        <v>109</v>
      </c>
      <c r="G94" t="s">
        <v>227</v>
      </c>
    </row>
    <row r="95" spans="1:7" x14ac:dyDescent="0.3">
      <c r="A95" s="1" t="s">
        <v>0</v>
      </c>
      <c r="B95" s="1" t="s">
        <v>1</v>
      </c>
      <c r="C95" s="1" t="s">
        <v>201</v>
      </c>
      <c r="D95" s="1" t="s">
        <v>3</v>
      </c>
      <c r="G95" t="s">
        <v>228</v>
      </c>
    </row>
    <row r="96" spans="1:7" x14ac:dyDescent="0.3">
      <c r="A96" t="s">
        <v>205</v>
      </c>
      <c r="B96" s="3">
        <v>0.15</v>
      </c>
      <c r="C96">
        <v>4</v>
      </c>
      <c r="D96">
        <f>C96*B96</f>
        <v>0.6</v>
      </c>
      <c r="G96" t="s">
        <v>229</v>
      </c>
    </row>
    <row r="97" spans="1:7" x14ac:dyDescent="0.3">
      <c r="A97" t="s">
        <v>202</v>
      </c>
      <c r="B97" s="3">
        <v>0.1</v>
      </c>
      <c r="C97">
        <v>3</v>
      </c>
      <c r="D97">
        <f t="shared" ref="D97:D103" si="7">C97*B97</f>
        <v>0.30000000000000004</v>
      </c>
      <c r="G97" t="s">
        <v>230</v>
      </c>
    </row>
    <row r="98" spans="1:7" x14ac:dyDescent="0.3">
      <c r="A98" t="s">
        <v>206</v>
      </c>
      <c r="B98" s="3">
        <v>0.1</v>
      </c>
      <c r="C98">
        <v>3</v>
      </c>
      <c r="D98">
        <f t="shared" si="7"/>
        <v>0.30000000000000004</v>
      </c>
    </row>
    <row r="99" spans="1:7" x14ac:dyDescent="0.3">
      <c r="A99" t="s">
        <v>91</v>
      </c>
      <c r="B99" s="3">
        <v>0.15</v>
      </c>
      <c r="C99">
        <v>4</v>
      </c>
      <c r="D99">
        <f t="shared" si="7"/>
        <v>0.6</v>
      </c>
      <c r="G99" t="s">
        <v>231</v>
      </c>
    </row>
    <row r="100" spans="1:7" x14ac:dyDescent="0.3">
      <c r="A100" t="s">
        <v>90</v>
      </c>
      <c r="B100" s="3">
        <v>0.15</v>
      </c>
      <c r="C100">
        <v>3</v>
      </c>
      <c r="D100">
        <f t="shared" si="7"/>
        <v>0.44999999999999996</v>
      </c>
      <c r="G100" t="s">
        <v>283</v>
      </c>
    </row>
    <row r="101" spans="1:7" x14ac:dyDescent="0.3">
      <c r="A101" t="s">
        <v>203</v>
      </c>
      <c r="B101" s="3">
        <v>0.05</v>
      </c>
      <c r="C101">
        <v>4</v>
      </c>
      <c r="D101">
        <f t="shared" si="7"/>
        <v>0.2</v>
      </c>
    </row>
    <row r="102" spans="1:7" x14ac:dyDescent="0.3">
      <c r="A102" t="s">
        <v>204</v>
      </c>
      <c r="B102" s="3">
        <v>0.05</v>
      </c>
      <c r="C102">
        <v>3</v>
      </c>
      <c r="D102">
        <f t="shared" si="7"/>
        <v>0.15000000000000002</v>
      </c>
      <c r="G102" t="s">
        <v>233</v>
      </c>
    </row>
    <row r="103" spans="1:7" x14ac:dyDescent="0.3">
      <c r="A103" t="s">
        <v>89</v>
      </c>
      <c r="B103" s="3">
        <v>0.1</v>
      </c>
      <c r="C103">
        <v>4</v>
      </c>
      <c r="D103">
        <f t="shared" si="7"/>
        <v>0.4</v>
      </c>
      <c r="G103" t="s">
        <v>284</v>
      </c>
    </row>
    <row r="104" spans="1:7" x14ac:dyDescent="0.3">
      <c r="A104" t="s">
        <v>88</v>
      </c>
      <c r="B104" s="3">
        <v>0.15</v>
      </c>
      <c r="C104">
        <v>3</v>
      </c>
      <c r="D104">
        <f>C104*B104</f>
        <v>0.44999999999999996</v>
      </c>
      <c r="G104" t="s">
        <v>285</v>
      </c>
    </row>
    <row r="105" spans="1:7" ht="15" thickBot="1" x14ac:dyDescent="0.35">
      <c r="B105" s="4">
        <f>SUM(B96:B104)</f>
        <v>1</v>
      </c>
      <c r="D105" s="6">
        <f>SUM(D96:D104)</f>
        <v>3.45</v>
      </c>
      <c r="G105" t="s">
        <v>286</v>
      </c>
    </row>
    <row r="106" spans="1:7" ht="15" thickTop="1" x14ac:dyDescent="0.3">
      <c r="G106" t="s">
        <v>287</v>
      </c>
    </row>
    <row r="107" spans="1:7" x14ac:dyDescent="0.3">
      <c r="A107" t="s">
        <v>110</v>
      </c>
      <c r="G107" t="s">
        <v>288</v>
      </c>
    </row>
    <row r="108" spans="1:7" x14ac:dyDescent="0.3">
      <c r="A108" s="1" t="s">
        <v>0</v>
      </c>
      <c r="B108" s="1" t="s">
        <v>1</v>
      </c>
      <c r="C108" s="1" t="s">
        <v>201</v>
      </c>
      <c r="D108" s="1" t="s">
        <v>3</v>
      </c>
    </row>
    <row r="109" spans="1:7" x14ac:dyDescent="0.3">
      <c r="A109" t="s">
        <v>205</v>
      </c>
      <c r="B109" s="3">
        <v>0.15</v>
      </c>
      <c r="C109">
        <v>4</v>
      </c>
      <c r="D109">
        <f>C109*B109</f>
        <v>0.6</v>
      </c>
      <c r="G109" t="s">
        <v>237</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t="s">
        <v>238</v>
      </c>
    </row>
    <row r="112" spans="1:7" x14ac:dyDescent="0.3">
      <c r="A112" t="s">
        <v>91</v>
      </c>
      <c r="B112" s="3">
        <v>0.15</v>
      </c>
      <c r="C112">
        <v>4</v>
      </c>
      <c r="D112">
        <f t="shared" si="8"/>
        <v>0.6</v>
      </c>
      <c r="G112" t="s">
        <v>244</v>
      </c>
    </row>
    <row r="113" spans="1:7" x14ac:dyDescent="0.3">
      <c r="A113" t="s">
        <v>90</v>
      </c>
      <c r="B113" s="3">
        <v>0.15</v>
      </c>
      <c r="C113">
        <v>3</v>
      </c>
      <c r="D113">
        <f t="shared" si="8"/>
        <v>0.44999999999999996</v>
      </c>
      <c r="G113" t="s">
        <v>245</v>
      </c>
    </row>
    <row r="114" spans="1:7" x14ac:dyDescent="0.3">
      <c r="A114" t="s">
        <v>203</v>
      </c>
      <c r="B114" s="3">
        <v>0.05</v>
      </c>
      <c r="C114">
        <v>4</v>
      </c>
      <c r="D114">
        <f t="shared" si="8"/>
        <v>0.2</v>
      </c>
      <c r="G114" t="s">
        <v>241</v>
      </c>
    </row>
    <row r="115" spans="1:7" x14ac:dyDescent="0.3">
      <c r="A115" t="s">
        <v>204</v>
      </c>
      <c r="B115" s="3">
        <v>0.05</v>
      </c>
      <c r="C115">
        <v>3</v>
      </c>
      <c r="D115">
        <f t="shared" si="8"/>
        <v>0.15000000000000002</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3.3500000000000005</v>
      </c>
    </row>
    <row r="119" spans="1:7" ht="15" thickTop="1"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0707-AD86-4E94-B9E5-ADCCAA8F599B}">
  <dimension ref="A1:G119"/>
  <sheetViews>
    <sheetView topLeftCell="B22" zoomScale="87" workbookViewId="0">
      <selection activeCell="C110" sqref="C110"/>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246</v>
      </c>
    </row>
    <row r="6" spans="1:7" x14ac:dyDescent="0.3">
      <c r="A6" t="s">
        <v>202</v>
      </c>
      <c r="B6" s="3">
        <v>0.1</v>
      </c>
      <c r="C6">
        <v>3</v>
      </c>
      <c r="D6">
        <f t="shared" ref="D6:D12" si="0">C6*B6</f>
        <v>0.30000000000000004</v>
      </c>
      <c r="G6" s="7" t="s">
        <v>156</v>
      </c>
    </row>
    <row r="7" spans="1:7" x14ac:dyDescent="0.3">
      <c r="A7" t="s">
        <v>206</v>
      </c>
      <c r="B7" s="3">
        <v>0.1</v>
      </c>
      <c r="C7">
        <v>4</v>
      </c>
      <c r="D7">
        <f t="shared" si="0"/>
        <v>0.4</v>
      </c>
      <c r="G7" s="7" t="s">
        <v>301</v>
      </c>
    </row>
    <row r="8" spans="1:7" x14ac:dyDescent="0.3">
      <c r="A8" t="s">
        <v>91</v>
      </c>
      <c r="B8" s="3">
        <v>0.15</v>
      </c>
      <c r="C8">
        <v>3</v>
      </c>
      <c r="D8">
        <f t="shared" si="0"/>
        <v>0.44999999999999996</v>
      </c>
      <c r="G8" s="7" t="s">
        <v>302</v>
      </c>
    </row>
    <row r="9" spans="1:7" x14ac:dyDescent="0.3">
      <c r="A9" t="s">
        <v>90</v>
      </c>
      <c r="B9" s="3">
        <v>0.15</v>
      </c>
      <c r="C9">
        <v>4</v>
      </c>
      <c r="D9">
        <f t="shared" si="0"/>
        <v>0.6</v>
      </c>
      <c r="G9" s="7" t="s">
        <v>303</v>
      </c>
    </row>
    <row r="10" spans="1:7" x14ac:dyDescent="0.3">
      <c r="A10" t="s">
        <v>203</v>
      </c>
      <c r="B10" s="3">
        <v>0.05</v>
      </c>
      <c r="C10">
        <v>4</v>
      </c>
      <c r="D10">
        <f t="shared" si="0"/>
        <v>0.2</v>
      </c>
      <c r="G10" s="7" t="s">
        <v>304</v>
      </c>
    </row>
    <row r="11" spans="1:7" x14ac:dyDescent="0.3">
      <c r="A11" t="s">
        <v>204</v>
      </c>
      <c r="B11" s="3">
        <v>0.05</v>
      </c>
      <c r="C11">
        <v>3</v>
      </c>
      <c r="D11">
        <f t="shared" si="0"/>
        <v>0.15000000000000002</v>
      </c>
      <c r="G11" s="7" t="s">
        <v>305</v>
      </c>
    </row>
    <row r="12" spans="1:7" x14ac:dyDescent="0.3">
      <c r="A12" t="s">
        <v>89</v>
      </c>
      <c r="B12" s="3">
        <v>0.1</v>
      </c>
      <c r="C12">
        <v>3</v>
      </c>
      <c r="D12">
        <f t="shared" si="0"/>
        <v>0.30000000000000004</v>
      </c>
      <c r="G12" s="7" t="s">
        <v>306</v>
      </c>
    </row>
    <row r="13" spans="1:7" x14ac:dyDescent="0.3">
      <c r="A13" t="s">
        <v>88</v>
      </c>
      <c r="B13" s="3">
        <v>0.15</v>
      </c>
      <c r="C13">
        <v>3</v>
      </c>
      <c r="D13">
        <f>C13*B13</f>
        <v>0.44999999999999996</v>
      </c>
      <c r="G13" s="7" t="s">
        <v>307</v>
      </c>
    </row>
    <row r="14" spans="1:7" ht="15" thickBot="1" x14ac:dyDescent="0.35">
      <c r="B14" s="4">
        <f>SUM(B5:B13)</f>
        <v>1</v>
      </c>
      <c r="D14" s="6">
        <f>SUM(D5:D13)</f>
        <v>3.3</v>
      </c>
      <c r="G14" s="7" t="s">
        <v>308</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255</v>
      </c>
    </row>
    <row r="19" spans="1:7" x14ac:dyDescent="0.3">
      <c r="A19" t="s">
        <v>202</v>
      </c>
      <c r="B19" s="3">
        <v>0.1</v>
      </c>
      <c r="C19">
        <v>3</v>
      </c>
      <c r="D19">
        <f t="shared" ref="D19:D25" si="1">C19*B19</f>
        <v>0.30000000000000004</v>
      </c>
      <c r="G19" s="7" t="s">
        <v>256</v>
      </c>
    </row>
    <row r="20" spans="1:7" x14ac:dyDescent="0.3">
      <c r="A20" t="s">
        <v>206</v>
      </c>
      <c r="B20" s="3">
        <v>0.1</v>
      </c>
      <c r="C20">
        <v>3</v>
      </c>
      <c r="D20">
        <f t="shared" si="1"/>
        <v>0.30000000000000004</v>
      </c>
      <c r="G20" s="7" t="s">
        <v>309</v>
      </c>
    </row>
    <row r="21" spans="1:7" x14ac:dyDescent="0.3">
      <c r="A21" t="s">
        <v>91</v>
      </c>
      <c r="B21" s="3">
        <v>0.15</v>
      </c>
      <c r="C21">
        <v>4</v>
      </c>
      <c r="D21">
        <f t="shared" si="1"/>
        <v>0.6</v>
      </c>
      <c r="G21" s="7" t="s">
        <v>310</v>
      </c>
    </row>
    <row r="22" spans="1:7" x14ac:dyDescent="0.3">
      <c r="A22" t="s">
        <v>90</v>
      </c>
      <c r="B22" s="3">
        <v>0.15</v>
      </c>
      <c r="C22">
        <v>2</v>
      </c>
      <c r="D22">
        <f t="shared" si="1"/>
        <v>0.3</v>
      </c>
      <c r="G22" s="7" t="s">
        <v>311</v>
      </c>
    </row>
    <row r="23" spans="1:7" x14ac:dyDescent="0.3">
      <c r="A23" t="s">
        <v>203</v>
      </c>
      <c r="B23" s="3">
        <v>0.05</v>
      </c>
      <c r="C23">
        <v>4</v>
      </c>
      <c r="D23">
        <f t="shared" si="1"/>
        <v>0.2</v>
      </c>
      <c r="G23" s="7" t="s">
        <v>312</v>
      </c>
    </row>
    <row r="24" spans="1:7" x14ac:dyDescent="0.3">
      <c r="A24" t="s">
        <v>204</v>
      </c>
      <c r="B24" s="3">
        <v>0.05</v>
      </c>
      <c r="C24">
        <v>3</v>
      </c>
      <c r="D24">
        <f t="shared" si="1"/>
        <v>0.15000000000000002</v>
      </c>
      <c r="G24" s="7" t="s">
        <v>313</v>
      </c>
    </row>
    <row r="25" spans="1:7" x14ac:dyDescent="0.3">
      <c r="A25" t="s">
        <v>89</v>
      </c>
      <c r="B25" s="3">
        <v>0.1</v>
      </c>
      <c r="C25">
        <v>4</v>
      </c>
      <c r="D25">
        <f t="shared" si="1"/>
        <v>0.4</v>
      </c>
      <c r="G25" s="7" t="s">
        <v>314</v>
      </c>
    </row>
    <row r="26" spans="1:7" x14ac:dyDescent="0.3">
      <c r="A26" t="s">
        <v>88</v>
      </c>
      <c r="B26" s="3">
        <v>0.15</v>
      </c>
      <c r="C26">
        <v>3</v>
      </c>
      <c r="D26">
        <f>C26*B26</f>
        <v>0.44999999999999996</v>
      </c>
      <c r="G26" s="7" t="s">
        <v>315</v>
      </c>
    </row>
    <row r="27" spans="1:7" ht="15" thickBot="1" x14ac:dyDescent="0.35">
      <c r="B27" s="4">
        <f>SUM(B18:B26)</f>
        <v>1</v>
      </c>
      <c r="D27" s="6">
        <f>SUM(D18:D26)</f>
        <v>3.1499999999999995</v>
      </c>
      <c r="G27" s="7" t="s">
        <v>316</v>
      </c>
    </row>
    <row r="28" spans="1:7" ht="15" thickTop="1" x14ac:dyDescent="0.3">
      <c r="G28" s="7" t="s">
        <v>317</v>
      </c>
    </row>
    <row r="29" spans="1:7" x14ac:dyDescent="0.3">
      <c r="A29" t="s">
        <v>104</v>
      </c>
      <c r="G29" s="7" t="s">
        <v>318</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3</v>
      </c>
      <c r="D32">
        <f t="shared" ref="D32:D38" si="2">C32*B32</f>
        <v>0.30000000000000004</v>
      </c>
      <c r="G32" s="7" t="s">
        <v>169</v>
      </c>
    </row>
    <row r="33" spans="1:7" x14ac:dyDescent="0.3">
      <c r="A33" t="s">
        <v>206</v>
      </c>
      <c r="B33" s="3">
        <v>0.1</v>
      </c>
      <c r="C33">
        <v>4</v>
      </c>
      <c r="D33">
        <f t="shared" si="2"/>
        <v>0.4</v>
      </c>
      <c r="G33" s="7" t="s">
        <v>168</v>
      </c>
    </row>
    <row r="34" spans="1:7" x14ac:dyDescent="0.3">
      <c r="A34" t="s">
        <v>91</v>
      </c>
      <c r="B34" s="3">
        <v>0.15</v>
      </c>
      <c r="C34">
        <v>3</v>
      </c>
      <c r="D34">
        <f t="shared" si="2"/>
        <v>0.44999999999999996</v>
      </c>
      <c r="G34" s="7" t="s">
        <v>319</v>
      </c>
    </row>
    <row r="35" spans="1:7" x14ac:dyDescent="0.3">
      <c r="A35" t="s">
        <v>90</v>
      </c>
      <c r="B35" s="3">
        <v>0.15</v>
      </c>
      <c r="C35">
        <v>3</v>
      </c>
      <c r="D35">
        <f t="shared" si="2"/>
        <v>0.44999999999999996</v>
      </c>
      <c r="G35" s="7" t="s">
        <v>320</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4</v>
      </c>
      <c r="D38">
        <f t="shared" si="2"/>
        <v>0.4</v>
      </c>
      <c r="G38" s="7" t="s">
        <v>173</v>
      </c>
    </row>
    <row r="39" spans="1:7" x14ac:dyDescent="0.3">
      <c r="A39" t="s">
        <v>88</v>
      </c>
      <c r="B39" s="3">
        <v>0.15</v>
      </c>
      <c r="C39">
        <v>3</v>
      </c>
      <c r="D39">
        <f>C39*B39</f>
        <v>0.44999999999999996</v>
      </c>
      <c r="G39" s="7" t="s">
        <v>321</v>
      </c>
    </row>
    <row r="40" spans="1:7" ht="15" thickBot="1" x14ac:dyDescent="0.35">
      <c r="B40" s="4">
        <f>SUM(B31:B39)</f>
        <v>1</v>
      </c>
      <c r="D40" s="6">
        <f>SUM(D31:D39)</f>
        <v>3.25</v>
      </c>
      <c r="G40" s="7" t="s">
        <v>322</v>
      </c>
    </row>
    <row r="41" spans="1:7" ht="15" thickTop="1" x14ac:dyDescent="0.3">
      <c r="G41" s="7" t="s">
        <v>323</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324</v>
      </c>
    </row>
    <row r="45" spans="1:7" x14ac:dyDescent="0.3">
      <c r="A45" t="s">
        <v>202</v>
      </c>
      <c r="B45" s="3">
        <v>0.1</v>
      </c>
      <c r="C45">
        <v>2</v>
      </c>
      <c r="D45">
        <f t="shared" ref="D45:D51" si="3">C45*B45</f>
        <v>0.2</v>
      </c>
      <c r="G45" s="7" t="s">
        <v>325</v>
      </c>
    </row>
    <row r="46" spans="1:7" x14ac:dyDescent="0.3">
      <c r="A46" t="s">
        <v>206</v>
      </c>
      <c r="B46" s="3">
        <v>0.1</v>
      </c>
      <c r="C46">
        <v>4</v>
      </c>
      <c r="D46">
        <f t="shared" si="3"/>
        <v>0.4</v>
      </c>
      <c r="G46" s="7" t="s">
        <v>326</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327</v>
      </c>
    </row>
    <row r="51" spans="1:7" x14ac:dyDescent="0.3">
      <c r="A51" t="s">
        <v>89</v>
      </c>
      <c r="B51" s="3">
        <v>0.1</v>
      </c>
      <c r="C51">
        <v>3</v>
      </c>
      <c r="D51">
        <f t="shared" si="3"/>
        <v>0.30000000000000004</v>
      </c>
      <c r="G51" s="7" t="s">
        <v>328</v>
      </c>
    </row>
    <row r="52" spans="1:7" x14ac:dyDescent="0.3">
      <c r="A52" t="s">
        <v>88</v>
      </c>
      <c r="B52" s="3">
        <v>0.15</v>
      </c>
      <c r="C52">
        <v>3</v>
      </c>
      <c r="D52">
        <f>C52*B52</f>
        <v>0.44999999999999996</v>
      </c>
      <c r="G52" s="7" t="s">
        <v>268</v>
      </c>
    </row>
    <row r="53" spans="1:7" ht="15" thickBot="1" x14ac:dyDescent="0.35">
      <c r="B53" s="4">
        <f>SUM(B44:B52)</f>
        <v>1</v>
      </c>
      <c r="D53" s="6">
        <f>SUM(D44:D52)</f>
        <v>3.1000000000000005</v>
      </c>
      <c r="G53" s="7" t="s">
        <v>177</v>
      </c>
    </row>
    <row r="54" spans="1:7" ht="15" thickTop="1" x14ac:dyDescent="0.3">
      <c r="G54" s="7" t="s">
        <v>329</v>
      </c>
    </row>
    <row r="55" spans="1:7" x14ac:dyDescent="0.3">
      <c r="A55" t="s">
        <v>106</v>
      </c>
      <c r="G55" s="7" t="s">
        <v>330</v>
      </c>
    </row>
    <row r="56" spans="1:7" x14ac:dyDescent="0.3">
      <c r="A56" s="1" t="s">
        <v>0</v>
      </c>
      <c r="B56" s="1" t="s">
        <v>1</v>
      </c>
      <c r="C56" s="1" t="s">
        <v>201</v>
      </c>
      <c r="D56" s="1" t="s">
        <v>3</v>
      </c>
      <c r="G56" s="7" t="s">
        <v>268</v>
      </c>
    </row>
    <row r="57" spans="1:7" x14ac:dyDescent="0.3">
      <c r="A57" t="s">
        <v>205</v>
      </c>
      <c r="B57" s="3">
        <v>0.15</v>
      </c>
      <c r="C57">
        <v>3</v>
      </c>
      <c r="D57">
        <f>C57*B57</f>
        <v>0.44999999999999996</v>
      </c>
      <c r="G57" s="7" t="s">
        <v>177</v>
      </c>
    </row>
    <row r="58" spans="1:7" x14ac:dyDescent="0.3">
      <c r="A58" t="s">
        <v>202</v>
      </c>
      <c r="B58" s="3">
        <v>0.1</v>
      </c>
      <c r="C58">
        <v>3</v>
      </c>
      <c r="D58">
        <f t="shared" ref="D58:D64" si="4">C58*B58</f>
        <v>0.30000000000000004</v>
      </c>
      <c r="G58" s="7" t="s">
        <v>331</v>
      </c>
    </row>
    <row r="59" spans="1:7" x14ac:dyDescent="0.3">
      <c r="A59" t="s">
        <v>206</v>
      </c>
      <c r="B59" s="3">
        <v>0.1</v>
      </c>
      <c r="C59">
        <v>3</v>
      </c>
      <c r="D59">
        <f t="shared" si="4"/>
        <v>0.30000000000000004</v>
      </c>
      <c r="G59" s="7" t="s">
        <v>332</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333</v>
      </c>
    </row>
    <row r="63" spans="1:7" x14ac:dyDescent="0.3">
      <c r="A63" t="s">
        <v>204</v>
      </c>
      <c r="B63" s="3">
        <v>0.05</v>
      </c>
      <c r="C63">
        <v>4</v>
      </c>
      <c r="D63">
        <f t="shared" si="4"/>
        <v>0.2</v>
      </c>
      <c r="G63" s="7" t="s">
        <v>334</v>
      </c>
    </row>
    <row r="64" spans="1:7" x14ac:dyDescent="0.3">
      <c r="A64" t="s">
        <v>89</v>
      </c>
      <c r="B64" s="3">
        <v>0.1</v>
      </c>
      <c r="C64">
        <v>3</v>
      </c>
      <c r="D64">
        <f t="shared" si="4"/>
        <v>0.30000000000000004</v>
      </c>
      <c r="G64" s="7" t="s">
        <v>185</v>
      </c>
    </row>
    <row r="65" spans="1:7" x14ac:dyDescent="0.3">
      <c r="A65" t="s">
        <v>88</v>
      </c>
      <c r="B65" s="3">
        <v>0.15</v>
      </c>
      <c r="C65">
        <v>4</v>
      </c>
      <c r="D65">
        <f>C65*B65</f>
        <v>0.6</v>
      </c>
      <c r="G65" s="7" t="s">
        <v>165</v>
      </c>
    </row>
    <row r="66" spans="1:7" ht="15" thickBot="1" x14ac:dyDescent="0.35">
      <c r="B66" s="4">
        <f>SUM(B57:B65)</f>
        <v>1</v>
      </c>
      <c r="D66" s="6">
        <f>SUM(D57:D65)</f>
        <v>3.4</v>
      </c>
      <c r="G66" t="s">
        <v>166</v>
      </c>
    </row>
    <row r="67" spans="1:7" ht="15" thickTop="1" x14ac:dyDescent="0.3">
      <c r="G67" s="7" t="s">
        <v>194</v>
      </c>
    </row>
    <row r="68" spans="1:7" x14ac:dyDescent="0.3">
      <c r="A68" t="s">
        <v>107</v>
      </c>
      <c r="G68" s="7" t="s">
        <v>335</v>
      </c>
    </row>
    <row r="69" spans="1:7" x14ac:dyDescent="0.3">
      <c r="A69" s="1" t="s">
        <v>0</v>
      </c>
      <c r="B69" s="1" t="s">
        <v>1</v>
      </c>
      <c r="C69" s="1" t="s">
        <v>201</v>
      </c>
      <c r="D69" s="1" t="s">
        <v>3</v>
      </c>
      <c r="G69" t="s">
        <v>336</v>
      </c>
    </row>
    <row r="70" spans="1:7" x14ac:dyDescent="0.3">
      <c r="A70" t="s">
        <v>205</v>
      </c>
      <c r="B70" s="3">
        <v>0.15</v>
      </c>
      <c r="C70">
        <v>3</v>
      </c>
      <c r="D70">
        <f>C70*B70</f>
        <v>0.44999999999999996</v>
      </c>
      <c r="G70" s="7" t="s">
        <v>337</v>
      </c>
    </row>
    <row r="71" spans="1:7" x14ac:dyDescent="0.3">
      <c r="A71" t="s">
        <v>202</v>
      </c>
      <c r="B71" s="3">
        <v>0.1</v>
      </c>
      <c r="C71">
        <v>3</v>
      </c>
      <c r="D71">
        <f t="shared" ref="D71:D77" si="5">C71*B71</f>
        <v>0.30000000000000004</v>
      </c>
      <c r="G71" s="7" t="s">
        <v>338</v>
      </c>
    </row>
    <row r="72" spans="1:7" x14ac:dyDescent="0.3">
      <c r="A72" t="s">
        <v>206</v>
      </c>
      <c r="B72" s="3">
        <v>0.1</v>
      </c>
      <c r="C72">
        <v>4</v>
      </c>
      <c r="D72">
        <f t="shared" si="5"/>
        <v>0.4</v>
      </c>
      <c r="G72" s="7" t="s">
        <v>199</v>
      </c>
    </row>
    <row r="73" spans="1:7" x14ac:dyDescent="0.3">
      <c r="A73" t="s">
        <v>91</v>
      </c>
      <c r="B73" s="3">
        <v>0.15</v>
      </c>
      <c r="C73">
        <v>4</v>
      </c>
      <c r="D73">
        <f t="shared" si="5"/>
        <v>0.6</v>
      </c>
      <c r="G73" s="7" t="s">
        <v>77</v>
      </c>
    </row>
    <row r="74" spans="1:7" x14ac:dyDescent="0.3">
      <c r="A74" t="s">
        <v>90</v>
      </c>
      <c r="B74" s="3">
        <v>0.15</v>
      </c>
      <c r="C74">
        <v>3</v>
      </c>
      <c r="D74">
        <f t="shared" si="5"/>
        <v>0.44999999999999996</v>
      </c>
      <c r="G74" s="7"/>
    </row>
    <row r="75" spans="1:7" x14ac:dyDescent="0.3">
      <c r="A75" t="s">
        <v>203</v>
      </c>
      <c r="B75" s="3">
        <v>0.05</v>
      </c>
      <c r="C75">
        <v>4</v>
      </c>
      <c r="D75">
        <f t="shared" si="5"/>
        <v>0.2</v>
      </c>
      <c r="G75" t="s">
        <v>339</v>
      </c>
    </row>
    <row r="76" spans="1:7" x14ac:dyDescent="0.3">
      <c r="A76" t="s">
        <v>204</v>
      </c>
      <c r="B76" s="3">
        <v>0.05</v>
      </c>
      <c r="C76">
        <v>3</v>
      </c>
      <c r="D76">
        <f t="shared" si="5"/>
        <v>0.15000000000000002</v>
      </c>
      <c r="G76" s="7"/>
    </row>
    <row r="77" spans="1:7" x14ac:dyDescent="0.3">
      <c r="A77" t="s">
        <v>89</v>
      </c>
      <c r="B77" s="3">
        <v>0.1</v>
      </c>
      <c r="C77">
        <v>4</v>
      </c>
      <c r="D77">
        <f t="shared" si="5"/>
        <v>0.4</v>
      </c>
      <c r="G77" s="7" t="s">
        <v>280</v>
      </c>
    </row>
    <row r="78" spans="1:7" x14ac:dyDescent="0.3">
      <c r="A78" t="s">
        <v>88</v>
      </c>
      <c r="B78" s="3">
        <v>0.15</v>
      </c>
      <c r="C78">
        <v>3</v>
      </c>
      <c r="D78">
        <f>C78*B78</f>
        <v>0.44999999999999996</v>
      </c>
      <c r="G78" s="7" t="s">
        <v>281</v>
      </c>
    </row>
    <row r="79" spans="1:7" ht="15" thickBot="1" x14ac:dyDescent="0.35">
      <c r="B79" s="4">
        <f>SUM(B70:B78)</f>
        <v>1</v>
      </c>
      <c r="D79" s="6">
        <f>SUM(D70:D78)</f>
        <v>3.4000000000000004</v>
      </c>
      <c r="G79" t="s">
        <v>85</v>
      </c>
    </row>
    <row r="80" spans="1:7" ht="15" thickTop="1" x14ac:dyDescent="0.3">
      <c r="G80" s="7" t="s">
        <v>86</v>
      </c>
    </row>
    <row r="81" spans="1:7" x14ac:dyDescent="0.3">
      <c r="A81" t="s">
        <v>108</v>
      </c>
      <c r="G81" s="7" t="s">
        <v>282</v>
      </c>
    </row>
    <row r="82" spans="1:7" x14ac:dyDescent="0.3">
      <c r="A82" s="1" t="s">
        <v>0</v>
      </c>
      <c r="B82" s="1" t="s">
        <v>1</v>
      </c>
      <c r="C82" s="1" t="s">
        <v>201</v>
      </c>
      <c r="D82" s="1" t="s">
        <v>3</v>
      </c>
      <c r="G82" s="7" t="s">
        <v>200</v>
      </c>
    </row>
    <row r="83" spans="1:7" x14ac:dyDescent="0.3">
      <c r="A83" t="s">
        <v>205</v>
      </c>
      <c r="B83" s="3">
        <v>0.15</v>
      </c>
      <c r="C83">
        <v>4</v>
      </c>
      <c r="D83">
        <f>C83*B83</f>
        <v>0.6</v>
      </c>
    </row>
    <row r="84" spans="1:7" x14ac:dyDescent="0.3">
      <c r="A84" t="s">
        <v>202</v>
      </c>
      <c r="B84" s="3">
        <v>0.1</v>
      </c>
      <c r="C84">
        <v>3</v>
      </c>
      <c r="D84">
        <f t="shared" ref="D84:D90" si="6">C84*B84</f>
        <v>0.30000000000000004</v>
      </c>
      <c r="G84" t="s">
        <v>221</v>
      </c>
    </row>
    <row r="85" spans="1:7" x14ac:dyDescent="0.3">
      <c r="A85" t="s">
        <v>206</v>
      </c>
      <c r="B85" s="3">
        <v>0.1</v>
      </c>
      <c r="C85">
        <v>4</v>
      </c>
      <c r="D85">
        <f t="shared" si="6"/>
        <v>0.4</v>
      </c>
      <c r="G85" t="s">
        <v>222</v>
      </c>
    </row>
    <row r="86" spans="1:7" x14ac:dyDescent="0.3">
      <c r="A86" t="s">
        <v>91</v>
      </c>
      <c r="B86" s="3">
        <v>0.15</v>
      </c>
      <c r="C86">
        <v>3</v>
      </c>
      <c r="D86">
        <f t="shared" si="6"/>
        <v>0.44999999999999996</v>
      </c>
      <c r="G86" t="s">
        <v>223</v>
      </c>
    </row>
    <row r="87" spans="1:7" x14ac:dyDescent="0.3">
      <c r="A87" t="s">
        <v>90</v>
      </c>
      <c r="B87" s="3">
        <v>0.15</v>
      </c>
      <c r="C87">
        <v>4</v>
      </c>
      <c r="D87">
        <f t="shared" si="6"/>
        <v>0.6</v>
      </c>
      <c r="G87" t="s">
        <v>224</v>
      </c>
    </row>
    <row r="88" spans="1:7" x14ac:dyDescent="0.3">
      <c r="A88" t="s">
        <v>203</v>
      </c>
      <c r="B88" s="3">
        <v>0.05</v>
      </c>
      <c r="C88">
        <v>4</v>
      </c>
      <c r="D88">
        <f t="shared" si="6"/>
        <v>0.2</v>
      </c>
      <c r="G88" t="s">
        <v>340</v>
      </c>
    </row>
    <row r="89" spans="1:7" x14ac:dyDescent="0.3">
      <c r="A89" t="s">
        <v>204</v>
      </c>
      <c r="B89" s="3">
        <v>0.05</v>
      </c>
      <c r="C89">
        <v>3</v>
      </c>
      <c r="D89">
        <f t="shared" si="6"/>
        <v>0.15000000000000002</v>
      </c>
      <c r="G89" t="s">
        <v>226</v>
      </c>
    </row>
    <row r="90" spans="1:7" x14ac:dyDescent="0.3">
      <c r="A90" t="s">
        <v>89</v>
      </c>
      <c r="B90" s="3">
        <v>0.1</v>
      </c>
      <c r="C90">
        <v>4</v>
      </c>
      <c r="D90">
        <f t="shared" si="6"/>
        <v>0.4</v>
      </c>
      <c r="G90" t="s">
        <v>227</v>
      </c>
    </row>
    <row r="91" spans="1:7" x14ac:dyDescent="0.3">
      <c r="A91" t="s">
        <v>88</v>
      </c>
      <c r="B91" s="3">
        <v>0.15</v>
      </c>
      <c r="C91">
        <v>4</v>
      </c>
      <c r="D91">
        <f>C91*B91</f>
        <v>0.6</v>
      </c>
      <c r="G91" t="s">
        <v>228</v>
      </c>
    </row>
    <row r="92" spans="1:7" ht="15" thickBot="1" x14ac:dyDescent="0.35">
      <c r="B92" s="4">
        <f>SUM(B83:B91)</f>
        <v>1</v>
      </c>
      <c r="D92" s="6">
        <f>SUM(D83:D91)</f>
        <v>3.7</v>
      </c>
      <c r="G92" t="s">
        <v>229</v>
      </c>
    </row>
    <row r="93" spans="1:7" ht="15" thickTop="1" x14ac:dyDescent="0.3">
      <c r="G93" t="s">
        <v>230</v>
      </c>
    </row>
    <row r="94" spans="1:7" x14ac:dyDescent="0.3">
      <c r="A94" t="s">
        <v>109</v>
      </c>
    </row>
    <row r="95" spans="1:7" x14ac:dyDescent="0.3">
      <c r="A95" s="1" t="s">
        <v>0</v>
      </c>
      <c r="B95" s="1" t="s">
        <v>1</v>
      </c>
      <c r="C95" s="1" t="s">
        <v>201</v>
      </c>
      <c r="D95" s="1" t="s">
        <v>3</v>
      </c>
      <c r="G95" t="s">
        <v>231</v>
      </c>
    </row>
    <row r="96" spans="1:7" x14ac:dyDescent="0.3">
      <c r="A96" t="s">
        <v>205</v>
      </c>
      <c r="B96" s="3">
        <v>0.15</v>
      </c>
      <c r="C96">
        <v>3</v>
      </c>
      <c r="D96">
        <f>C96*B96</f>
        <v>0.44999999999999996</v>
      </c>
      <c r="G96" t="s">
        <v>283</v>
      </c>
    </row>
    <row r="97" spans="1:7" x14ac:dyDescent="0.3">
      <c r="A97" t="s">
        <v>202</v>
      </c>
      <c r="B97" s="3">
        <v>0.1</v>
      </c>
      <c r="C97">
        <v>3</v>
      </c>
      <c r="D97">
        <f t="shared" ref="D97:D103" si="7">C97*B97</f>
        <v>0.30000000000000004</v>
      </c>
    </row>
    <row r="98" spans="1:7" x14ac:dyDescent="0.3">
      <c r="A98" t="s">
        <v>206</v>
      </c>
      <c r="B98" s="3">
        <v>0.1</v>
      </c>
      <c r="C98">
        <v>3</v>
      </c>
      <c r="D98">
        <f t="shared" si="7"/>
        <v>0.30000000000000004</v>
      </c>
      <c r="G98" t="s">
        <v>233</v>
      </c>
    </row>
    <row r="99" spans="1:7" x14ac:dyDescent="0.3">
      <c r="A99" t="s">
        <v>91</v>
      </c>
      <c r="B99" s="3">
        <v>0.15</v>
      </c>
      <c r="C99">
        <v>3</v>
      </c>
      <c r="D99">
        <f t="shared" si="7"/>
        <v>0.44999999999999996</v>
      </c>
      <c r="G99" t="s">
        <v>284</v>
      </c>
    </row>
    <row r="100" spans="1:7" x14ac:dyDescent="0.3">
      <c r="A100" t="s">
        <v>90</v>
      </c>
      <c r="B100" s="3">
        <v>0.15</v>
      </c>
      <c r="C100">
        <v>3</v>
      </c>
      <c r="D100">
        <f t="shared" si="7"/>
        <v>0.44999999999999996</v>
      </c>
      <c r="G100" t="s">
        <v>285</v>
      </c>
    </row>
    <row r="101" spans="1:7" x14ac:dyDescent="0.3">
      <c r="A101" t="s">
        <v>203</v>
      </c>
      <c r="B101" s="3">
        <v>0.05</v>
      </c>
      <c r="C101">
        <v>4</v>
      </c>
      <c r="D101">
        <f t="shared" si="7"/>
        <v>0.2</v>
      </c>
      <c r="G101" t="s">
        <v>286</v>
      </c>
    </row>
    <row r="102" spans="1:7" x14ac:dyDescent="0.3">
      <c r="A102" t="s">
        <v>204</v>
      </c>
      <c r="B102" s="3">
        <v>0.05</v>
      </c>
      <c r="C102">
        <v>4</v>
      </c>
      <c r="D102">
        <f t="shared" si="7"/>
        <v>0.2</v>
      </c>
      <c r="G102" t="s">
        <v>287</v>
      </c>
    </row>
    <row r="103" spans="1:7" x14ac:dyDescent="0.3">
      <c r="A103" t="s">
        <v>89</v>
      </c>
      <c r="B103" s="3">
        <v>0.1</v>
      </c>
      <c r="C103">
        <v>3</v>
      </c>
      <c r="D103">
        <f t="shared" si="7"/>
        <v>0.30000000000000004</v>
      </c>
      <c r="G103" t="s">
        <v>288</v>
      </c>
    </row>
    <row r="104" spans="1:7" x14ac:dyDescent="0.3">
      <c r="A104" t="s">
        <v>88</v>
      </c>
      <c r="B104" s="3">
        <v>0.15</v>
      </c>
      <c r="C104">
        <v>3</v>
      </c>
      <c r="D104">
        <f>C104*B104</f>
        <v>0.44999999999999996</v>
      </c>
    </row>
    <row r="105" spans="1:7" ht="15" thickBot="1" x14ac:dyDescent="0.35">
      <c r="B105" s="4">
        <f>SUM(B96:B104)</f>
        <v>1</v>
      </c>
      <c r="D105" s="6">
        <f>SUM(D96:D104)</f>
        <v>3.1000000000000005</v>
      </c>
      <c r="G105" t="s">
        <v>237</v>
      </c>
    </row>
    <row r="106" spans="1:7" ht="15" thickTop="1" x14ac:dyDescent="0.3"/>
    <row r="107" spans="1:7" x14ac:dyDescent="0.3">
      <c r="A107" t="s">
        <v>110</v>
      </c>
      <c r="G107" t="s">
        <v>238</v>
      </c>
    </row>
    <row r="108" spans="1:7" x14ac:dyDescent="0.3">
      <c r="A108" s="1" t="s">
        <v>0</v>
      </c>
      <c r="B108" s="1" t="s">
        <v>1</v>
      </c>
      <c r="C108" s="1" t="s">
        <v>201</v>
      </c>
      <c r="D108" s="1" t="s">
        <v>3</v>
      </c>
      <c r="G108" t="s">
        <v>341</v>
      </c>
    </row>
    <row r="109" spans="1:7" x14ac:dyDescent="0.3">
      <c r="A109" t="s">
        <v>205</v>
      </c>
      <c r="B109" s="3">
        <v>0.15</v>
      </c>
      <c r="C109">
        <v>4</v>
      </c>
      <c r="D109">
        <f>C109*B109</f>
        <v>0.6</v>
      </c>
      <c r="G109" t="s">
        <v>342</v>
      </c>
    </row>
    <row r="110" spans="1:7" x14ac:dyDescent="0.3">
      <c r="A110" t="s">
        <v>202</v>
      </c>
      <c r="B110" s="3">
        <v>0.1</v>
      </c>
      <c r="C110">
        <v>3</v>
      </c>
      <c r="D110">
        <f t="shared" ref="D110:D116" si="8">C110*B110</f>
        <v>0.30000000000000004</v>
      </c>
      <c r="G110" t="s">
        <v>241</v>
      </c>
    </row>
    <row r="111" spans="1:7" x14ac:dyDescent="0.3">
      <c r="A111" t="s">
        <v>206</v>
      </c>
      <c r="B111" s="3">
        <v>0.1</v>
      </c>
      <c r="C111">
        <v>4</v>
      </c>
      <c r="D111">
        <f t="shared" si="8"/>
        <v>0.4</v>
      </c>
    </row>
    <row r="112" spans="1:7" x14ac:dyDescent="0.3">
      <c r="A112" t="s">
        <v>91</v>
      </c>
      <c r="B112" s="3">
        <v>0.15</v>
      </c>
      <c r="C112">
        <v>4</v>
      </c>
      <c r="D112">
        <f t="shared" si="8"/>
        <v>0.6</v>
      </c>
    </row>
    <row r="113" spans="1:4" x14ac:dyDescent="0.3">
      <c r="A113" t="s">
        <v>90</v>
      </c>
      <c r="B113" s="3">
        <v>0.15</v>
      </c>
      <c r="C113">
        <v>3</v>
      </c>
      <c r="D113">
        <f t="shared" si="8"/>
        <v>0.44999999999999996</v>
      </c>
    </row>
    <row r="114" spans="1:4" x14ac:dyDescent="0.3">
      <c r="A114" t="s">
        <v>203</v>
      </c>
      <c r="B114" s="3">
        <v>0.05</v>
      </c>
      <c r="C114">
        <v>4</v>
      </c>
      <c r="D114">
        <f t="shared" si="8"/>
        <v>0.2</v>
      </c>
    </row>
    <row r="115" spans="1:4" x14ac:dyDescent="0.3">
      <c r="A115" t="s">
        <v>204</v>
      </c>
      <c r="B115" s="3">
        <v>0.05</v>
      </c>
      <c r="C115">
        <v>3</v>
      </c>
      <c r="D115">
        <f t="shared" si="8"/>
        <v>0.15000000000000002</v>
      </c>
    </row>
    <row r="116" spans="1:4" x14ac:dyDescent="0.3">
      <c r="A116" t="s">
        <v>89</v>
      </c>
      <c r="B116" s="3">
        <v>0.1</v>
      </c>
      <c r="C116">
        <v>4</v>
      </c>
      <c r="D116">
        <f t="shared" si="8"/>
        <v>0.4</v>
      </c>
    </row>
    <row r="117" spans="1:4" x14ac:dyDescent="0.3">
      <c r="A117" t="s">
        <v>88</v>
      </c>
      <c r="B117" s="3">
        <v>0.15</v>
      </c>
      <c r="C117">
        <v>4</v>
      </c>
      <c r="D117">
        <f>C117*B117</f>
        <v>0.6</v>
      </c>
    </row>
    <row r="118" spans="1:4" ht="15" thickBot="1" x14ac:dyDescent="0.35">
      <c r="B118" s="4">
        <f>SUM(B109:B117)</f>
        <v>1</v>
      </c>
      <c r="D118" s="6">
        <f>SUM(D109:D117)</f>
        <v>3.6999999999999997</v>
      </c>
    </row>
    <row r="119" spans="1:4" ht="15" thickTop="1"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BC9E2-5AB4-4040-8410-1FF455F90DE5}">
  <dimension ref="A1:G119"/>
  <sheetViews>
    <sheetView topLeftCell="A17" zoomScale="87" workbookViewId="0">
      <selection activeCell="J26" sqref="J26"/>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row>
    <row r="3" spans="1:7" x14ac:dyDescent="0.3">
      <c r="A3" t="s">
        <v>102</v>
      </c>
      <c r="G3" s="7" t="s">
        <v>343</v>
      </c>
    </row>
    <row r="4" spans="1:7" x14ac:dyDescent="0.3">
      <c r="A4" s="1" t="s">
        <v>0</v>
      </c>
      <c r="B4" s="1" t="s">
        <v>1</v>
      </c>
      <c r="C4" s="1" t="s">
        <v>201</v>
      </c>
      <c r="D4" s="1" t="s">
        <v>3</v>
      </c>
      <c r="G4" s="7" t="s">
        <v>5</v>
      </c>
    </row>
    <row r="5" spans="1:7" x14ac:dyDescent="0.3">
      <c r="A5" t="s">
        <v>205</v>
      </c>
      <c r="B5" s="3">
        <v>0.15</v>
      </c>
      <c r="C5">
        <v>3</v>
      </c>
      <c r="D5">
        <f>C5*B5</f>
        <v>0.44999999999999996</v>
      </c>
      <c r="G5" s="7" t="s">
        <v>154</v>
      </c>
    </row>
    <row r="6" spans="1:7" x14ac:dyDescent="0.3">
      <c r="A6" t="s">
        <v>202</v>
      </c>
      <c r="B6" s="3">
        <v>0.1</v>
      </c>
      <c r="C6">
        <v>3</v>
      </c>
      <c r="D6">
        <f t="shared" ref="D6:D12" si="0">C6*B6</f>
        <v>0.30000000000000004</v>
      </c>
      <c r="G6" s="7" t="s">
        <v>155</v>
      </c>
    </row>
    <row r="7" spans="1:7" x14ac:dyDescent="0.3">
      <c r="A7" t="s">
        <v>206</v>
      </c>
      <c r="B7" s="3">
        <v>0.1</v>
      </c>
      <c r="C7">
        <v>3</v>
      </c>
      <c r="D7">
        <f t="shared" si="0"/>
        <v>0.30000000000000004</v>
      </c>
      <c r="G7" s="7" t="s">
        <v>156</v>
      </c>
    </row>
    <row r="8" spans="1:7" x14ac:dyDescent="0.3">
      <c r="A8" t="s">
        <v>91</v>
      </c>
      <c r="B8" s="3">
        <v>0.15</v>
      </c>
      <c r="C8">
        <v>3</v>
      </c>
      <c r="D8">
        <f t="shared" si="0"/>
        <v>0.44999999999999996</v>
      </c>
      <c r="G8" s="7" t="s">
        <v>344</v>
      </c>
    </row>
    <row r="9" spans="1:7" x14ac:dyDescent="0.3">
      <c r="A9" t="s">
        <v>90</v>
      </c>
      <c r="B9" s="3">
        <v>0.15</v>
      </c>
      <c r="C9">
        <v>3</v>
      </c>
      <c r="D9">
        <f t="shared" si="0"/>
        <v>0.44999999999999996</v>
      </c>
      <c r="G9" s="7" t="s">
        <v>160</v>
      </c>
    </row>
    <row r="10" spans="1:7" x14ac:dyDescent="0.3">
      <c r="A10" t="s">
        <v>203</v>
      </c>
      <c r="B10" s="3">
        <v>0.05</v>
      </c>
      <c r="C10">
        <v>4</v>
      </c>
      <c r="D10">
        <f t="shared" si="0"/>
        <v>0.2</v>
      </c>
      <c r="G10" s="7" t="s">
        <v>345</v>
      </c>
    </row>
    <row r="11" spans="1:7" x14ac:dyDescent="0.3">
      <c r="A11" t="s">
        <v>204</v>
      </c>
      <c r="B11" s="3">
        <v>0.05</v>
      </c>
      <c r="C11">
        <v>3</v>
      </c>
      <c r="D11">
        <f t="shared" si="0"/>
        <v>0.15000000000000002</v>
      </c>
      <c r="G11" s="7" t="s">
        <v>346</v>
      </c>
    </row>
    <row r="12" spans="1:7" x14ac:dyDescent="0.3">
      <c r="A12" t="s">
        <v>89</v>
      </c>
      <c r="B12" s="3">
        <v>0.1</v>
      </c>
      <c r="C12">
        <v>4</v>
      </c>
      <c r="D12">
        <f t="shared" si="0"/>
        <v>0.4</v>
      </c>
      <c r="G12" s="7" t="s">
        <v>305</v>
      </c>
    </row>
    <row r="13" spans="1:7" x14ac:dyDescent="0.3">
      <c r="A13" t="s">
        <v>88</v>
      </c>
      <c r="B13" s="3">
        <v>0.15</v>
      </c>
      <c r="C13">
        <v>3</v>
      </c>
      <c r="D13">
        <f>C13*B13</f>
        <v>0.44999999999999996</v>
      </c>
      <c r="G13" s="7" t="s">
        <v>306</v>
      </c>
    </row>
    <row r="14" spans="1:7" ht="15" thickBot="1" x14ac:dyDescent="0.35">
      <c r="B14" s="4">
        <f>SUM(B5:B13)</f>
        <v>1</v>
      </c>
      <c r="D14" s="6">
        <f>SUM(D5:D13)</f>
        <v>3.1499999999999995</v>
      </c>
      <c r="G14" s="7" t="s">
        <v>347</v>
      </c>
    </row>
    <row r="15" spans="1:7" ht="15" thickTop="1" x14ac:dyDescent="0.3">
      <c r="G15" s="7" t="s">
        <v>348</v>
      </c>
    </row>
    <row r="16" spans="1:7" x14ac:dyDescent="0.3">
      <c r="A16" t="s">
        <v>103</v>
      </c>
      <c r="G16" s="7" t="s">
        <v>165</v>
      </c>
    </row>
    <row r="17" spans="1:7" x14ac:dyDescent="0.3">
      <c r="A17" s="1" t="s">
        <v>0</v>
      </c>
      <c r="B17" s="1" t="s">
        <v>1</v>
      </c>
      <c r="C17" s="1" t="s">
        <v>201</v>
      </c>
      <c r="D17" s="1" t="s">
        <v>3</v>
      </c>
      <c r="G17" s="7" t="s">
        <v>166</v>
      </c>
    </row>
    <row r="18" spans="1:7" x14ac:dyDescent="0.3">
      <c r="A18" t="s">
        <v>205</v>
      </c>
      <c r="B18" s="3">
        <v>0.15</v>
      </c>
      <c r="C18">
        <v>3</v>
      </c>
      <c r="D18">
        <f>C18*B18</f>
        <v>0.44999999999999996</v>
      </c>
      <c r="G18" s="7" t="s">
        <v>167</v>
      </c>
    </row>
    <row r="19" spans="1:7" x14ac:dyDescent="0.3">
      <c r="A19" t="s">
        <v>202</v>
      </c>
      <c r="B19" s="3">
        <v>0.1</v>
      </c>
      <c r="C19">
        <v>3</v>
      </c>
      <c r="D19">
        <f t="shared" ref="D19:D25" si="1">C19*B19</f>
        <v>0.30000000000000004</v>
      </c>
      <c r="G19" s="7" t="s">
        <v>255</v>
      </c>
    </row>
    <row r="20" spans="1:7" x14ac:dyDescent="0.3">
      <c r="A20" t="s">
        <v>206</v>
      </c>
      <c r="B20" s="3">
        <v>0.1</v>
      </c>
      <c r="C20">
        <v>3</v>
      </c>
      <c r="D20">
        <f t="shared" si="1"/>
        <v>0.30000000000000004</v>
      </c>
      <c r="G20" s="7" t="s">
        <v>256</v>
      </c>
    </row>
    <row r="21" spans="1:7" x14ac:dyDescent="0.3">
      <c r="A21" t="s">
        <v>91</v>
      </c>
      <c r="B21" s="3">
        <v>0.15</v>
      </c>
      <c r="C21">
        <v>3</v>
      </c>
      <c r="D21">
        <f t="shared" si="1"/>
        <v>0.44999999999999996</v>
      </c>
      <c r="G21" s="7" t="s">
        <v>349</v>
      </c>
    </row>
    <row r="22" spans="1:7" x14ac:dyDescent="0.3">
      <c r="A22" t="s">
        <v>90</v>
      </c>
      <c r="B22" s="3">
        <v>0.15</v>
      </c>
      <c r="C22">
        <v>3</v>
      </c>
      <c r="D22">
        <f t="shared" si="1"/>
        <v>0.44999999999999996</v>
      </c>
      <c r="G22" s="7" t="s">
        <v>350</v>
      </c>
    </row>
    <row r="23" spans="1:7" x14ac:dyDescent="0.3">
      <c r="A23" t="s">
        <v>203</v>
      </c>
      <c r="B23" s="3">
        <v>0.05</v>
      </c>
      <c r="C23">
        <v>4</v>
      </c>
      <c r="D23">
        <f t="shared" si="1"/>
        <v>0.2</v>
      </c>
      <c r="G23" s="7" t="s">
        <v>351</v>
      </c>
    </row>
    <row r="24" spans="1:7" x14ac:dyDescent="0.3">
      <c r="A24" t="s">
        <v>204</v>
      </c>
      <c r="B24" s="3">
        <v>0.05</v>
      </c>
      <c r="C24">
        <v>4</v>
      </c>
      <c r="D24">
        <f t="shared" si="1"/>
        <v>0.2</v>
      </c>
      <c r="G24" s="7" t="s">
        <v>352</v>
      </c>
    </row>
    <row r="25" spans="1:7" x14ac:dyDescent="0.3">
      <c r="A25" t="s">
        <v>89</v>
      </c>
      <c r="B25" s="3">
        <v>0.1</v>
      </c>
      <c r="C25">
        <v>3</v>
      </c>
      <c r="D25">
        <f t="shared" si="1"/>
        <v>0.30000000000000004</v>
      </c>
      <c r="G25" s="7" t="s">
        <v>353</v>
      </c>
    </row>
    <row r="26" spans="1:7" x14ac:dyDescent="0.3">
      <c r="A26" t="s">
        <v>88</v>
      </c>
      <c r="B26" s="3">
        <v>0.15</v>
      </c>
      <c r="C26">
        <v>3</v>
      </c>
      <c r="D26">
        <f>C26*B26</f>
        <v>0.44999999999999996</v>
      </c>
      <c r="G26" s="7" t="s">
        <v>354</v>
      </c>
    </row>
    <row r="27" spans="1:7" ht="15" thickBot="1" x14ac:dyDescent="0.35">
      <c r="B27" s="4">
        <f>SUM(B18:B26)</f>
        <v>1</v>
      </c>
      <c r="D27" s="6">
        <f>SUM(D18:D26)</f>
        <v>3.1000000000000005</v>
      </c>
      <c r="G27" s="7" t="s">
        <v>355</v>
      </c>
    </row>
    <row r="28" spans="1:7" ht="15" thickTop="1" x14ac:dyDescent="0.3">
      <c r="G28" s="7" t="s">
        <v>356</v>
      </c>
    </row>
    <row r="29" spans="1:7" x14ac:dyDescent="0.3">
      <c r="A29" t="s">
        <v>104</v>
      </c>
      <c r="G29" s="7" t="s">
        <v>357</v>
      </c>
    </row>
    <row r="30" spans="1:7" x14ac:dyDescent="0.3">
      <c r="A30" s="1" t="s">
        <v>0</v>
      </c>
      <c r="B30" s="1" t="s">
        <v>1</v>
      </c>
      <c r="C30" s="1" t="s">
        <v>201</v>
      </c>
      <c r="D30" s="1" t="s">
        <v>3</v>
      </c>
      <c r="G30" s="7" t="s">
        <v>358</v>
      </c>
    </row>
    <row r="31" spans="1:7" x14ac:dyDescent="0.3">
      <c r="A31" t="s">
        <v>205</v>
      </c>
      <c r="B31" s="3">
        <v>0.15</v>
      </c>
      <c r="C31">
        <v>3</v>
      </c>
      <c r="D31">
        <f>C31*B31</f>
        <v>0.44999999999999996</v>
      </c>
      <c r="G31" s="7" t="s">
        <v>165</v>
      </c>
    </row>
    <row r="32" spans="1:7" x14ac:dyDescent="0.3">
      <c r="A32" t="s">
        <v>202</v>
      </c>
      <c r="B32" s="3">
        <v>0.1</v>
      </c>
      <c r="C32">
        <v>2</v>
      </c>
      <c r="D32">
        <f t="shared" ref="D32:D38" si="2">C32*B32</f>
        <v>0.2</v>
      </c>
      <c r="G32" s="7" t="s">
        <v>166</v>
      </c>
    </row>
    <row r="33" spans="1:7" x14ac:dyDescent="0.3">
      <c r="A33" t="s">
        <v>206</v>
      </c>
      <c r="B33" s="3">
        <v>0.1</v>
      </c>
      <c r="C33">
        <v>3</v>
      </c>
      <c r="D33">
        <f t="shared" si="2"/>
        <v>0.30000000000000004</v>
      </c>
      <c r="G33" s="7" t="s">
        <v>169</v>
      </c>
    </row>
    <row r="34" spans="1:7" x14ac:dyDescent="0.3">
      <c r="A34" t="s">
        <v>91</v>
      </c>
      <c r="B34" s="3">
        <v>0.15</v>
      </c>
      <c r="C34">
        <v>3</v>
      </c>
      <c r="D34">
        <f t="shared" si="2"/>
        <v>0.44999999999999996</v>
      </c>
      <c r="G34" s="7" t="s">
        <v>168</v>
      </c>
    </row>
    <row r="35" spans="1:7" x14ac:dyDescent="0.3">
      <c r="A35" t="s">
        <v>90</v>
      </c>
      <c r="B35" s="3">
        <v>0.15</v>
      </c>
      <c r="C35">
        <v>3</v>
      </c>
      <c r="D35">
        <f t="shared" si="2"/>
        <v>0.44999999999999996</v>
      </c>
      <c r="G35" s="7" t="s">
        <v>359</v>
      </c>
    </row>
    <row r="36" spans="1:7" x14ac:dyDescent="0.3">
      <c r="A36" t="s">
        <v>203</v>
      </c>
      <c r="B36" s="3">
        <v>0.05</v>
      </c>
      <c r="C36">
        <v>4</v>
      </c>
      <c r="D36">
        <f t="shared" si="2"/>
        <v>0.2</v>
      </c>
      <c r="G36" s="7" t="s">
        <v>360</v>
      </c>
    </row>
    <row r="37" spans="1:7" x14ac:dyDescent="0.3">
      <c r="A37" t="s">
        <v>204</v>
      </c>
      <c r="B37" s="3">
        <v>0.05</v>
      </c>
      <c r="C37">
        <v>3</v>
      </c>
      <c r="D37">
        <f t="shared" si="2"/>
        <v>0.15000000000000002</v>
      </c>
      <c r="G37" s="7" t="s">
        <v>166</v>
      </c>
    </row>
    <row r="38" spans="1:7" x14ac:dyDescent="0.3">
      <c r="A38" t="s">
        <v>89</v>
      </c>
      <c r="B38" s="3">
        <v>0.1</v>
      </c>
      <c r="C38">
        <v>4</v>
      </c>
      <c r="D38">
        <f t="shared" si="2"/>
        <v>0.4</v>
      </c>
      <c r="G38" s="7" t="s">
        <v>172</v>
      </c>
    </row>
    <row r="39" spans="1:7" x14ac:dyDescent="0.3">
      <c r="A39" t="s">
        <v>88</v>
      </c>
      <c r="B39" s="3">
        <v>0.15</v>
      </c>
      <c r="C39">
        <v>3</v>
      </c>
      <c r="D39">
        <f>C39*B39</f>
        <v>0.44999999999999996</v>
      </c>
      <c r="G39" s="7" t="s">
        <v>173</v>
      </c>
    </row>
    <row r="40" spans="1:7" ht="15" thickBot="1" x14ac:dyDescent="0.35">
      <c r="B40" s="4">
        <f>SUM(B31:B39)</f>
        <v>1</v>
      </c>
      <c r="D40" s="6">
        <f>SUM(D31:D39)</f>
        <v>3.05</v>
      </c>
      <c r="G40" s="7" t="s">
        <v>361</v>
      </c>
    </row>
    <row r="41" spans="1:7" ht="15" thickTop="1" x14ac:dyDescent="0.3">
      <c r="G41" s="7" t="s">
        <v>362</v>
      </c>
    </row>
    <row r="42" spans="1:7" x14ac:dyDescent="0.3">
      <c r="A42" t="s">
        <v>105</v>
      </c>
      <c r="G42" s="7" t="s">
        <v>363</v>
      </c>
    </row>
    <row r="43" spans="1:7" x14ac:dyDescent="0.3">
      <c r="A43" s="1" t="s">
        <v>0</v>
      </c>
      <c r="B43" s="1" t="s">
        <v>1</v>
      </c>
      <c r="C43" s="1" t="s">
        <v>201</v>
      </c>
      <c r="D43" s="1" t="s">
        <v>3</v>
      </c>
      <c r="G43" s="7" t="s">
        <v>177</v>
      </c>
    </row>
    <row r="44" spans="1:7" x14ac:dyDescent="0.3">
      <c r="A44" t="s">
        <v>205</v>
      </c>
      <c r="B44" s="3">
        <v>0.15</v>
      </c>
      <c r="C44">
        <v>3</v>
      </c>
      <c r="D44">
        <f>C44*B44</f>
        <v>0.44999999999999996</v>
      </c>
      <c r="G44" s="7" t="s">
        <v>178</v>
      </c>
    </row>
    <row r="45" spans="1:7" x14ac:dyDescent="0.3">
      <c r="A45" t="s">
        <v>202</v>
      </c>
      <c r="B45" s="3">
        <v>0.1</v>
      </c>
      <c r="C45">
        <v>2</v>
      </c>
      <c r="D45">
        <f t="shared" ref="D45:D51" si="3">C45*B45</f>
        <v>0.2</v>
      </c>
      <c r="G45" s="7" t="s">
        <v>364</v>
      </c>
    </row>
    <row r="46" spans="1:7" x14ac:dyDescent="0.3">
      <c r="A46" t="s">
        <v>206</v>
      </c>
      <c r="B46" s="3">
        <v>0.1</v>
      </c>
      <c r="C46">
        <v>3</v>
      </c>
      <c r="D46">
        <f t="shared" si="3"/>
        <v>0.30000000000000004</v>
      </c>
      <c r="G46" s="7" t="s">
        <v>365</v>
      </c>
    </row>
    <row r="47" spans="1:7" x14ac:dyDescent="0.3">
      <c r="A47" t="s">
        <v>91</v>
      </c>
      <c r="B47" s="3">
        <v>0.15</v>
      </c>
      <c r="C47">
        <v>3</v>
      </c>
      <c r="D47">
        <f t="shared" si="3"/>
        <v>0.44999999999999996</v>
      </c>
      <c r="G47" s="7" t="s">
        <v>366</v>
      </c>
    </row>
    <row r="48" spans="1:7" x14ac:dyDescent="0.3">
      <c r="A48" t="s">
        <v>90</v>
      </c>
      <c r="B48" s="3">
        <v>0.15</v>
      </c>
      <c r="C48">
        <v>4</v>
      </c>
      <c r="D48">
        <f t="shared" si="3"/>
        <v>0.6</v>
      </c>
      <c r="G48" s="7" t="s">
        <v>165</v>
      </c>
    </row>
    <row r="49" spans="1:7" x14ac:dyDescent="0.3">
      <c r="A49" t="s">
        <v>203</v>
      </c>
      <c r="B49" s="3">
        <v>0.05</v>
      </c>
      <c r="C49">
        <v>4</v>
      </c>
      <c r="D49">
        <f t="shared" si="3"/>
        <v>0.2</v>
      </c>
      <c r="G49" s="7" t="s">
        <v>166</v>
      </c>
    </row>
    <row r="50" spans="1:7" x14ac:dyDescent="0.3">
      <c r="A50" t="s">
        <v>204</v>
      </c>
      <c r="B50" s="3">
        <v>0.05</v>
      </c>
      <c r="C50">
        <v>3</v>
      </c>
      <c r="D50">
        <f t="shared" si="3"/>
        <v>0.15000000000000002</v>
      </c>
      <c r="G50" s="7" t="s">
        <v>182</v>
      </c>
    </row>
    <row r="51" spans="1:7" x14ac:dyDescent="0.3">
      <c r="A51" t="s">
        <v>89</v>
      </c>
      <c r="B51" s="3">
        <v>0.1</v>
      </c>
      <c r="C51">
        <v>4</v>
      </c>
      <c r="D51">
        <f t="shared" si="3"/>
        <v>0.4</v>
      </c>
      <c r="G51" s="7" t="s">
        <v>367</v>
      </c>
    </row>
    <row r="52" spans="1:7" x14ac:dyDescent="0.3">
      <c r="A52" t="s">
        <v>88</v>
      </c>
      <c r="B52" s="3">
        <v>0.15</v>
      </c>
      <c r="C52">
        <v>4</v>
      </c>
      <c r="D52">
        <f>C52*B52</f>
        <v>0.6</v>
      </c>
      <c r="G52" s="7" t="s">
        <v>368</v>
      </c>
    </row>
    <row r="53" spans="1:7" ht="15" thickBot="1" x14ac:dyDescent="0.35">
      <c r="B53" s="4">
        <f>SUM(B44:B52)</f>
        <v>1</v>
      </c>
      <c r="D53" s="6">
        <f>SUM(D44:D52)</f>
        <v>3.35</v>
      </c>
      <c r="G53" s="7" t="s">
        <v>185</v>
      </c>
    </row>
    <row r="54" spans="1:7" ht="15" thickTop="1" x14ac:dyDescent="0.3">
      <c r="G54" s="7" t="s">
        <v>177</v>
      </c>
    </row>
    <row r="55" spans="1:7" x14ac:dyDescent="0.3">
      <c r="A55" t="s">
        <v>106</v>
      </c>
      <c r="G55" s="7" t="s">
        <v>327</v>
      </c>
    </row>
    <row r="56" spans="1:7" x14ac:dyDescent="0.3">
      <c r="A56" s="1" t="s">
        <v>0</v>
      </c>
      <c r="B56" s="1" t="s">
        <v>1</v>
      </c>
      <c r="C56" s="1" t="s">
        <v>201</v>
      </c>
      <c r="D56" s="1" t="s">
        <v>3</v>
      </c>
      <c r="G56" s="7" t="s">
        <v>369</v>
      </c>
    </row>
    <row r="57" spans="1:7" x14ac:dyDescent="0.3">
      <c r="A57" t="s">
        <v>205</v>
      </c>
      <c r="B57" s="3">
        <v>0.15</v>
      </c>
      <c r="C57">
        <v>4</v>
      </c>
      <c r="D57">
        <f>C57*B57</f>
        <v>0.6</v>
      </c>
      <c r="G57" s="7" t="s">
        <v>268</v>
      </c>
    </row>
    <row r="58" spans="1:7" x14ac:dyDescent="0.3">
      <c r="A58" t="s">
        <v>202</v>
      </c>
      <c r="B58" s="3">
        <v>0.1</v>
      </c>
      <c r="C58">
        <v>3</v>
      </c>
      <c r="D58">
        <f t="shared" ref="D58:D64" si="4">C58*B58</f>
        <v>0.30000000000000004</v>
      </c>
      <c r="G58" s="7" t="s">
        <v>177</v>
      </c>
    </row>
    <row r="59" spans="1:7" x14ac:dyDescent="0.3">
      <c r="A59" t="s">
        <v>206</v>
      </c>
      <c r="B59" s="3">
        <v>0.1</v>
      </c>
      <c r="C59">
        <v>4</v>
      </c>
      <c r="D59">
        <f t="shared" si="4"/>
        <v>0.4</v>
      </c>
      <c r="G59" s="7" t="s">
        <v>333</v>
      </c>
    </row>
    <row r="60" spans="1:7" x14ac:dyDescent="0.3">
      <c r="A60" t="s">
        <v>91</v>
      </c>
      <c r="B60" s="3">
        <v>0.15</v>
      </c>
      <c r="C60">
        <v>3</v>
      </c>
      <c r="D60">
        <f t="shared" si="4"/>
        <v>0.44999999999999996</v>
      </c>
      <c r="G60" s="7" t="s">
        <v>370</v>
      </c>
    </row>
    <row r="61" spans="1:7" x14ac:dyDescent="0.3">
      <c r="A61" t="s">
        <v>90</v>
      </c>
      <c r="B61" s="3">
        <v>0.15</v>
      </c>
      <c r="C61">
        <v>3</v>
      </c>
      <c r="D61">
        <f t="shared" si="4"/>
        <v>0.44999999999999996</v>
      </c>
      <c r="G61" s="7" t="s">
        <v>185</v>
      </c>
    </row>
    <row r="62" spans="1:7" x14ac:dyDescent="0.3">
      <c r="A62" t="s">
        <v>203</v>
      </c>
      <c r="B62" s="3">
        <v>0.05</v>
      </c>
      <c r="C62">
        <v>4</v>
      </c>
      <c r="D62">
        <f t="shared" si="4"/>
        <v>0.2</v>
      </c>
      <c r="G62" s="7" t="s">
        <v>177</v>
      </c>
    </row>
    <row r="63" spans="1:7" x14ac:dyDescent="0.3">
      <c r="A63" t="s">
        <v>204</v>
      </c>
      <c r="B63" s="3">
        <v>0.05</v>
      </c>
      <c r="C63">
        <v>4</v>
      </c>
      <c r="D63">
        <f t="shared" si="4"/>
        <v>0.2</v>
      </c>
      <c r="G63" s="7" t="s">
        <v>192</v>
      </c>
    </row>
    <row r="64" spans="1:7" x14ac:dyDescent="0.3">
      <c r="A64" t="s">
        <v>89</v>
      </c>
      <c r="B64" s="3">
        <v>0.1</v>
      </c>
      <c r="C64">
        <v>4</v>
      </c>
      <c r="D64">
        <f t="shared" si="4"/>
        <v>0.4</v>
      </c>
      <c r="G64" s="7" t="s">
        <v>371</v>
      </c>
    </row>
    <row r="65" spans="1:7" x14ac:dyDescent="0.3">
      <c r="A65" t="s">
        <v>88</v>
      </c>
      <c r="B65" s="3">
        <v>0.15</v>
      </c>
      <c r="C65">
        <v>3</v>
      </c>
      <c r="D65">
        <f>C65*B65</f>
        <v>0.44999999999999996</v>
      </c>
      <c r="G65" s="7" t="s">
        <v>185</v>
      </c>
    </row>
    <row r="66" spans="1:7" ht="15" thickBot="1" x14ac:dyDescent="0.35">
      <c r="B66" s="4">
        <f>SUM(B57:B65)</f>
        <v>1</v>
      </c>
      <c r="D66" s="6">
        <f>SUM(D57:D65)</f>
        <v>3.45</v>
      </c>
      <c r="G66" t="s">
        <v>177</v>
      </c>
    </row>
    <row r="67" spans="1:7" ht="15" thickTop="1" x14ac:dyDescent="0.3">
      <c r="G67" s="7" t="s">
        <v>372</v>
      </c>
    </row>
    <row r="68" spans="1:7" x14ac:dyDescent="0.3">
      <c r="A68" t="s">
        <v>107</v>
      </c>
      <c r="G68" s="7" t="s">
        <v>373</v>
      </c>
    </row>
    <row r="69" spans="1:7" x14ac:dyDescent="0.3">
      <c r="A69" s="1" t="s">
        <v>0</v>
      </c>
      <c r="B69" s="1" t="s">
        <v>1</v>
      </c>
      <c r="C69" s="1" t="s">
        <v>201</v>
      </c>
      <c r="D69" s="1" t="s">
        <v>3</v>
      </c>
      <c r="G69" t="s">
        <v>185</v>
      </c>
    </row>
    <row r="70" spans="1:7" x14ac:dyDescent="0.3">
      <c r="A70" t="s">
        <v>205</v>
      </c>
      <c r="B70" s="3">
        <v>0.15</v>
      </c>
      <c r="C70">
        <v>4</v>
      </c>
      <c r="D70">
        <f>C70*B70</f>
        <v>0.6</v>
      </c>
      <c r="G70" s="7" t="s">
        <v>165</v>
      </c>
    </row>
    <row r="71" spans="1:7" x14ac:dyDescent="0.3">
      <c r="A71" t="s">
        <v>202</v>
      </c>
      <c r="B71" s="3">
        <v>0.1</v>
      </c>
      <c r="C71">
        <v>3</v>
      </c>
      <c r="D71">
        <f t="shared" ref="D71:D77" si="5">C71*B71</f>
        <v>0.30000000000000004</v>
      </c>
      <c r="G71" s="7" t="s">
        <v>166</v>
      </c>
    </row>
    <row r="72" spans="1:7" x14ac:dyDescent="0.3">
      <c r="A72" t="s">
        <v>206</v>
      </c>
      <c r="B72" s="3">
        <v>0.1</v>
      </c>
      <c r="C72">
        <v>3</v>
      </c>
      <c r="D72">
        <f t="shared" si="5"/>
        <v>0.30000000000000004</v>
      </c>
      <c r="G72" s="7" t="s">
        <v>194</v>
      </c>
    </row>
    <row r="73" spans="1:7" x14ac:dyDescent="0.3">
      <c r="A73" t="s">
        <v>91</v>
      </c>
      <c r="B73" s="3">
        <v>0.15</v>
      </c>
      <c r="C73">
        <v>4</v>
      </c>
      <c r="D73">
        <f t="shared" si="5"/>
        <v>0.6</v>
      </c>
      <c r="G73" s="7" t="s">
        <v>374</v>
      </c>
    </row>
    <row r="74" spans="1:7" x14ac:dyDescent="0.3">
      <c r="A74" t="s">
        <v>90</v>
      </c>
      <c r="B74" s="3">
        <v>0.15</v>
      </c>
      <c r="C74">
        <v>4</v>
      </c>
      <c r="D74">
        <f t="shared" si="5"/>
        <v>0.6</v>
      </c>
      <c r="G74" s="7" t="s">
        <v>336</v>
      </c>
    </row>
    <row r="75" spans="1:7" x14ac:dyDescent="0.3">
      <c r="A75" t="s">
        <v>203</v>
      </c>
      <c r="B75" s="3">
        <v>0.05</v>
      </c>
      <c r="C75">
        <v>4</v>
      </c>
      <c r="D75">
        <f t="shared" si="5"/>
        <v>0.2</v>
      </c>
      <c r="G75" t="s">
        <v>375</v>
      </c>
    </row>
    <row r="76" spans="1:7" x14ac:dyDescent="0.3">
      <c r="A76" t="s">
        <v>204</v>
      </c>
      <c r="B76" s="3">
        <v>0.05</v>
      </c>
      <c r="C76">
        <v>3</v>
      </c>
      <c r="D76">
        <f t="shared" si="5"/>
        <v>0.15000000000000002</v>
      </c>
      <c r="G76" s="7" t="s">
        <v>376</v>
      </c>
    </row>
    <row r="77" spans="1:7" x14ac:dyDescent="0.3">
      <c r="A77" t="s">
        <v>89</v>
      </c>
      <c r="B77" s="3">
        <v>0.1</v>
      </c>
      <c r="C77">
        <v>4</v>
      </c>
      <c r="D77">
        <f t="shared" si="5"/>
        <v>0.4</v>
      </c>
      <c r="G77" s="7" t="s">
        <v>199</v>
      </c>
    </row>
    <row r="78" spans="1:7" x14ac:dyDescent="0.3">
      <c r="A78" t="s">
        <v>88</v>
      </c>
      <c r="B78" s="3">
        <v>0.15</v>
      </c>
      <c r="C78">
        <v>3</v>
      </c>
      <c r="D78">
        <f>C78*B78</f>
        <v>0.44999999999999996</v>
      </c>
      <c r="G78" s="7" t="s">
        <v>77</v>
      </c>
    </row>
    <row r="79" spans="1:7" ht="15" thickBot="1" x14ac:dyDescent="0.35">
      <c r="B79" s="4">
        <f>SUM(B70:B78)</f>
        <v>1</v>
      </c>
      <c r="D79" s="6">
        <f>SUM(D70:D78)</f>
        <v>3.6000000000000005</v>
      </c>
    </row>
    <row r="80" spans="1:7" ht="15" thickTop="1" x14ac:dyDescent="0.3">
      <c r="G80" s="7" t="s">
        <v>377</v>
      </c>
    </row>
    <row r="81" spans="1:7" x14ac:dyDescent="0.3">
      <c r="A81" t="s">
        <v>108</v>
      </c>
      <c r="G81" s="7"/>
    </row>
    <row r="82" spans="1:7" x14ac:dyDescent="0.3">
      <c r="A82" s="1" t="s">
        <v>0</v>
      </c>
      <c r="B82" s="1" t="s">
        <v>1</v>
      </c>
      <c r="C82" s="1" t="s">
        <v>201</v>
      </c>
      <c r="D82" s="1" t="s">
        <v>3</v>
      </c>
      <c r="G82" s="7" t="s">
        <v>280</v>
      </c>
    </row>
    <row r="83" spans="1:7" x14ac:dyDescent="0.3">
      <c r="A83" t="s">
        <v>205</v>
      </c>
      <c r="B83" s="3">
        <v>0.15</v>
      </c>
      <c r="C83">
        <v>3</v>
      </c>
      <c r="D83">
        <f>C83*B83</f>
        <v>0.44999999999999996</v>
      </c>
      <c r="G83" t="s">
        <v>281</v>
      </c>
    </row>
    <row r="84" spans="1:7" x14ac:dyDescent="0.3">
      <c r="A84" t="s">
        <v>202</v>
      </c>
      <c r="B84" s="3">
        <v>0.1</v>
      </c>
      <c r="C84">
        <v>2</v>
      </c>
      <c r="D84">
        <f t="shared" ref="D84:D90" si="6">C84*B84</f>
        <v>0.2</v>
      </c>
      <c r="G84" t="s">
        <v>85</v>
      </c>
    </row>
    <row r="85" spans="1:7" x14ac:dyDescent="0.3">
      <c r="A85" t="s">
        <v>206</v>
      </c>
      <c r="B85" s="3">
        <v>0.1</v>
      </c>
      <c r="C85">
        <v>4</v>
      </c>
      <c r="D85">
        <f t="shared" si="6"/>
        <v>0.4</v>
      </c>
      <c r="G85" t="s">
        <v>86</v>
      </c>
    </row>
    <row r="86" spans="1:7" x14ac:dyDescent="0.3">
      <c r="A86" t="s">
        <v>91</v>
      </c>
      <c r="B86" s="3">
        <v>0.15</v>
      </c>
      <c r="C86">
        <v>3</v>
      </c>
      <c r="D86">
        <f t="shared" si="6"/>
        <v>0.44999999999999996</v>
      </c>
      <c r="G86" t="s">
        <v>282</v>
      </c>
    </row>
    <row r="87" spans="1:7" x14ac:dyDescent="0.3">
      <c r="A87" t="s">
        <v>90</v>
      </c>
      <c r="B87" s="3">
        <v>0.15</v>
      </c>
      <c r="C87">
        <v>4</v>
      </c>
      <c r="D87">
        <f t="shared" si="6"/>
        <v>0.6</v>
      </c>
      <c r="G87" t="s">
        <v>200</v>
      </c>
    </row>
    <row r="88" spans="1:7" x14ac:dyDescent="0.3">
      <c r="A88" t="s">
        <v>203</v>
      </c>
      <c r="B88" s="3">
        <v>0.05</v>
      </c>
      <c r="C88">
        <v>4</v>
      </c>
      <c r="D88">
        <f t="shared" si="6"/>
        <v>0.2</v>
      </c>
    </row>
    <row r="89" spans="1:7" x14ac:dyDescent="0.3">
      <c r="A89" t="s">
        <v>204</v>
      </c>
      <c r="B89" s="3">
        <v>0.05</v>
      </c>
      <c r="C89">
        <v>3</v>
      </c>
      <c r="D89">
        <f t="shared" si="6"/>
        <v>0.15000000000000002</v>
      </c>
      <c r="G89" t="s">
        <v>221</v>
      </c>
    </row>
    <row r="90" spans="1:7" x14ac:dyDescent="0.3">
      <c r="A90" t="s">
        <v>89</v>
      </c>
      <c r="B90" s="3">
        <v>0.1</v>
      </c>
      <c r="C90">
        <v>4</v>
      </c>
      <c r="D90">
        <f t="shared" si="6"/>
        <v>0.4</v>
      </c>
      <c r="G90" t="s">
        <v>222</v>
      </c>
    </row>
    <row r="91" spans="1:7" x14ac:dyDescent="0.3">
      <c r="A91" t="s">
        <v>88</v>
      </c>
      <c r="B91" s="3">
        <v>0.15</v>
      </c>
      <c r="C91">
        <v>4</v>
      </c>
      <c r="D91">
        <f>C91*B91</f>
        <v>0.6</v>
      </c>
      <c r="G91" t="s">
        <v>223</v>
      </c>
    </row>
    <row r="92" spans="1:7" ht="15" thickBot="1" x14ac:dyDescent="0.35">
      <c r="B92" s="4">
        <f>SUM(B83:B91)</f>
        <v>1</v>
      </c>
      <c r="D92" s="6">
        <f>SUM(D83:D91)</f>
        <v>3.4499999999999997</v>
      </c>
      <c r="G92" t="s">
        <v>224</v>
      </c>
    </row>
    <row r="93" spans="1:7" ht="15" thickTop="1" x14ac:dyDescent="0.3">
      <c r="G93" t="s">
        <v>378</v>
      </c>
    </row>
    <row r="94" spans="1:7" x14ac:dyDescent="0.3">
      <c r="A94" t="s">
        <v>109</v>
      </c>
      <c r="G94" t="s">
        <v>226</v>
      </c>
    </row>
    <row r="95" spans="1:7" x14ac:dyDescent="0.3">
      <c r="A95" s="1" t="s">
        <v>0</v>
      </c>
      <c r="B95" s="1" t="s">
        <v>1</v>
      </c>
      <c r="C95" s="1" t="s">
        <v>201</v>
      </c>
      <c r="D95" s="1" t="s">
        <v>3</v>
      </c>
      <c r="G95" t="s">
        <v>227</v>
      </c>
    </row>
    <row r="96" spans="1:7" x14ac:dyDescent="0.3">
      <c r="A96" t="s">
        <v>205</v>
      </c>
      <c r="B96" s="3">
        <v>0.15</v>
      </c>
      <c r="C96">
        <v>4</v>
      </c>
      <c r="D96">
        <f>C96*B96</f>
        <v>0.6</v>
      </c>
      <c r="G96" t="s">
        <v>228</v>
      </c>
    </row>
    <row r="97" spans="1:7" x14ac:dyDescent="0.3">
      <c r="A97" t="s">
        <v>202</v>
      </c>
      <c r="B97" s="3">
        <v>0.1</v>
      </c>
      <c r="C97">
        <v>3</v>
      </c>
      <c r="D97">
        <f t="shared" ref="D97:D103" si="7">C97*B97</f>
        <v>0.30000000000000004</v>
      </c>
      <c r="G97" t="s">
        <v>229</v>
      </c>
    </row>
    <row r="98" spans="1:7" x14ac:dyDescent="0.3">
      <c r="A98" t="s">
        <v>206</v>
      </c>
      <c r="B98" s="3">
        <v>0.1</v>
      </c>
      <c r="C98">
        <v>4</v>
      </c>
      <c r="D98">
        <f t="shared" si="7"/>
        <v>0.4</v>
      </c>
      <c r="G98" t="s">
        <v>230</v>
      </c>
    </row>
    <row r="99" spans="1:7" x14ac:dyDescent="0.3">
      <c r="A99" t="s">
        <v>91</v>
      </c>
      <c r="B99" s="3">
        <v>0.15</v>
      </c>
      <c r="C99">
        <v>4</v>
      </c>
      <c r="D99">
        <f t="shared" si="7"/>
        <v>0.6</v>
      </c>
    </row>
    <row r="100" spans="1:7" x14ac:dyDescent="0.3">
      <c r="A100" t="s">
        <v>90</v>
      </c>
      <c r="B100" s="3">
        <v>0.15</v>
      </c>
      <c r="C100">
        <v>3</v>
      </c>
      <c r="D100">
        <f t="shared" si="7"/>
        <v>0.44999999999999996</v>
      </c>
      <c r="G100" t="s">
        <v>231</v>
      </c>
    </row>
    <row r="101" spans="1:7" x14ac:dyDescent="0.3">
      <c r="A101" t="s">
        <v>203</v>
      </c>
      <c r="B101" s="3">
        <v>0.05</v>
      </c>
      <c r="C101">
        <v>4</v>
      </c>
      <c r="D101">
        <f t="shared" si="7"/>
        <v>0.2</v>
      </c>
      <c r="G101" t="s">
        <v>283</v>
      </c>
    </row>
    <row r="102" spans="1:7" x14ac:dyDescent="0.3">
      <c r="A102" t="s">
        <v>204</v>
      </c>
      <c r="B102" s="3">
        <v>0.05</v>
      </c>
      <c r="C102">
        <v>4</v>
      </c>
      <c r="D102">
        <f t="shared" si="7"/>
        <v>0.2</v>
      </c>
    </row>
    <row r="103" spans="1:7" x14ac:dyDescent="0.3">
      <c r="A103" t="s">
        <v>89</v>
      </c>
      <c r="B103" s="3">
        <v>0.1</v>
      </c>
      <c r="C103">
        <v>4</v>
      </c>
      <c r="D103">
        <f t="shared" si="7"/>
        <v>0.4</v>
      </c>
      <c r="G103" t="s">
        <v>233</v>
      </c>
    </row>
    <row r="104" spans="1:7" x14ac:dyDescent="0.3">
      <c r="A104" t="s">
        <v>88</v>
      </c>
      <c r="B104" s="3">
        <v>0.15</v>
      </c>
      <c r="C104">
        <v>3</v>
      </c>
      <c r="D104">
        <f>C104*B104</f>
        <v>0.44999999999999996</v>
      </c>
      <c r="G104" t="s">
        <v>284</v>
      </c>
    </row>
    <row r="105" spans="1:7" ht="15" thickBot="1" x14ac:dyDescent="0.35">
      <c r="B105" s="4">
        <f>SUM(B96:B104)</f>
        <v>1</v>
      </c>
      <c r="D105" s="6">
        <f>SUM(D96:D104)</f>
        <v>3.5999999999999996</v>
      </c>
      <c r="G105" t="s">
        <v>285</v>
      </c>
    </row>
    <row r="106" spans="1:7" ht="15" thickTop="1" x14ac:dyDescent="0.3">
      <c r="G106" t="s">
        <v>286</v>
      </c>
    </row>
    <row r="107" spans="1:7" x14ac:dyDescent="0.3">
      <c r="A107" t="s">
        <v>110</v>
      </c>
      <c r="G107" t="s">
        <v>287</v>
      </c>
    </row>
    <row r="108" spans="1:7" x14ac:dyDescent="0.3">
      <c r="A108" s="1" t="s">
        <v>0</v>
      </c>
      <c r="B108" s="1" t="s">
        <v>1</v>
      </c>
      <c r="C108" s="1" t="s">
        <v>201</v>
      </c>
      <c r="D108" s="1" t="s">
        <v>3</v>
      </c>
      <c r="G108" t="s">
        <v>288</v>
      </c>
    </row>
    <row r="109" spans="1:7" x14ac:dyDescent="0.3">
      <c r="A109" t="s">
        <v>205</v>
      </c>
      <c r="B109" s="3">
        <v>0.15</v>
      </c>
      <c r="C109">
        <v>4</v>
      </c>
      <c r="D109">
        <f>C109*B109</f>
        <v>0.6</v>
      </c>
    </row>
    <row r="110" spans="1:7" x14ac:dyDescent="0.3">
      <c r="A110" t="s">
        <v>202</v>
      </c>
      <c r="B110" s="3">
        <v>0.1</v>
      </c>
      <c r="C110">
        <v>2</v>
      </c>
      <c r="D110">
        <f t="shared" ref="D110:D116" si="8">C110*B110</f>
        <v>0.2</v>
      </c>
      <c r="G110" t="s">
        <v>237</v>
      </c>
    </row>
    <row r="111" spans="1:7" x14ac:dyDescent="0.3">
      <c r="A111" t="s">
        <v>206</v>
      </c>
      <c r="B111" s="3">
        <v>0.1</v>
      </c>
      <c r="C111">
        <v>4</v>
      </c>
      <c r="D111">
        <f t="shared" si="8"/>
        <v>0.4</v>
      </c>
    </row>
    <row r="112" spans="1:7" x14ac:dyDescent="0.3">
      <c r="A112" t="s">
        <v>91</v>
      </c>
      <c r="B112" s="3">
        <v>0.15</v>
      </c>
      <c r="C112">
        <v>4</v>
      </c>
      <c r="D112">
        <f t="shared" si="8"/>
        <v>0.6</v>
      </c>
      <c r="G112" t="s">
        <v>238</v>
      </c>
    </row>
    <row r="113" spans="1:7" x14ac:dyDescent="0.3">
      <c r="A113" t="s">
        <v>90</v>
      </c>
      <c r="B113" s="3">
        <v>0.15</v>
      </c>
      <c r="C113">
        <v>4</v>
      </c>
      <c r="D113">
        <f t="shared" si="8"/>
        <v>0.6</v>
      </c>
      <c r="G113" t="s">
        <v>379</v>
      </c>
    </row>
    <row r="114" spans="1:7" x14ac:dyDescent="0.3">
      <c r="A114" t="s">
        <v>203</v>
      </c>
      <c r="B114" s="3">
        <v>0.05</v>
      </c>
      <c r="C114">
        <v>4</v>
      </c>
      <c r="D114">
        <f t="shared" si="8"/>
        <v>0.2</v>
      </c>
      <c r="G114" t="s">
        <v>380</v>
      </c>
    </row>
    <row r="115" spans="1:7" x14ac:dyDescent="0.3">
      <c r="A115" t="s">
        <v>204</v>
      </c>
      <c r="B115" s="3">
        <v>0.05</v>
      </c>
      <c r="C115">
        <v>3</v>
      </c>
      <c r="D115">
        <f t="shared" si="8"/>
        <v>0.15000000000000002</v>
      </c>
      <c r="G115" t="s">
        <v>241</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3.6000000000000005</v>
      </c>
    </row>
    <row r="119" spans="1:7" ht="15" thickTop="1"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4068-A492-4801-B31A-BF9D9FCA5231}">
  <dimension ref="A1:G144"/>
  <sheetViews>
    <sheetView topLeftCell="A86" zoomScale="87" workbookViewId="0">
      <selection activeCell="C124" sqref="C124"/>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381</v>
      </c>
    </row>
    <row r="5" spans="1:7" x14ac:dyDescent="0.3">
      <c r="A5" t="s">
        <v>205</v>
      </c>
      <c r="B5" s="3">
        <v>0.15</v>
      </c>
      <c r="C5">
        <v>3</v>
      </c>
      <c r="D5">
        <f>C5*B5</f>
        <v>0.44999999999999996</v>
      </c>
      <c r="G5" s="7" t="s">
        <v>382</v>
      </c>
    </row>
    <row r="6" spans="1:7" x14ac:dyDescent="0.3">
      <c r="A6" t="s">
        <v>202</v>
      </c>
      <c r="B6" s="3">
        <v>0.1</v>
      </c>
      <c r="C6">
        <v>3</v>
      </c>
      <c r="D6">
        <f t="shared" ref="D6:D12" si="0">C6*B6</f>
        <v>0.30000000000000004</v>
      </c>
      <c r="G6" s="7" t="s">
        <v>1922</v>
      </c>
    </row>
    <row r="7" spans="1:7" x14ac:dyDescent="0.3">
      <c r="A7" t="s">
        <v>206</v>
      </c>
      <c r="B7" s="3">
        <v>0.1</v>
      </c>
      <c r="C7">
        <v>3</v>
      </c>
      <c r="D7">
        <f t="shared" si="0"/>
        <v>0.30000000000000004</v>
      </c>
      <c r="G7" s="7" t="s">
        <v>384</v>
      </c>
    </row>
    <row r="8" spans="1:7" x14ac:dyDescent="0.3">
      <c r="A8" t="s">
        <v>91</v>
      </c>
      <c r="B8" s="3">
        <v>0.15</v>
      </c>
      <c r="C8">
        <v>3</v>
      </c>
      <c r="D8">
        <f t="shared" si="0"/>
        <v>0.44999999999999996</v>
      </c>
      <c r="G8" s="7" t="s">
        <v>3487</v>
      </c>
    </row>
    <row r="9" spans="1:7" x14ac:dyDescent="0.3">
      <c r="A9" t="s">
        <v>90</v>
      </c>
      <c r="B9" s="3">
        <v>0.15</v>
      </c>
      <c r="C9">
        <v>3</v>
      </c>
      <c r="D9">
        <f t="shared" si="0"/>
        <v>0.44999999999999996</v>
      </c>
      <c r="G9" s="7" t="s">
        <v>3488</v>
      </c>
    </row>
    <row r="10" spans="1:7" x14ac:dyDescent="0.3">
      <c r="A10" t="s">
        <v>203</v>
      </c>
      <c r="B10" s="3">
        <v>0.05</v>
      </c>
      <c r="C10">
        <v>4</v>
      </c>
      <c r="D10">
        <f t="shared" si="0"/>
        <v>0.2</v>
      </c>
      <c r="G10" s="7" t="s">
        <v>3489</v>
      </c>
    </row>
    <row r="11" spans="1:7" x14ac:dyDescent="0.3">
      <c r="A11" t="s">
        <v>204</v>
      </c>
      <c r="B11" s="3">
        <v>0.05</v>
      </c>
      <c r="C11">
        <v>3</v>
      </c>
      <c r="D11">
        <f t="shared" si="0"/>
        <v>0.15000000000000002</v>
      </c>
      <c r="G11" s="7" t="s">
        <v>3490</v>
      </c>
    </row>
    <row r="12" spans="1:7" x14ac:dyDescent="0.3">
      <c r="A12" t="s">
        <v>89</v>
      </c>
      <c r="B12" s="3">
        <v>0.1</v>
      </c>
      <c r="C12">
        <v>4</v>
      </c>
      <c r="D12">
        <f t="shared" si="0"/>
        <v>0.4</v>
      </c>
      <c r="G12" s="7" t="s">
        <v>3491</v>
      </c>
    </row>
    <row r="13" spans="1:7" x14ac:dyDescent="0.3">
      <c r="A13" t="s">
        <v>88</v>
      </c>
      <c r="B13" s="3">
        <v>0.15</v>
      </c>
      <c r="C13">
        <v>3</v>
      </c>
      <c r="D13">
        <f>C13*B13</f>
        <v>0.44999999999999996</v>
      </c>
      <c r="G13" s="7" t="s">
        <v>3492</v>
      </c>
    </row>
    <row r="14" spans="1:7" ht="15" thickBot="1" x14ac:dyDescent="0.35">
      <c r="B14" s="4">
        <f>SUM(B5:B13)</f>
        <v>1</v>
      </c>
      <c r="D14" s="6">
        <f>SUM(D5:D13)</f>
        <v>3.1499999999999995</v>
      </c>
      <c r="G14" s="7" t="s">
        <v>3493</v>
      </c>
    </row>
    <row r="15" spans="1:7" ht="15" thickTop="1" x14ac:dyDescent="0.3">
      <c r="G15" s="7" t="s">
        <v>3494</v>
      </c>
    </row>
    <row r="16" spans="1:7" x14ac:dyDescent="0.3">
      <c r="A16" t="s">
        <v>103</v>
      </c>
      <c r="G16" s="7" t="s">
        <v>393</v>
      </c>
    </row>
    <row r="17" spans="1:7" x14ac:dyDescent="0.3">
      <c r="A17" s="1" t="s">
        <v>0</v>
      </c>
      <c r="B17" s="1" t="s">
        <v>1</v>
      </c>
      <c r="C17" s="1" t="s">
        <v>201</v>
      </c>
      <c r="D17" s="1" t="s">
        <v>3</v>
      </c>
      <c r="G17" s="7" t="s">
        <v>3495</v>
      </c>
    </row>
    <row r="18" spans="1:7" x14ac:dyDescent="0.3">
      <c r="A18" t="s">
        <v>205</v>
      </c>
      <c r="B18" s="3">
        <v>0.15</v>
      </c>
      <c r="C18">
        <v>3</v>
      </c>
      <c r="D18">
        <f>C18*B18</f>
        <v>0.44999999999999996</v>
      </c>
      <c r="G18" s="7" t="s">
        <v>177</v>
      </c>
    </row>
    <row r="19" spans="1:7" x14ac:dyDescent="0.3">
      <c r="A19" t="s">
        <v>202</v>
      </c>
      <c r="B19" s="3">
        <v>0.1</v>
      </c>
      <c r="C19">
        <v>3</v>
      </c>
      <c r="D19">
        <f t="shared" ref="D19:D25" si="1">C19*B19</f>
        <v>0.30000000000000004</v>
      </c>
      <c r="G19" s="7" t="s">
        <v>395</v>
      </c>
    </row>
    <row r="20" spans="1:7" x14ac:dyDescent="0.3">
      <c r="A20" t="s">
        <v>206</v>
      </c>
      <c r="B20" s="3">
        <v>0.1</v>
      </c>
      <c r="C20">
        <v>4</v>
      </c>
      <c r="D20">
        <f t="shared" si="1"/>
        <v>0.4</v>
      </c>
      <c r="G20" s="7" t="s">
        <v>2150</v>
      </c>
    </row>
    <row r="21" spans="1:7" x14ac:dyDescent="0.3">
      <c r="A21" t="s">
        <v>91</v>
      </c>
      <c r="B21" s="3">
        <v>0.15</v>
      </c>
      <c r="C21">
        <v>3</v>
      </c>
      <c r="D21">
        <f t="shared" si="1"/>
        <v>0.44999999999999996</v>
      </c>
      <c r="G21" s="7" t="s">
        <v>397</v>
      </c>
    </row>
    <row r="22" spans="1:7" x14ac:dyDescent="0.3">
      <c r="A22" t="s">
        <v>90</v>
      </c>
      <c r="B22" s="3">
        <v>0.15</v>
      </c>
      <c r="C22">
        <v>3</v>
      </c>
      <c r="D22">
        <f t="shared" si="1"/>
        <v>0.44999999999999996</v>
      </c>
      <c r="G22" s="7" t="s">
        <v>398</v>
      </c>
    </row>
    <row r="23" spans="1:7" x14ac:dyDescent="0.3">
      <c r="A23" t="s">
        <v>203</v>
      </c>
      <c r="B23" s="3">
        <v>0.05</v>
      </c>
      <c r="C23">
        <v>4</v>
      </c>
      <c r="D23">
        <f t="shared" si="1"/>
        <v>0.2</v>
      </c>
      <c r="G23" s="7" t="s">
        <v>3496</v>
      </c>
    </row>
    <row r="24" spans="1:7" x14ac:dyDescent="0.3">
      <c r="A24" t="s">
        <v>204</v>
      </c>
      <c r="B24" s="3">
        <v>0.05</v>
      </c>
      <c r="C24">
        <v>4</v>
      </c>
      <c r="D24">
        <f t="shared" si="1"/>
        <v>0.2</v>
      </c>
      <c r="G24" s="7" t="s">
        <v>409</v>
      </c>
    </row>
    <row r="25" spans="1:7" x14ac:dyDescent="0.3">
      <c r="A25" t="s">
        <v>89</v>
      </c>
      <c r="B25" s="3">
        <v>0.1</v>
      </c>
      <c r="C25">
        <v>3</v>
      </c>
      <c r="D25">
        <f t="shared" si="1"/>
        <v>0.30000000000000004</v>
      </c>
      <c r="G25" s="7" t="s">
        <v>177</v>
      </c>
    </row>
    <row r="26" spans="1:7" x14ac:dyDescent="0.3">
      <c r="A26" t="s">
        <v>88</v>
      </c>
      <c r="B26" s="3">
        <v>0.15</v>
      </c>
      <c r="C26">
        <v>3</v>
      </c>
      <c r="D26">
        <f>C26*B26</f>
        <v>0.44999999999999996</v>
      </c>
      <c r="G26" s="7" t="s">
        <v>410</v>
      </c>
    </row>
    <row r="27" spans="1:7" ht="15" thickBot="1" x14ac:dyDescent="0.35">
      <c r="B27" s="4">
        <f>SUM(B18:B26)</f>
        <v>1</v>
      </c>
      <c r="D27" s="6">
        <f>SUM(D18:D26)</f>
        <v>3.2</v>
      </c>
      <c r="G27" s="7" t="s">
        <v>411</v>
      </c>
    </row>
    <row r="28" spans="1:7" ht="15" thickTop="1" x14ac:dyDescent="0.3">
      <c r="G28" s="7" t="s">
        <v>3497</v>
      </c>
    </row>
    <row r="29" spans="1:7" x14ac:dyDescent="0.3">
      <c r="A29" t="s">
        <v>104</v>
      </c>
      <c r="G29" s="7" t="s">
        <v>3498</v>
      </c>
    </row>
    <row r="30" spans="1:7" x14ac:dyDescent="0.3">
      <c r="A30" s="1" t="s">
        <v>0</v>
      </c>
      <c r="B30" s="1" t="s">
        <v>1</v>
      </c>
      <c r="C30" s="1" t="s">
        <v>201</v>
      </c>
      <c r="D30" s="1" t="s">
        <v>3</v>
      </c>
      <c r="G30" s="7" t="s">
        <v>3499</v>
      </c>
    </row>
    <row r="31" spans="1:7" x14ac:dyDescent="0.3">
      <c r="A31" t="s">
        <v>205</v>
      </c>
      <c r="B31" s="3">
        <v>0.15</v>
      </c>
      <c r="C31">
        <v>3</v>
      </c>
      <c r="D31">
        <f>C31*B31</f>
        <v>0.44999999999999996</v>
      </c>
      <c r="G31" s="7" t="s">
        <v>3500</v>
      </c>
    </row>
    <row r="32" spans="1:7" x14ac:dyDescent="0.3">
      <c r="A32" t="s">
        <v>202</v>
      </c>
      <c r="B32" s="3">
        <v>0.1</v>
      </c>
      <c r="C32">
        <v>2</v>
      </c>
      <c r="D32">
        <f t="shared" ref="D32:D38" si="2">C32*B32</f>
        <v>0.2</v>
      </c>
      <c r="G32" s="7" t="s">
        <v>3501</v>
      </c>
    </row>
    <row r="33" spans="1:7" x14ac:dyDescent="0.3">
      <c r="A33" t="s">
        <v>206</v>
      </c>
      <c r="B33" s="3">
        <v>0.1</v>
      </c>
      <c r="C33">
        <v>3</v>
      </c>
      <c r="D33">
        <f t="shared" si="2"/>
        <v>0.30000000000000004</v>
      </c>
      <c r="G33" s="7" t="s">
        <v>409</v>
      </c>
    </row>
    <row r="34" spans="1:7" x14ac:dyDescent="0.3">
      <c r="A34" t="s">
        <v>91</v>
      </c>
      <c r="B34" s="3">
        <v>0.15</v>
      </c>
      <c r="C34">
        <v>3</v>
      </c>
      <c r="D34">
        <f t="shared" si="2"/>
        <v>0.44999999999999996</v>
      </c>
      <c r="G34" s="7" t="s">
        <v>177</v>
      </c>
    </row>
    <row r="35" spans="1:7" x14ac:dyDescent="0.3">
      <c r="A35" t="s">
        <v>90</v>
      </c>
      <c r="B35" s="3">
        <v>0.15</v>
      </c>
      <c r="C35">
        <v>3</v>
      </c>
      <c r="D35">
        <f t="shared" si="2"/>
        <v>0.44999999999999996</v>
      </c>
      <c r="G35" s="7" t="s">
        <v>417</v>
      </c>
    </row>
    <row r="36" spans="1:7" x14ac:dyDescent="0.3">
      <c r="A36" t="s">
        <v>203</v>
      </c>
      <c r="B36" s="3">
        <v>0.05</v>
      </c>
      <c r="C36">
        <v>4</v>
      </c>
      <c r="D36">
        <f t="shared" si="2"/>
        <v>0.2</v>
      </c>
      <c r="G36" s="7" t="s">
        <v>3502</v>
      </c>
    </row>
    <row r="37" spans="1:7" x14ac:dyDescent="0.3">
      <c r="A37" t="s">
        <v>204</v>
      </c>
      <c r="B37" s="3">
        <v>0.05</v>
      </c>
      <c r="C37">
        <v>4</v>
      </c>
      <c r="D37">
        <f t="shared" si="2"/>
        <v>0.2</v>
      </c>
      <c r="G37" s="7" t="s">
        <v>3503</v>
      </c>
    </row>
    <row r="38" spans="1:7" x14ac:dyDescent="0.3">
      <c r="A38" t="s">
        <v>89</v>
      </c>
      <c r="B38" s="3">
        <v>0.1</v>
      </c>
      <c r="C38">
        <v>3</v>
      </c>
      <c r="D38">
        <f t="shared" si="2"/>
        <v>0.30000000000000004</v>
      </c>
      <c r="G38" s="7" t="s">
        <v>423</v>
      </c>
    </row>
    <row r="39" spans="1:7" x14ac:dyDescent="0.3">
      <c r="A39" t="s">
        <v>88</v>
      </c>
      <c r="B39" s="3">
        <v>0.15</v>
      </c>
      <c r="C39">
        <v>3</v>
      </c>
      <c r="D39">
        <f>C39*B39</f>
        <v>0.44999999999999996</v>
      </c>
      <c r="G39" s="7" t="s">
        <v>393</v>
      </c>
    </row>
    <row r="40" spans="1:7" ht="15" thickBot="1" x14ac:dyDescent="0.35">
      <c r="B40" s="4">
        <f>SUM(B31:B39)</f>
        <v>1</v>
      </c>
      <c r="D40" s="6">
        <f>SUM(D31:D39)</f>
        <v>3</v>
      </c>
      <c r="G40" s="7" t="s">
        <v>3504</v>
      </c>
    </row>
    <row r="41" spans="1:7" ht="15" thickTop="1" x14ac:dyDescent="0.3">
      <c r="G41" s="7" t="s">
        <v>3505</v>
      </c>
    </row>
    <row r="42" spans="1:7" x14ac:dyDescent="0.3">
      <c r="A42" t="s">
        <v>105</v>
      </c>
      <c r="G42" s="7" t="s">
        <v>423</v>
      </c>
    </row>
    <row r="43" spans="1:7" x14ac:dyDescent="0.3">
      <c r="A43" s="1" t="s">
        <v>0</v>
      </c>
      <c r="B43" s="1" t="s">
        <v>1</v>
      </c>
      <c r="C43" s="1" t="s">
        <v>201</v>
      </c>
      <c r="D43" s="1" t="s">
        <v>3</v>
      </c>
      <c r="G43" s="7" t="s">
        <v>393</v>
      </c>
    </row>
    <row r="44" spans="1:7" x14ac:dyDescent="0.3">
      <c r="A44" t="s">
        <v>205</v>
      </c>
      <c r="B44" s="3">
        <v>0.15</v>
      </c>
      <c r="C44">
        <v>4</v>
      </c>
      <c r="D44">
        <f>C44*B44</f>
        <v>0.6</v>
      </c>
      <c r="G44" s="7" t="s">
        <v>3506</v>
      </c>
    </row>
    <row r="45" spans="1:7" x14ac:dyDescent="0.3">
      <c r="A45" t="s">
        <v>202</v>
      </c>
      <c r="B45" s="3">
        <v>0.1</v>
      </c>
      <c r="C45">
        <v>3</v>
      </c>
      <c r="D45">
        <f>C45*B45</f>
        <v>0.30000000000000004</v>
      </c>
      <c r="G45" s="7" t="s">
        <v>3507</v>
      </c>
    </row>
    <row r="46" spans="1:7" x14ac:dyDescent="0.3">
      <c r="A46" t="s">
        <v>206</v>
      </c>
      <c r="B46" s="3">
        <v>0.1</v>
      </c>
      <c r="C46">
        <v>4</v>
      </c>
      <c r="D46">
        <f>C46*B46</f>
        <v>0.4</v>
      </c>
      <c r="G46" s="7" t="s">
        <v>423</v>
      </c>
    </row>
    <row r="47" spans="1:7" x14ac:dyDescent="0.3">
      <c r="A47" t="s">
        <v>91</v>
      </c>
      <c r="B47" s="3">
        <v>0.15</v>
      </c>
      <c r="C47">
        <v>4</v>
      </c>
      <c r="D47">
        <f>C47*B47</f>
        <v>0.6</v>
      </c>
      <c r="G47" s="7" t="s">
        <v>393</v>
      </c>
    </row>
    <row r="48" spans="1:7" x14ac:dyDescent="0.3">
      <c r="A48" t="s">
        <v>90</v>
      </c>
      <c r="B48" s="3">
        <v>0.15</v>
      </c>
      <c r="C48">
        <v>4</v>
      </c>
      <c r="D48">
        <f>C48*B48</f>
        <v>0.6</v>
      </c>
      <c r="G48" s="7" t="s">
        <v>3508</v>
      </c>
    </row>
    <row r="49" spans="1:7" x14ac:dyDescent="0.3">
      <c r="A49" t="s">
        <v>203</v>
      </c>
      <c r="B49" s="3">
        <v>0.05</v>
      </c>
      <c r="C49">
        <v>4</v>
      </c>
      <c r="D49">
        <f>C49*B49</f>
        <v>0.2</v>
      </c>
      <c r="G49" s="7" t="s">
        <v>3509</v>
      </c>
    </row>
    <row r="50" spans="1:7" x14ac:dyDescent="0.3">
      <c r="A50" t="s">
        <v>204</v>
      </c>
      <c r="B50" s="3">
        <v>0.05</v>
      </c>
      <c r="C50">
        <v>4</v>
      </c>
      <c r="D50">
        <f>C50*B50</f>
        <v>0.2</v>
      </c>
      <c r="G50" s="7" t="s">
        <v>420</v>
      </c>
    </row>
    <row r="51" spans="1:7" x14ac:dyDescent="0.3">
      <c r="A51" t="s">
        <v>89</v>
      </c>
      <c r="B51" s="3">
        <v>0.1</v>
      </c>
      <c r="C51">
        <v>4</v>
      </c>
      <c r="D51">
        <f>C51*B51</f>
        <v>0.4</v>
      </c>
      <c r="G51" s="7" t="s">
        <v>409</v>
      </c>
    </row>
    <row r="52" spans="1:7" x14ac:dyDescent="0.3">
      <c r="A52" t="s">
        <v>88</v>
      </c>
      <c r="B52" s="3">
        <v>0.15</v>
      </c>
      <c r="C52">
        <v>4</v>
      </c>
      <c r="D52">
        <f>C52*B52</f>
        <v>0.6</v>
      </c>
      <c r="G52" s="7" t="s">
        <v>177</v>
      </c>
    </row>
    <row r="53" spans="1:7" ht="15" thickBot="1" x14ac:dyDescent="0.35">
      <c r="B53" s="4">
        <f>SUM(B44:B52)</f>
        <v>1</v>
      </c>
      <c r="D53" s="6">
        <f>SUM(D44:D52)</f>
        <v>3.9000000000000004</v>
      </c>
      <c r="G53" s="7" t="s">
        <v>430</v>
      </c>
    </row>
    <row r="54" spans="1:7" ht="15" thickTop="1" x14ac:dyDescent="0.3">
      <c r="G54" s="7" t="s">
        <v>3510</v>
      </c>
    </row>
    <row r="55" spans="1:7" x14ac:dyDescent="0.3">
      <c r="A55" t="s">
        <v>106</v>
      </c>
      <c r="G55" s="7" t="s">
        <v>3511</v>
      </c>
    </row>
    <row r="56" spans="1:7" x14ac:dyDescent="0.3">
      <c r="A56" s="1" t="s">
        <v>0</v>
      </c>
      <c r="B56" s="1" t="s">
        <v>1</v>
      </c>
      <c r="C56" s="1" t="s">
        <v>201</v>
      </c>
      <c r="D56" s="1" t="s">
        <v>3</v>
      </c>
      <c r="G56" s="7" t="s">
        <v>3512</v>
      </c>
    </row>
    <row r="57" spans="1:7" x14ac:dyDescent="0.3">
      <c r="A57" t="s">
        <v>205</v>
      </c>
      <c r="B57" s="3">
        <v>0.15</v>
      </c>
      <c r="C57">
        <v>4</v>
      </c>
      <c r="D57">
        <f>C57*B57</f>
        <v>0.6</v>
      </c>
      <c r="G57" s="7" t="s">
        <v>3513</v>
      </c>
    </row>
    <row r="58" spans="1:7" x14ac:dyDescent="0.3">
      <c r="A58" t="s">
        <v>202</v>
      </c>
      <c r="B58" s="3">
        <v>0.1</v>
      </c>
      <c r="C58">
        <v>3</v>
      </c>
      <c r="D58">
        <f>C58*B58</f>
        <v>0.30000000000000004</v>
      </c>
      <c r="G58" s="7" t="s">
        <v>165</v>
      </c>
    </row>
    <row r="59" spans="1:7" x14ac:dyDescent="0.3">
      <c r="A59" t="s">
        <v>206</v>
      </c>
      <c r="B59" s="3">
        <v>0.1</v>
      </c>
      <c r="C59">
        <v>4</v>
      </c>
      <c r="D59">
        <f>C59*B59</f>
        <v>0.4</v>
      </c>
      <c r="G59" s="7" t="s">
        <v>166</v>
      </c>
    </row>
    <row r="60" spans="1:7" x14ac:dyDescent="0.3">
      <c r="A60" t="s">
        <v>91</v>
      </c>
      <c r="B60" s="3">
        <v>0.15</v>
      </c>
      <c r="C60">
        <v>4</v>
      </c>
      <c r="D60">
        <f>C60*B60</f>
        <v>0.6</v>
      </c>
      <c r="G60" s="7" t="s">
        <v>435</v>
      </c>
    </row>
    <row r="61" spans="1:7" x14ac:dyDescent="0.3">
      <c r="A61" t="s">
        <v>90</v>
      </c>
      <c r="B61" s="3">
        <v>0.15</v>
      </c>
      <c r="C61">
        <v>4</v>
      </c>
      <c r="D61">
        <f>C61*B61</f>
        <v>0.6</v>
      </c>
      <c r="G61" s="7" t="s">
        <v>436</v>
      </c>
    </row>
    <row r="62" spans="1:7" x14ac:dyDescent="0.3">
      <c r="A62" t="s">
        <v>203</v>
      </c>
      <c r="B62" s="3">
        <v>0.05</v>
      </c>
      <c r="C62">
        <v>4</v>
      </c>
      <c r="D62">
        <f>C62*B62</f>
        <v>0.2</v>
      </c>
      <c r="G62" s="7" t="s">
        <v>437</v>
      </c>
    </row>
    <row r="63" spans="1:7" x14ac:dyDescent="0.3">
      <c r="A63" t="s">
        <v>204</v>
      </c>
      <c r="B63" s="3">
        <v>0.05</v>
      </c>
      <c r="C63">
        <v>4</v>
      </c>
      <c r="D63">
        <f>C63*B63</f>
        <v>0.2</v>
      </c>
      <c r="G63" s="7" t="s">
        <v>438</v>
      </c>
    </row>
    <row r="64" spans="1:7" x14ac:dyDescent="0.3">
      <c r="A64" t="s">
        <v>89</v>
      </c>
      <c r="B64" s="3">
        <v>0.1</v>
      </c>
      <c r="C64">
        <v>4</v>
      </c>
      <c r="D64">
        <f>C64*B64</f>
        <v>0.4</v>
      </c>
      <c r="G64" s="7" t="s">
        <v>439</v>
      </c>
    </row>
    <row r="65" spans="1:7" x14ac:dyDescent="0.3">
      <c r="A65" t="s">
        <v>88</v>
      </c>
      <c r="B65" s="3">
        <v>0.15</v>
      </c>
      <c r="C65">
        <v>4</v>
      </c>
      <c r="D65">
        <f>C65*B65</f>
        <v>0.6</v>
      </c>
      <c r="G65" s="7" t="s">
        <v>440</v>
      </c>
    </row>
    <row r="66" spans="1:7" ht="15" thickBot="1" x14ac:dyDescent="0.35">
      <c r="B66" s="4">
        <f>SUM(B57:B65)</f>
        <v>1</v>
      </c>
      <c r="D66" s="6">
        <f>SUM(D57:D65)</f>
        <v>3.9000000000000004</v>
      </c>
      <c r="G66" t="s">
        <v>3514</v>
      </c>
    </row>
    <row r="67" spans="1:7" ht="15" thickTop="1" x14ac:dyDescent="0.3">
      <c r="G67" s="7" t="s">
        <v>3515</v>
      </c>
    </row>
    <row r="68" spans="1:7" x14ac:dyDescent="0.3">
      <c r="A68" t="s">
        <v>107</v>
      </c>
      <c r="G68" s="7" t="s">
        <v>3516</v>
      </c>
    </row>
    <row r="69" spans="1:7" x14ac:dyDescent="0.3">
      <c r="A69" s="1" t="s">
        <v>0</v>
      </c>
      <c r="B69" s="1" t="s">
        <v>1</v>
      </c>
      <c r="C69" s="1" t="s">
        <v>201</v>
      </c>
      <c r="D69" s="1" t="s">
        <v>3</v>
      </c>
      <c r="G69" t="s">
        <v>3517</v>
      </c>
    </row>
    <row r="70" spans="1:7" x14ac:dyDescent="0.3">
      <c r="A70" t="s">
        <v>205</v>
      </c>
      <c r="B70" s="3">
        <v>0.15</v>
      </c>
      <c r="C70">
        <v>4</v>
      </c>
      <c r="D70">
        <f>C70*B70</f>
        <v>0.6</v>
      </c>
      <c r="G70" s="7" t="s">
        <v>486</v>
      </c>
    </row>
    <row r="71" spans="1:7" x14ac:dyDescent="0.3">
      <c r="A71" t="s">
        <v>202</v>
      </c>
      <c r="B71" s="3">
        <v>0.1</v>
      </c>
      <c r="C71">
        <v>4</v>
      </c>
      <c r="D71">
        <f t="shared" ref="D71:D77" si="3">C71*B71</f>
        <v>0.4</v>
      </c>
      <c r="G71" s="7" t="s">
        <v>3518</v>
      </c>
    </row>
    <row r="72" spans="1:7" x14ac:dyDescent="0.3">
      <c r="A72" t="s">
        <v>206</v>
      </c>
      <c r="B72" s="3">
        <v>0.1</v>
      </c>
      <c r="C72">
        <v>4</v>
      </c>
      <c r="D72">
        <f t="shared" si="3"/>
        <v>0.4</v>
      </c>
      <c r="G72" s="7" t="s">
        <v>3519</v>
      </c>
    </row>
    <row r="73" spans="1:7" x14ac:dyDescent="0.3">
      <c r="A73" t="s">
        <v>91</v>
      </c>
      <c r="B73" s="3">
        <v>0.15</v>
      </c>
      <c r="C73">
        <v>4</v>
      </c>
      <c r="D73">
        <f t="shared" si="3"/>
        <v>0.6</v>
      </c>
      <c r="G73" s="7" t="s">
        <v>448</v>
      </c>
    </row>
    <row r="74" spans="1:7" x14ac:dyDescent="0.3">
      <c r="A74" t="s">
        <v>90</v>
      </c>
      <c r="B74" s="3">
        <v>0.15</v>
      </c>
      <c r="C74">
        <v>4</v>
      </c>
      <c r="D74">
        <f t="shared" si="3"/>
        <v>0.6</v>
      </c>
      <c r="G74" s="7" t="s">
        <v>393</v>
      </c>
    </row>
    <row r="75" spans="1:7" x14ac:dyDescent="0.3">
      <c r="A75" t="s">
        <v>203</v>
      </c>
      <c r="B75" s="3">
        <v>0.05</v>
      </c>
      <c r="C75">
        <v>4</v>
      </c>
      <c r="D75">
        <f t="shared" si="3"/>
        <v>0.2</v>
      </c>
      <c r="G75" t="s">
        <v>449</v>
      </c>
    </row>
    <row r="76" spans="1:7" x14ac:dyDescent="0.3">
      <c r="A76" t="s">
        <v>204</v>
      </c>
      <c r="B76" s="3">
        <v>0.05</v>
      </c>
      <c r="C76">
        <v>4</v>
      </c>
      <c r="D76">
        <f t="shared" si="3"/>
        <v>0.2</v>
      </c>
      <c r="G76" s="7" t="s">
        <v>820</v>
      </c>
    </row>
    <row r="77" spans="1:7" x14ac:dyDescent="0.3">
      <c r="A77" t="s">
        <v>89</v>
      </c>
      <c r="B77" s="3">
        <v>0.1</v>
      </c>
      <c r="C77">
        <v>4</v>
      </c>
      <c r="D77">
        <f t="shared" si="3"/>
        <v>0.4</v>
      </c>
      <c r="G77" s="7" t="s">
        <v>451</v>
      </c>
    </row>
    <row r="78" spans="1:7" x14ac:dyDescent="0.3">
      <c r="A78" t="s">
        <v>88</v>
      </c>
      <c r="B78" s="3">
        <v>0.15</v>
      </c>
      <c r="C78">
        <v>4</v>
      </c>
      <c r="D78">
        <f>C78*B78</f>
        <v>0.6</v>
      </c>
      <c r="G78" s="7" t="s">
        <v>452</v>
      </c>
    </row>
    <row r="79" spans="1:7" ht="15" thickBot="1" x14ac:dyDescent="0.35">
      <c r="B79" s="4">
        <f>SUM(B70:B78)</f>
        <v>1</v>
      </c>
      <c r="D79" s="6">
        <f>SUM(D70:D78)</f>
        <v>4</v>
      </c>
      <c r="G79" t="s">
        <v>3520</v>
      </c>
    </row>
    <row r="80" spans="1:7" ht="15" thickTop="1" x14ac:dyDescent="0.3">
      <c r="G80" s="7" t="s">
        <v>448</v>
      </c>
    </row>
    <row r="81" spans="1:7" x14ac:dyDescent="0.3">
      <c r="A81" t="s">
        <v>108</v>
      </c>
      <c r="G81" s="7" t="s">
        <v>393</v>
      </c>
    </row>
    <row r="82" spans="1:7" x14ac:dyDescent="0.3">
      <c r="A82" s="1" t="s">
        <v>0</v>
      </c>
      <c r="B82" s="1" t="s">
        <v>1</v>
      </c>
      <c r="C82" s="1" t="s">
        <v>201</v>
      </c>
      <c r="D82" s="1" t="s">
        <v>3</v>
      </c>
      <c r="G82" s="7" t="s">
        <v>463</v>
      </c>
    </row>
    <row r="83" spans="1:7" x14ac:dyDescent="0.3">
      <c r="A83" t="s">
        <v>205</v>
      </c>
      <c r="B83" s="3">
        <v>0.15</v>
      </c>
      <c r="C83">
        <v>4</v>
      </c>
      <c r="D83">
        <f>C83*B83</f>
        <v>0.6</v>
      </c>
      <c r="G83" t="s">
        <v>464</v>
      </c>
    </row>
    <row r="84" spans="1:7" x14ac:dyDescent="0.3">
      <c r="A84" t="s">
        <v>202</v>
      </c>
      <c r="B84" s="3">
        <v>0.1</v>
      </c>
      <c r="C84">
        <v>4</v>
      </c>
      <c r="D84">
        <f>C84*B84</f>
        <v>0.4</v>
      </c>
      <c r="G84" t="s">
        <v>3521</v>
      </c>
    </row>
    <row r="85" spans="1:7" x14ac:dyDescent="0.3">
      <c r="A85" t="s">
        <v>206</v>
      </c>
      <c r="B85" s="3">
        <v>0.1</v>
      </c>
      <c r="C85">
        <v>4</v>
      </c>
      <c r="D85">
        <f>C85*B85</f>
        <v>0.4</v>
      </c>
      <c r="G85" t="s">
        <v>3522</v>
      </c>
    </row>
    <row r="86" spans="1:7" x14ac:dyDescent="0.3">
      <c r="A86" t="s">
        <v>91</v>
      </c>
      <c r="B86" s="3">
        <v>0.15</v>
      </c>
      <c r="C86">
        <v>4</v>
      </c>
      <c r="D86">
        <f>C86*B86</f>
        <v>0.6</v>
      </c>
      <c r="G86" t="s">
        <v>3523</v>
      </c>
    </row>
    <row r="87" spans="1:7" x14ac:dyDescent="0.3">
      <c r="A87" t="s">
        <v>90</v>
      </c>
      <c r="B87" s="3">
        <v>0.15</v>
      </c>
      <c r="C87">
        <v>4</v>
      </c>
      <c r="D87">
        <f>C87*B87</f>
        <v>0.6</v>
      </c>
      <c r="G87" t="s">
        <v>3524</v>
      </c>
    </row>
    <row r="88" spans="1:7" x14ac:dyDescent="0.3">
      <c r="A88" t="s">
        <v>203</v>
      </c>
      <c r="B88" s="3">
        <v>0.05</v>
      </c>
      <c r="C88">
        <v>4</v>
      </c>
      <c r="D88">
        <f>C88*B88</f>
        <v>0.2</v>
      </c>
      <c r="G88" t="s">
        <v>3525</v>
      </c>
    </row>
    <row r="89" spans="1:7" x14ac:dyDescent="0.3">
      <c r="A89" t="s">
        <v>204</v>
      </c>
      <c r="B89" s="3">
        <v>0.05</v>
      </c>
      <c r="C89">
        <v>3</v>
      </c>
      <c r="D89">
        <f>C89*B89</f>
        <v>0.15000000000000002</v>
      </c>
      <c r="G89" t="s">
        <v>448</v>
      </c>
    </row>
    <row r="90" spans="1:7" x14ac:dyDescent="0.3">
      <c r="A90" t="s">
        <v>89</v>
      </c>
      <c r="B90" s="3">
        <v>0.1</v>
      </c>
      <c r="C90">
        <v>4</v>
      </c>
      <c r="D90">
        <f>C90*B90</f>
        <v>0.4</v>
      </c>
      <c r="G90" t="s">
        <v>393</v>
      </c>
    </row>
    <row r="91" spans="1:7" x14ac:dyDescent="0.3">
      <c r="A91" t="s">
        <v>88</v>
      </c>
      <c r="B91" s="3">
        <v>0.15</v>
      </c>
      <c r="C91">
        <v>5</v>
      </c>
      <c r="D91">
        <f>C91*B91</f>
        <v>0.75</v>
      </c>
      <c r="G91" t="s">
        <v>470</v>
      </c>
    </row>
    <row r="92" spans="1:7" ht="15" thickBot="1" x14ac:dyDescent="0.35">
      <c r="B92" s="4">
        <f>SUM(B83:B91)</f>
        <v>1</v>
      </c>
      <c r="D92" s="6">
        <f>SUM(D83:D91)</f>
        <v>4.0999999999999996</v>
      </c>
      <c r="G92" t="s">
        <v>471</v>
      </c>
    </row>
    <row r="93" spans="1:7" ht="15" thickTop="1" x14ac:dyDescent="0.3">
      <c r="G93" t="s">
        <v>3526</v>
      </c>
    </row>
    <row r="94" spans="1:7" x14ac:dyDescent="0.3">
      <c r="A94" t="s">
        <v>109</v>
      </c>
      <c r="G94" t="s">
        <v>473</v>
      </c>
    </row>
    <row r="95" spans="1:7" x14ac:dyDescent="0.3">
      <c r="A95" s="1" t="s">
        <v>0</v>
      </c>
      <c r="B95" s="1" t="s">
        <v>1</v>
      </c>
      <c r="C95" s="1" t="s">
        <v>201</v>
      </c>
      <c r="D95" s="1" t="s">
        <v>3</v>
      </c>
      <c r="G95" t="s">
        <v>474</v>
      </c>
    </row>
    <row r="96" spans="1:7" x14ac:dyDescent="0.3">
      <c r="A96" t="s">
        <v>205</v>
      </c>
      <c r="B96" s="3">
        <v>0.15</v>
      </c>
      <c r="C96">
        <v>3</v>
      </c>
      <c r="D96">
        <f>C96*B96</f>
        <v>0.44999999999999996</v>
      </c>
      <c r="G96" t="s">
        <v>504</v>
      </c>
    </row>
    <row r="97" spans="1:7" x14ac:dyDescent="0.3">
      <c r="A97" t="s">
        <v>202</v>
      </c>
      <c r="B97" s="3">
        <v>0.1</v>
      </c>
      <c r="C97">
        <v>3</v>
      </c>
      <c r="D97">
        <f t="shared" ref="D97:D103" si="4">C97*B97</f>
        <v>0.30000000000000004</v>
      </c>
      <c r="G97" t="s">
        <v>3527</v>
      </c>
    </row>
    <row r="98" spans="1:7" x14ac:dyDescent="0.3">
      <c r="A98" t="s">
        <v>206</v>
      </c>
      <c r="B98" s="3">
        <v>0.1</v>
      </c>
      <c r="C98">
        <v>4</v>
      </c>
      <c r="D98">
        <f t="shared" si="4"/>
        <v>0.4</v>
      </c>
      <c r="G98" t="s">
        <v>473</v>
      </c>
    </row>
    <row r="99" spans="1:7" x14ac:dyDescent="0.3">
      <c r="A99" t="s">
        <v>91</v>
      </c>
      <c r="B99" s="3">
        <v>0.15</v>
      </c>
      <c r="C99">
        <v>3</v>
      </c>
      <c r="D99">
        <f t="shared" si="4"/>
        <v>0.44999999999999996</v>
      </c>
      <c r="G99" t="s">
        <v>474</v>
      </c>
    </row>
    <row r="100" spans="1:7" x14ac:dyDescent="0.3">
      <c r="A100" t="s">
        <v>90</v>
      </c>
      <c r="B100" s="3">
        <v>0.15</v>
      </c>
      <c r="C100">
        <v>3</v>
      </c>
      <c r="D100">
        <f t="shared" si="4"/>
        <v>0.44999999999999996</v>
      </c>
      <c r="G100" t="s">
        <v>3528</v>
      </c>
    </row>
    <row r="101" spans="1:7" x14ac:dyDescent="0.3">
      <c r="A101" t="s">
        <v>203</v>
      </c>
      <c r="B101" s="3">
        <v>0.05</v>
      </c>
      <c r="C101">
        <v>4</v>
      </c>
      <c r="D101">
        <f t="shared" si="4"/>
        <v>0.2</v>
      </c>
      <c r="G101" t="s">
        <v>3529</v>
      </c>
    </row>
    <row r="102" spans="1:7" x14ac:dyDescent="0.3">
      <c r="A102" t="s">
        <v>204</v>
      </c>
      <c r="B102" s="3">
        <v>0.05</v>
      </c>
      <c r="C102">
        <v>4</v>
      </c>
      <c r="D102">
        <f t="shared" si="4"/>
        <v>0.2</v>
      </c>
      <c r="G102" t="s">
        <v>473</v>
      </c>
    </row>
    <row r="103" spans="1:7" x14ac:dyDescent="0.3">
      <c r="A103" t="s">
        <v>89</v>
      </c>
      <c r="B103" s="3">
        <v>0.1</v>
      </c>
      <c r="C103">
        <v>4</v>
      </c>
      <c r="D103">
        <f t="shared" si="4"/>
        <v>0.4</v>
      </c>
      <c r="G103" t="s">
        <v>448</v>
      </c>
    </row>
    <row r="104" spans="1:7" x14ac:dyDescent="0.3">
      <c r="A104" t="s">
        <v>88</v>
      </c>
      <c r="B104" s="3">
        <v>0.15</v>
      </c>
      <c r="C104">
        <v>4</v>
      </c>
      <c r="D104">
        <f>C104*B104</f>
        <v>0.6</v>
      </c>
      <c r="G104" t="s">
        <v>409</v>
      </c>
    </row>
    <row r="105" spans="1:7" ht="15" thickBot="1" x14ac:dyDescent="0.35">
      <c r="B105" s="4">
        <f>SUM(B96:B104)</f>
        <v>1</v>
      </c>
      <c r="D105" s="6">
        <f>SUM(D96:D104)</f>
        <v>3.45</v>
      </c>
      <c r="G105" t="s">
        <v>165</v>
      </c>
    </row>
    <row r="106" spans="1:7" ht="15" thickTop="1" x14ac:dyDescent="0.3">
      <c r="G106" t="s">
        <v>1921</v>
      </c>
    </row>
    <row r="107" spans="1:7" x14ac:dyDescent="0.3">
      <c r="A107" t="s">
        <v>110</v>
      </c>
      <c r="G107" t="s">
        <v>77</v>
      </c>
    </row>
    <row r="108" spans="1:7" x14ac:dyDescent="0.3">
      <c r="A108" s="1" t="s">
        <v>0</v>
      </c>
      <c r="B108" s="1" t="s">
        <v>1</v>
      </c>
      <c r="C108" s="1" t="s">
        <v>201</v>
      </c>
      <c r="D108" s="1" t="s">
        <v>3</v>
      </c>
    </row>
    <row r="109" spans="1:7" x14ac:dyDescent="0.3">
      <c r="A109" t="s">
        <v>205</v>
      </c>
      <c r="B109" s="3">
        <v>0.15</v>
      </c>
      <c r="C109">
        <v>4</v>
      </c>
      <c r="D109">
        <f>C109*B109</f>
        <v>0.6</v>
      </c>
      <c r="G109" t="s">
        <v>279</v>
      </c>
    </row>
    <row r="110" spans="1:7" x14ac:dyDescent="0.3">
      <c r="A110" t="s">
        <v>202</v>
      </c>
      <c r="B110" s="3">
        <v>0.1</v>
      </c>
      <c r="C110">
        <v>2</v>
      </c>
      <c r="D110">
        <f t="shared" ref="D110:D116" si="5">C110*B110</f>
        <v>0.2</v>
      </c>
    </row>
    <row r="111" spans="1:7" x14ac:dyDescent="0.3">
      <c r="A111" t="s">
        <v>206</v>
      </c>
      <c r="B111" s="3">
        <v>0.1</v>
      </c>
      <c r="C111">
        <v>4</v>
      </c>
      <c r="D111">
        <f t="shared" si="5"/>
        <v>0.4</v>
      </c>
      <c r="G111" t="s">
        <v>280</v>
      </c>
    </row>
    <row r="112" spans="1:7" x14ac:dyDescent="0.3">
      <c r="A112" t="s">
        <v>91</v>
      </c>
      <c r="B112" s="3">
        <v>0.15</v>
      </c>
      <c r="C112">
        <v>4</v>
      </c>
      <c r="D112">
        <f t="shared" si="5"/>
        <v>0.6</v>
      </c>
      <c r="G112" t="s">
        <v>281</v>
      </c>
    </row>
    <row r="113" spans="1:7" x14ac:dyDescent="0.3">
      <c r="A113" t="s">
        <v>90</v>
      </c>
      <c r="B113" s="3">
        <v>0.15</v>
      </c>
      <c r="C113">
        <v>4</v>
      </c>
      <c r="D113">
        <f t="shared" si="5"/>
        <v>0.6</v>
      </c>
      <c r="G113" t="s">
        <v>85</v>
      </c>
    </row>
    <row r="114" spans="1:7" x14ac:dyDescent="0.3">
      <c r="A114" t="s">
        <v>203</v>
      </c>
      <c r="B114" s="3">
        <v>0.05</v>
      </c>
      <c r="C114">
        <v>4</v>
      </c>
      <c r="D114">
        <f t="shared" si="5"/>
        <v>0.2</v>
      </c>
      <c r="G114" t="s">
        <v>86</v>
      </c>
    </row>
    <row r="115" spans="1:7" x14ac:dyDescent="0.3">
      <c r="A115" t="s">
        <v>204</v>
      </c>
      <c r="B115" s="3">
        <v>0.05</v>
      </c>
      <c r="C115">
        <v>4</v>
      </c>
      <c r="D115">
        <f t="shared" si="5"/>
        <v>0.2</v>
      </c>
      <c r="G115" t="s">
        <v>282</v>
      </c>
    </row>
    <row r="116" spans="1:7" x14ac:dyDescent="0.3">
      <c r="A116" t="s">
        <v>89</v>
      </c>
      <c r="B116" s="3">
        <v>0.1</v>
      </c>
      <c r="C116">
        <v>4</v>
      </c>
      <c r="D116">
        <f t="shared" si="5"/>
        <v>0.4</v>
      </c>
      <c r="G116" t="s">
        <v>200</v>
      </c>
    </row>
    <row r="117" spans="1:7" x14ac:dyDescent="0.3">
      <c r="A117" t="s">
        <v>88</v>
      </c>
      <c r="B117" s="3">
        <v>0.15</v>
      </c>
      <c r="C117">
        <v>4</v>
      </c>
      <c r="D117">
        <f>C117*B117</f>
        <v>0.6</v>
      </c>
    </row>
    <row r="118" spans="1:7" ht="15" thickBot="1" x14ac:dyDescent="0.35">
      <c r="B118" s="4">
        <f>SUM(B109:B117)</f>
        <v>1</v>
      </c>
      <c r="D118" s="6">
        <f>SUM(D109:D117)</f>
        <v>3.8000000000000007</v>
      </c>
      <c r="G118" t="s">
        <v>221</v>
      </c>
    </row>
    <row r="119" spans="1:7" ht="15" thickTop="1" x14ac:dyDescent="0.3">
      <c r="G119" t="s">
        <v>222</v>
      </c>
    </row>
    <row r="120" spans="1:7" x14ac:dyDescent="0.3">
      <c r="G120" t="s">
        <v>223</v>
      </c>
    </row>
    <row r="121" spans="1:7" x14ac:dyDescent="0.3">
      <c r="G121" t="s">
        <v>224</v>
      </c>
    </row>
    <row r="122" spans="1:7" x14ac:dyDescent="0.3">
      <c r="G122" t="s">
        <v>225</v>
      </c>
    </row>
    <row r="123" spans="1:7" x14ac:dyDescent="0.3">
      <c r="G123" t="s">
        <v>226</v>
      </c>
    </row>
    <row r="124" spans="1:7" x14ac:dyDescent="0.3">
      <c r="G124" t="s">
        <v>227</v>
      </c>
    </row>
    <row r="125" spans="1:7" x14ac:dyDescent="0.3">
      <c r="G125" t="s">
        <v>228</v>
      </c>
    </row>
    <row r="126" spans="1:7" x14ac:dyDescent="0.3">
      <c r="G126" t="s">
        <v>229</v>
      </c>
    </row>
    <row r="127" spans="1:7" x14ac:dyDescent="0.3">
      <c r="G127" t="s">
        <v>230</v>
      </c>
    </row>
    <row r="129" spans="7:7" x14ac:dyDescent="0.3">
      <c r="G129" t="s">
        <v>231</v>
      </c>
    </row>
    <row r="130" spans="7:7" x14ac:dyDescent="0.3">
      <c r="G130" t="s">
        <v>283</v>
      </c>
    </row>
    <row r="132" spans="7:7" x14ac:dyDescent="0.3">
      <c r="G132" t="s">
        <v>233</v>
      </c>
    </row>
    <row r="133" spans="7:7" x14ac:dyDescent="0.3">
      <c r="G133" t="s">
        <v>284</v>
      </c>
    </row>
    <row r="134" spans="7:7" x14ac:dyDescent="0.3">
      <c r="G134" t="s">
        <v>285</v>
      </c>
    </row>
    <row r="135" spans="7:7" x14ac:dyDescent="0.3">
      <c r="G135" t="s">
        <v>286</v>
      </c>
    </row>
    <row r="136" spans="7:7" x14ac:dyDescent="0.3">
      <c r="G136" t="s">
        <v>287</v>
      </c>
    </row>
    <row r="137" spans="7:7" x14ac:dyDescent="0.3">
      <c r="G137" t="s">
        <v>288</v>
      </c>
    </row>
    <row r="139" spans="7:7" x14ac:dyDescent="0.3">
      <c r="G139" t="s">
        <v>237</v>
      </c>
    </row>
    <row r="141" spans="7:7" x14ac:dyDescent="0.3">
      <c r="G141" t="s">
        <v>238</v>
      </c>
    </row>
    <row r="142" spans="7:7" x14ac:dyDescent="0.3">
      <c r="G142" t="s">
        <v>239</v>
      </c>
    </row>
    <row r="143" spans="7:7" x14ac:dyDescent="0.3">
      <c r="G143" t="s">
        <v>240</v>
      </c>
    </row>
    <row r="144" spans="7:7" x14ac:dyDescent="0.3">
      <c r="G144" t="s">
        <v>241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A4954-2F3D-4551-9A00-2F44C312FCD4}">
  <dimension ref="A1:G3690"/>
  <sheetViews>
    <sheetView zoomScale="87" workbookViewId="0">
      <selection activeCell="C99" sqref="C99"/>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381</v>
      </c>
    </row>
    <row r="5" spans="1:7" x14ac:dyDescent="0.3">
      <c r="A5" t="s">
        <v>205</v>
      </c>
      <c r="B5" s="3">
        <v>0.15</v>
      </c>
      <c r="C5">
        <v>3</v>
      </c>
      <c r="D5">
        <f>C5*B5</f>
        <v>0.44999999999999996</v>
      </c>
      <c r="G5" s="7" t="s">
        <v>382</v>
      </c>
    </row>
    <row r="6" spans="1:7" x14ac:dyDescent="0.3">
      <c r="A6" t="s">
        <v>202</v>
      </c>
      <c r="B6" s="3">
        <v>0.1</v>
      </c>
      <c r="C6">
        <v>4</v>
      </c>
      <c r="D6">
        <f t="shared" ref="D6:D12" si="0">C6*B6</f>
        <v>0.4</v>
      </c>
      <c r="G6" s="7" t="s">
        <v>383</v>
      </c>
    </row>
    <row r="7" spans="1:7" x14ac:dyDescent="0.3">
      <c r="A7" t="s">
        <v>206</v>
      </c>
      <c r="B7" s="3">
        <v>0.1</v>
      </c>
      <c r="C7">
        <v>3</v>
      </c>
      <c r="D7">
        <f t="shared" si="0"/>
        <v>0.30000000000000004</v>
      </c>
      <c r="G7" s="7" t="s">
        <v>384</v>
      </c>
    </row>
    <row r="8" spans="1:7" x14ac:dyDescent="0.3">
      <c r="A8" t="s">
        <v>91</v>
      </c>
      <c r="B8" s="3">
        <v>0.15</v>
      </c>
      <c r="C8">
        <v>3</v>
      </c>
      <c r="D8">
        <f t="shared" si="0"/>
        <v>0.44999999999999996</v>
      </c>
      <c r="G8" s="7" t="s">
        <v>2142</v>
      </c>
    </row>
    <row r="9" spans="1:7" x14ac:dyDescent="0.3">
      <c r="A9" t="s">
        <v>90</v>
      </c>
      <c r="B9" s="3">
        <v>0.15</v>
      </c>
      <c r="C9">
        <v>3</v>
      </c>
      <c r="D9">
        <f t="shared" si="0"/>
        <v>0.44999999999999996</v>
      </c>
      <c r="G9" s="7" t="s">
        <v>2143</v>
      </c>
    </row>
    <row r="10" spans="1:7" x14ac:dyDescent="0.3">
      <c r="A10" t="s">
        <v>203</v>
      </c>
      <c r="B10" s="3">
        <v>0.05</v>
      </c>
      <c r="C10">
        <v>4</v>
      </c>
      <c r="D10">
        <f t="shared" si="0"/>
        <v>0.2</v>
      </c>
      <c r="G10" s="7" t="s">
        <v>2144</v>
      </c>
    </row>
    <row r="11" spans="1:7" x14ac:dyDescent="0.3">
      <c r="A11" t="s">
        <v>204</v>
      </c>
      <c r="B11" s="3">
        <v>0.05</v>
      </c>
      <c r="C11">
        <v>4</v>
      </c>
      <c r="D11">
        <f t="shared" si="0"/>
        <v>0.2</v>
      </c>
      <c r="G11" s="7" t="s">
        <v>386</v>
      </c>
    </row>
    <row r="12" spans="1:7" x14ac:dyDescent="0.3">
      <c r="A12" t="s">
        <v>89</v>
      </c>
      <c r="B12" s="3">
        <v>0.1</v>
      </c>
      <c r="C12">
        <v>3</v>
      </c>
      <c r="D12">
        <f t="shared" si="0"/>
        <v>0.30000000000000004</v>
      </c>
      <c r="G12" s="7" t="s">
        <v>2145</v>
      </c>
    </row>
    <row r="13" spans="1:7" x14ac:dyDescent="0.3">
      <c r="A13" t="s">
        <v>88</v>
      </c>
      <c r="B13" s="3">
        <v>0.15</v>
      </c>
      <c r="C13">
        <v>3</v>
      </c>
      <c r="D13">
        <f>C13*B13</f>
        <v>0.44999999999999996</v>
      </c>
      <c r="G13" s="7" t="s">
        <v>2146</v>
      </c>
    </row>
    <row r="14" spans="1:7" ht="15" thickBot="1" x14ac:dyDescent="0.35">
      <c r="B14" s="4">
        <f>SUM(B5:B13)</f>
        <v>1</v>
      </c>
      <c r="D14" s="6">
        <f>SUM(D5:D13)</f>
        <v>3.2</v>
      </c>
      <c r="G14" s="7" t="s">
        <v>2147</v>
      </c>
    </row>
    <row r="15" spans="1:7" ht="15" thickTop="1" x14ac:dyDescent="0.3">
      <c r="G15" s="7" t="s">
        <v>2148</v>
      </c>
    </row>
    <row r="16" spans="1:7" x14ac:dyDescent="0.3">
      <c r="A16" t="s">
        <v>103</v>
      </c>
      <c r="G16" s="7" t="s">
        <v>393</v>
      </c>
    </row>
    <row r="17" spans="1:7" x14ac:dyDescent="0.3">
      <c r="A17" s="1" t="s">
        <v>0</v>
      </c>
      <c r="B17" s="1" t="s">
        <v>1</v>
      </c>
      <c r="C17" s="1" t="s">
        <v>201</v>
      </c>
      <c r="D17" s="1" t="s">
        <v>3</v>
      </c>
      <c r="G17" s="7" t="s">
        <v>2149</v>
      </c>
    </row>
    <row r="18" spans="1:7" x14ac:dyDescent="0.3">
      <c r="A18" t="s">
        <v>205</v>
      </c>
      <c r="B18" s="3">
        <v>0.15</v>
      </c>
      <c r="C18">
        <v>3</v>
      </c>
      <c r="D18">
        <f>C18*B18</f>
        <v>0.44999999999999996</v>
      </c>
      <c r="G18" s="7" t="s">
        <v>177</v>
      </c>
    </row>
    <row r="19" spans="1:7" x14ac:dyDescent="0.3">
      <c r="A19" t="s">
        <v>202</v>
      </c>
      <c r="B19" s="3">
        <v>0.1</v>
      </c>
      <c r="C19">
        <v>4</v>
      </c>
      <c r="D19">
        <f t="shared" ref="D19:D25" si="1">C19*B19</f>
        <v>0.4</v>
      </c>
      <c r="G19" s="7" t="s">
        <v>395</v>
      </c>
    </row>
    <row r="20" spans="1:7" x14ac:dyDescent="0.3">
      <c r="A20" t="s">
        <v>206</v>
      </c>
      <c r="B20" s="3">
        <v>0.1</v>
      </c>
      <c r="C20">
        <v>3</v>
      </c>
      <c r="D20">
        <f t="shared" si="1"/>
        <v>0.30000000000000004</v>
      </c>
      <c r="G20" s="7" t="s">
        <v>2150</v>
      </c>
    </row>
    <row r="21" spans="1:7" x14ac:dyDescent="0.3">
      <c r="A21" t="s">
        <v>91</v>
      </c>
      <c r="B21" s="3">
        <v>0.15</v>
      </c>
      <c r="C21">
        <v>3</v>
      </c>
      <c r="D21">
        <f t="shared" si="1"/>
        <v>0.44999999999999996</v>
      </c>
      <c r="G21" s="7" t="s">
        <v>397</v>
      </c>
    </row>
    <row r="22" spans="1:7" x14ac:dyDescent="0.3">
      <c r="A22" t="s">
        <v>90</v>
      </c>
      <c r="B22" s="3">
        <v>0.15</v>
      </c>
      <c r="C22">
        <v>3</v>
      </c>
      <c r="D22">
        <f t="shared" si="1"/>
        <v>0.44999999999999996</v>
      </c>
      <c r="G22" s="7" t="s">
        <v>398</v>
      </c>
    </row>
    <row r="23" spans="1:7" x14ac:dyDescent="0.3">
      <c r="A23" t="s">
        <v>203</v>
      </c>
      <c r="B23" s="3">
        <v>0.05</v>
      </c>
      <c r="C23">
        <v>4</v>
      </c>
      <c r="D23">
        <f t="shared" si="1"/>
        <v>0.2</v>
      </c>
      <c r="G23" s="7" t="s">
        <v>2151</v>
      </c>
    </row>
    <row r="24" spans="1:7" x14ac:dyDescent="0.3">
      <c r="A24" t="s">
        <v>204</v>
      </c>
      <c r="B24" s="3">
        <v>0.05</v>
      </c>
      <c r="C24">
        <v>4</v>
      </c>
      <c r="D24">
        <f t="shared" si="1"/>
        <v>0.2</v>
      </c>
      <c r="G24" s="7" t="s">
        <v>2152</v>
      </c>
    </row>
    <row r="25" spans="1:7" x14ac:dyDescent="0.3">
      <c r="A25" t="s">
        <v>89</v>
      </c>
      <c r="B25" s="3">
        <v>0.1</v>
      </c>
      <c r="C25">
        <v>3</v>
      </c>
      <c r="D25">
        <f t="shared" si="1"/>
        <v>0.30000000000000004</v>
      </c>
      <c r="G25" s="7" t="s">
        <v>2153</v>
      </c>
    </row>
    <row r="26" spans="1:7" x14ac:dyDescent="0.3">
      <c r="A26" t="s">
        <v>88</v>
      </c>
      <c r="B26" s="3">
        <v>0.15</v>
      </c>
      <c r="C26">
        <v>3</v>
      </c>
      <c r="D26">
        <f>C26*B26</f>
        <v>0.44999999999999996</v>
      </c>
      <c r="G26" s="7" t="s">
        <v>2154</v>
      </c>
    </row>
    <row r="27" spans="1:7" ht="15" thickBot="1" x14ac:dyDescent="0.35">
      <c r="B27" s="4">
        <f>SUM(B18:B26)</f>
        <v>1</v>
      </c>
      <c r="D27" s="6">
        <f>SUM(D18:D26)</f>
        <v>3.2</v>
      </c>
      <c r="G27" s="7" t="s">
        <v>2155</v>
      </c>
    </row>
    <row r="28" spans="1:7" ht="15" thickTop="1" x14ac:dyDescent="0.3">
      <c r="G28" s="7" t="s">
        <v>2156</v>
      </c>
    </row>
    <row r="29" spans="1:7" x14ac:dyDescent="0.3">
      <c r="A29" t="s">
        <v>104</v>
      </c>
      <c r="G29" s="7" t="s">
        <v>2157</v>
      </c>
    </row>
    <row r="30" spans="1:7" x14ac:dyDescent="0.3">
      <c r="A30" s="1" t="s">
        <v>0</v>
      </c>
      <c r="B30" s="1" t="s">
        <v>1</v>
      </c>
      <c r="C30" s="1" t="s">
        <v>201</v>
      </c>
      <c r="D30" s="1" t="s">
        <v>3</v>
      </c>
      <c r="G30" s="7" t="s">
        <v>2158</v>
      </c>
    </row>
    <row r="31" spans="1:7" x14ac:dyDescent="0.3">
      <c r="A31" t="s">
        <v>205</v>
      </c>
      <c r="B31" s="3">
        <v>0.15</v>
      </c>
      <c r="C31">
        <v>4</v>
      </c>
      <c r="D31">
        <f>C31*B31</f>
        <v>0.6</v>
      </c>
      <c r="G31" s="7" t="s">
        <v>2159</v>
      </c>
    </row>
    <row r="32" spans="1:7" x14ac:dyDescent="0.3">
      <c r="A32" t="s">
        <v>202</v>
      </c>
      <c r="B32" s="3">
        <v>0.1</v>
      </c>
      <c r="C32">
        <v>2</v>
      </c>
      <c r="D32">
        <f t="shared" ref="D32:D38" si="2">C32*B32</f>
        <v>0.2</v>
      </c>
      <c r="G32" s="7" t="s">
        <v>2160</v>
      </c>
    </row>
    <row r="33" spans="1:7" x14ac:dyDescent="0.3">
      <c r="A33" t="s">
        <v>206</v>
      </c>
      <c r="B33" s="3">
        <v>0.1</v>
      </c>
      <c r="C33">
        <v>4</v>
      </c>
      <c r="D33">
        <f t="shared" si="2"/>
        <v>0.4</v>
      </c>
      <c r="G33" s="7" t="s">
        <v>409</v>
      </c>
    </row>
    <row r="34" spans="1:7" x14ac:dyDescent="0.3">
      <c r="A34" t="s">
        <v>91</v>
      </c>
      <c r="B34" s="3">
        <v>0.15</v>
      </c>
      <c r="C34">
        <v>4</v>
      </c>
      <c r="D34">
        <f t="shared" si="2"/>
        <v>0.6</v>
      </c>
      <c r="G34" s="7" t="s">
        <v>177</v>
      </c>
    </row>
    <row r="35" spans="1:7" x14ac:dyDescent="0.3">
      <c r="A35" t="s">
        <v>90</v>
      </c>
      <c r="B35" s="3">
        <v>0.15</v>
      </c>
      <c r="C35">
        <v>3</v>
      </c>
      <c r="D35">
        <f t="shared" si="2"/>
        <v>0.44999999999999996</v>
      </c>
      <c r="G35" s="7" t="s">
        <v>410</v>
      </c>
    </row>
    <row r="36" spans="1:7" x14ac:dyDescent="0.3">
      <c r="A36" t="s">
        <v>203</v>
      </c>
      <c r="B36" s="3">
        <v>0.05</v>
      </c>
      <c r="C36">
        <v>4</v>
      </c>
      <c r="D36">
        <f t="shared" si="2"/>
        <v>0.2</v>
      </c>
      <c r="G36" s="7" t="s">
        <v>411</v>
      </c>
    </row>
    <row r="37" spans="1:7" x14ac:dyDescent="0.3">
      <c r="A37" t="s">
        <v>204</v>
      </c>
      <c r="B37" s="3">
        <v>0.05</v>
      </c>
      <c r="C37">
        <v>3</v>
      </c>
      <c r="D37">
        <f t="shared" si="2"/>
        <v>0.15000000000000002</v>
      </c>
      <c r="G37" s="7" t="s">
        <v>2161</v>
      </c>
    </row>
    <row r="38" spans="1:7" x14ac:dyDescent="0.3">
      <c r="A38" t="s">
        <v>89</v>
      </c>
      <c r="B38" s="3">
        <v>0.1</v>
      </c>
      <c r="C38">
        <v>4</v>
      </c>
      <c r="D38">
        <f t="shared" si="2"/>
        <v>0.4</v>
      </c>
      <c r="G38" s="7" t="s">
        <v>2162</v>
      </c>
    </row>
    <row r="39" spans="1:7" x14ac:dyDescent="0.3">
      <c r="A39" t="s">
        <v>88</v>
      </c>
      <c r="B39" s="3">
        <v>0.15</v>
      </c>
      <c r="C39">
        <v>4</v>
      </c>
      <c r="D39">
        <f>C39*B39</f>
        <v>0.6</v>
      </c>
      <c r="G39" s="7" t="s">
        <v>2163</v>
      </c>
    </row>
    <row r="40" spans="1:7" ht="15" thickBot="1" x14ac:dyDescent="0.35">
      <c r="B40" s="4">
        <f>SUM(B31:B39)</f>
        <v>1</v>
      </c>
      <c r="D40" s="6">
        <f>SUM(D31:D39)</f>
        <v>3.6</v>
      </c>
      <c r="G40" s="7" t="s">
        <v>2164</v>
      </c>
    </row>
    <row r="41" spans="1:7" ht="15" thickTop="1" x14ac:dyDescent="0.3">
      <c r="G41" s="7" t="s">
        <v>2165</v>
      </c>
    </row>
    <row r="42" spans="1:7" x14ac:dyDescent="0.3">
      <c r="A42" t="s">
        <v>105</v>
      </c>
      <c r="G42" s="7" t="s">
        <v>409</v>
      </c>
    </row>
    <row r="43" spans="1:7" x14ac:dyDescent="0.3">
      <c r="A43" s="1" t="s">
        <v>0</v>
      </c>
      <c r="B43" s="1" t="s">
        <v>1</v>
      </c>
      <c r="C43" s="1" t="s">
        <v>201</v>
      </c>
      <c r="D43" s="1" t="s">
        <v>3</v>
      </c>
      <c r="G43" s="7" t="s">
        <v>177</v>
      </c>
    </row>
    <row r="44" spans="1:7" x14ac:dyDescent="0.3">
      <c r="A44" t="s">
        <v>205</v>
      </c>
      <c r="B44" s="3">
        <v>0.15</v>
      </c>
      <c r="C44">
        <v>4</v>
      </c>
      <c r="D44">
        <f>C44*B44</f>
        <v>0.6</v>
      </c>
      <c r="G44" s="7" t="s">
        <v>417</v>
      </c>
    </row>
    <row r="45" spans="1:7" x14ac:dyDescent="0.3">
      <c r="A45" t="s">
        <v>202</v>
      </c>
      <c r="B45" s="3">
        <v>0.1</v>
      </c>
      <c r="C45">
        <v>4</v>
      </c>
      <c r="D45">
        <f t="shared" ref="D45:D51" si="3">C45*B45</f>
        <v>0.4</v>
      </c>
      <c r="G45" s="7" t="s">
        <v>2166</v>
      </c>
    </row>
    <row r="46" spans="1:7" x14ac:dyDescent="0.3">
      <c r="A46" t="s">
        <v>206</v>
      </c>
      <c r="B46" s="3">
        <v>0.1</v>
      </c>
      <c r="C46">
        <v>4</v>
      </c>
      <c r="D46">
        <f t="shared" si="3"/>
        <v>0.4</v>
      </c>
      <c r="G46" s="7" t="s">
        <v>2167</v>
      </c>
    </row>
    <row r="47" spans="1:7" x14ac:dyDescent="0.3">
      <c r="A47" t="s">
        <v>91</v>
      </c>
      <c r="B47" s="3">
        <v>0.15</v>
      </c>
      <c r="C47">
        <v>3</v>
      </c>
      <c r="D47">
        <f t="shared" si="3"/>
        <v>0.44999999999999996</v>
      </c>
      <c r="G47" s="7" t="s">
        <v>420</v>
      </c>
    </row>
    <row r="48" spans="1:7" x14ac:dyDescent="0.3">
      <c r="A48" t="s">
        <v>90</v>
      </c>
      <c r="B48" s="3">
        <v>0.15</v>
      </c>
      <c r="C48">
        <v>4</v>
      </c>
      <c r="D48">
        <f t="shared" si="3"/>
        <v>0.6</v>
      </c>
      <c r="G48" s="7" t="s">
        <v>393</v>
      </c>
    </row>
    <row r="49" spans="1:7" x14ac:dyDescent="0.3">
      <c r="A49" t="s">
        <v>203</v>
      </c>
      <c r="B49" s="3">
        <v>0.05</v>
      </c>
      <c r="C49">
        <v>4</v>
      </c>
      <c r="D49">
        <f t="shared" si="3"/>
        <v>0.2</v>
      </c>
      <c r="G49" s="7" t="s">
        <v>2168</v>
      </c>
    </row>
    <row r="50" spans="1:7" x14ac:dyDescent="0.3">
      <c r="A50" t="s">
        <v>204</v>
      </c>
      <c r="B50" s="3">
        <v>0.05</v>
      </c>
      <c r="C50">
        <v>4</v>
      </c>
      <c r="D50">
        <f t="shared" si="3"/>
        <v>0.2</v>
      </c>
      <c r="G50" s="7" t="s">
        <v>2169</v>
      </c>
    </row>
    <row r="51" spans="1:7" x14ac:dyDescent="0.3">
      <c r="A51" t="s">
        <v>89</v>
      </c>
      <c r="B51" s="3">
        <v>0.1</v>
      </c>
      <c r="C51">
        <v>3</v>
      </c>
      <c r="D51">
        <f t="shared" si="3"/>
        <v>0.30000000000000004</v>
      </c>
      <c r="G51" s="7" t="s">
        <v>420</v>
      </c>
    </row>
    <row r="52" spans="1:7" x14ac:dyDescent="0.3">
      <c r="A52" t="s">
        <v>88</v>
      </c>
      <c r="B52" s="3">
        <v>0.15</v>
      </c>
      <c r="C52">
        <v>4</v>
      </c>
      <c r="D52">
        <f>C52*B52</f>
        <v>0.6</v>
      </c>
      <c r="G52" s="7" t="s">
        <v>393</v>
      </c>
    </row>
    <row r="53" spans="1:7" ht="15" thickBot="1" x14ac:dyDescent="0.35">
      <c r="B53" s="4">
        <f>SUM(B44:B52)</f>
        <v>1</v>
      </c>
      <c r="D53" s="6">
        <f>SUM(D44:D52)</f>
        <v>3.7500000000000004</v>
      </c>
      <c r="G53" s="7" t="s">
        <v>2170</v>
      </c>
    </row>
    <row r="54" spans="1:7" ht="15" thickTop="1" x14ac:dyDescent="0.3">
      <c r="G54" s="7" t="s">
        <v>2171</v>
      </c>
    </row>
    <row r="55" spans="1:7" x14ac:dyDescent="0.3">
      <c r="A55" t="s">
        <v>106</v>
      </c>
      <c r="G55" s="7" t="s">
        <v>420</v>
      </c>
    </row>
    <row r="56" spans="1:7" x14ac:dyDescent="0.3">
      <c r="A56" s="1" t="s">
        <v>0</v>
      </c>
      <c r="B56" s="1" t="s">
        <v>1</v>
      </c>
      <c r="C56" s="1" t="s">
        <v>201</v>
      </c>
      <c r="D56" s="1" t="s">
        <v>3</v>
      </c>
      <c r="G56" s="7" t="s">
        <v>393</v>
      </c>
    </row>
    <row r="57" spans="1:7" x14ac:dyDescent="0.3">
      <c r="A57" t="s">
        <v>205</v>
      </c>
      <c r="B57" s="3">
        <v>0.15</v>
      </c>
      <c r="C57">
        <v>4</v>
      </c>
      <c r="D57">
        <f>C57*B57</f>
        <v>0.6</v>
      </c>
      <c r="G57" s="7" t="s">
        <v>2172</v>
      </c>
    </row>
    <row r="58" spans="1:7" x14ac:dyDescent="0.3">
      <c r="A58" t="s">
        <v>202</v>
      </c>
      <c r="B58" s="3">
        <v>0.1</v>
      </c>
      <c r="C58">
        <v>4</v>
      </c>
      <c r="D58">
        <f t="shared" ref="D58:D64" si="4">C58*B58</f>
        <v>0.4</v>
      </c>
      <c r="G58" s="7" t="s">
        <v>2173</v>
      </c>
    </row>
    <row r="59" spans="1:7" x14ac:dyDescent="0.3">
      <c r="A59" t="s">
        <v>206</v>
      </c>
      <c r="B59" s="3">
        <v>0.1</v>
      </c>
      <c r="C59">
        <v>4</v>
      </c>
      <c r="D59">
        <f t="shared" si="4"/>
        <v>0.4</v>
      </c>
      <c r="G59" s="7" t="s">
        <v>420</v>
      </c>
    </row>
    <row r="60" spans="1:7" x14ac:dyDescent="0.3">
      <c r="A60" t="s">
        <v>91</v>
      </c>
      <c r="B60" s="3">
        <v>0.15</v>
      </c>
      <c r="C60">
        <v>4</v>
      </c>
      <c r="D60">
        <f t="shared" si="4"/>
        <v>0.6</v>
      </c>
      <c r="G60" s="7" t="s">
        <v>393</v>
      </c>
    </row>
    <row r="61" spans="1:7" x14ac:dyDescent="0.3">
      <c r="A61" t="s">
        <v>90</v>
      </c>
      <c r="B61" s="3">
        <v>0.15</v>
      </c>
      <c r="C61">
        <v>4</v>
      </c>
      <c r="D61">
        <f t="shared" si="4"/>
        <v>0.6</v>
      </c>
      <c r="G61" s="7" t="s">
        <v>426</v>
      </c>
    </row>
    <row r="62" spans="1:7" x14ac:dyDescent="0.3">
      <c r="A62" t="s">
        <v>203</v>
      </c>
      <c r="B62" s="3">
        <v>0.05</v>
      </c>
      <c r="C62">
        <v>4</v>
      </c>
      <c r="D62">
        <f t="shared" si="4"/>
        <v>0.2</v>
      </c>
      <c r="G62" s="7" t="s">
        <v>2174</v>
      </c>
    </row>
    <row r="63" spans="1:7" x14ac:dyDescent="0.3">
      <c r="A63" t="s">
        <v>204</v>
      </c>
      <c r="B63" s="3">
        <v>0.05</v>
      </c>
      <c r="C63">
        <v>4</v>
      </c>
      <c r="D63">
        <f t="shared" si="4"/>
        <v>0.2</v>
      </c>
      <c r="G63" s="7" t="s">
        <v>420</v>
      </c>
    </row>
    <row r="64" spans="1:7" x14ac:dyDescent="0.3">
      <c r="A64" t="s">
        <v>89</v>
      </c>
      <c r="B64" s="3">
        <v>0.1</v>
      </c>
      <c r="C64">
        <v>4</v>
      </c>
      <c r="D64">
        <f t="shared" si="4"/>
        <v>0.4</v>
      </c>
      <c r="G64" s="7" t="s">
        <v>409</v>
      </c>
    </row>
    <row r="65" spans="1:7" x14ac:dyDescent="0.3">
      <c r="A65" t="s">
        <v>88</v>
      </c>
      <c r="B65" s="3">
        <v>0.15</v>
      </c>
      <c r="C65">
        <v>4</v>
      </c>
      <c r="D65">
        <f>C65*B65</f>
        <v>0.6</v>
      </c>
      <c r="G65" s="7" t="s">
        <v>177</v>
      </c>
    </row>
    <row r="66" spans="1:7" ht="15" thickBot="1" x14ac:dyDescent="0.35">
      <c r="B66" s="4">
        <f>SUM(B57:B65)</f>
        <v>1</v>
      </c>
      <c r="D66" s="6">
        <f>SUM(D57:D65)</f>
        <v>4</v>
      </c>
      <c r="G66" t="s">
        <v>430</v>
      </c>
    </row>
    <row r="67" spans="1:7" ht="15" thickTop="1" x14ac:dyDescent="0.3">
      <c r="G67" s="7" t="s">
        <v>2175</v>
      </c>
    </row>
    <row r="68" spans="1:7" x14ac:dyDescent="0.3">
      <c r="A68" t="s">
        <v>107</v>
      </c>
      <c r="G68" s="7" t="s">
        <v>2176</v>
      </c>
    </row>
    <row r="69" spans="1:7" x14ac:dyDescent="0.3">
      <c r="A69" s="1" t="s">
        <v>0</v>
      </c>
      <c r="B69" s="1" t="s">
        <v>1</v>
      </c>
      <c r="C69" s="1" t="s">
        <v>201</v>
      </c>
      <c r="D69" s="1" t="s">
        <v>3</v>
      </c>
      <c r="G69" t="s">
        <v>2177</v>
      </c>
    </row>
    <row r="70" spans="1:7" x14ac:dyDescent="0.3">
      <c r="A70" t="s">
        <v>205</v>
      </c>
      <c r="B70" s="3">
        <v>0.15</v>
      </c>
      <c r="C70">
        <v>4</v>
      </c>
      <c r="D70">
        <f>C70*B70</f>
        <v>0.6</v>
      </c>
      <c r="G70" s="7" t="s">
        <v>2178</v>
      </c>
    </row>
    <row r="71" spans="1:7" x14ac:dyDescent="0.3">
      <c r="A71" t="s">
        <v>202</v>
      </c>
      <c r="B71" s="3">
        <v>0.1</v>
      </c>
      <c r="C71">
        <v>3</v>
      </c>
      <c r="D71">
        <f t="shared" ref="D71:D77" si="5">C71*B71</f>
        <v>0.30000000000000004</v>
      </c>
      <c r="G71" s="7" t="s">
        <v>165</v>
      </c>
    </row>
    <row r="72" spans="1:7" x14ac:dyDescent="0.3">
      <c r="A72" t="s">
        <v>206</v>
      </c>
      <c r="B72" s="3">
        <v>0.1</v>
      </c>
      <c r="C72">
        <v>3</v>
      </c>
      <c r="D72">
        <f t="shared" si="5"/>
        <v>0.30000000000000004</v>
      </c>
      <c r="G72" s="7" t="s">
        <v>166</v>
      </c>
    </row>
    <row r="73" spans="1:7" x14ac:dyDescent="0.3">
      <c r="A73" t="s">
        <v>91</v>
      </c>
      <c r="B73" s="3">
        <v>0.15</v>
      </c>
      <c r="C73">
        <v>4</v>
      </c>
      <c r="D73">
        <f t="shared" si="5"/>
        <v>0.6</v>
      </c>
      <c r="G73" s="7" t="s">
        <v>435</v>
      </c>
    </row>
    <row r="74" spans="1:7" x14ac:dyDescent="0.3">
      <c r="A74" t="s">
        <v>90</v>
      </c>
      <c r="B74" s="3">
        <v>0.15</v>
      </c>
      <c r="C74">
        <v>4</v>
      </c>
      <c r="D74">
        <f t="shared" si="5"/>
        <v>0.6</v>
      </c>
      <c r="G74" s="7" t="s">
        <v>436</v>
      </c>
    </row>
    <row r="75" spans="1:7" x14ac:dyDescent="0.3">
      <c r="A75" t="s">
        <v>203</v>
      </c>
      <c r="B75" s="3">
        <v>0.05</v>
      </c>
      <c r="C75">
        <v>2</v>
      </c>
      <c r="D75">
        <f t="shared" si="5"/>
        <v>0.1</v>
      </c>
      <c r="G75" t="s">
        <v>437</v>
      </c>
    </row>
    <row r="76" spans="1:7" x14ac:dyDescent="0.3">
      <c r="A76" t="s">
        <v>204</v>
      </c>
      <c r="B76" s="3">
        <v>0.05</v>
      </c>
      <c r="C76">
        <v>4</v>
      </c>
      <c r="D76">
        <f t="shared" si="5"/>
        <v>0.2</v>
      </c>
      <c r="G76" s="7" t="s">
        <v>438</v>
      </c>
    </row>
    <row r="77" spans="1:7" x14ac:dyDescent="0.3">
      <c r="A77" t="s">
        <v>89</v>
      </c>
      <c r="B77" s="3">
        <v>0.1</v>
      </c>
      <c r="C77">
        <v>4</v>
      </c>
      <c r="D77">
        <f t="shared" si="5"/>
        <v>0.4</v>
      </c>
      <c r="G77" s="7" t="s">
        <v>439</v>
      </c>
    </row>
    <row r="78" spans="1:7" x14ac:dyDescent="0.3">
      <c r="A78" t="s">
        <v>88</v>
      </c>
      <c r="B78" s="3">
        <v>0.15</v>
      </c>
      <c r="C78">
        <v>4</v>
      </c>
      <c r="D78">
        <f>C78*B78</f>
        <v>0.6</v>
      </c>
      <c r="G78" s="7" t="s">
        <v>440</v>
      </c>
    </row>
    <row r="79" spans="1:7" ht="15" thickBot="1" x14ac:dyDescent="0.35">
      <c r="B79" s="4">
        <f>SUM(B70:B78)</f>
        <v>1</v>
      </c>
      <c r="D79" s="6">
        <f>SUM(D70:D78)</f>
        <v>3.7000000000000006</v>
      </c>
      <c r="G79" t="s">
        <v>2179</v>
      </c>
    </row>
    <row r="80" spans="1:7" ht="15" thickTop="1" x14ac:dyDescent="0.3">
      <c r="G80" s="7" t="s">
        <v>441</v>
      </c>
    </row>
    <row r="81" spans="1:7" x14ac:dyDescent="0.3">
      <c r="A81" t="s">
        <v>108</v>
      </c>
      <c r="G81" s="7" t="s">
        <v>445</v>
      </c>
    </row>
    <row r="82" spans="1:7" x14ac:dyDescent="0.3">
      <c r="A82" s="1" t="s">
        <v>0</v>
      </c>
      <c r="B82" s="1" t="s">
        <v>1</v>
      </c>
      <c r="C82" s="1" t="s">
        <v>201</v>
      </c>
      <c r="D82" s="1" t="s">
        <v>3</v>
      </c>
      <c r="G82" s="7" t="s">
        <v>2180</v>
      </c>
    </row>
    <row r="83" spans="1:7" x14ac:dyDescent="0.3">
      <c r="A83" t="s">
        <v>205</v>
      </c>
      <c r="B83" s="3">
        <v>0.15</v>
      </c>
      <c r="C83">
        <v>4</v>
      </c>
      <c r="D83">
        <f>C83*B83</f>
        <v>0.6</v>
      </c>
      <c r="G83" t="s">
        <v>2181</v>
      </c>
    </row>
    <row r="84" spans="1:7" x14ac:dyDescent="0.3">
      <c r="A84" t="s">
        <v>202</v>
      </c>
      <c r="B84" s="3">
        <v>0.1</v>
      </c>
      <c r="C84">
        <v>4</v>
      </c>
      <c r="D84">
        <f t="shared" ref="D84:D90" si="6">C84*B84</f>
        <v>0.4</v>
      </c>
      <c r="G84" t="s">
        <v>2182</v>
      </c>
    </row>
    <row r="85" spans="1:7" x14ac:dyDescent="0.3">
      <c r="A85" t="s">
        <v>206</v>
      </c>
      <c r="B85" s="3">
        <v>0.1</v>
      </c>
      <c r="C85">
        <v>4</v>
      </c>
      <c r="D85">
        <f t="shared" si="6"/>
        <v>0.4</v>
      </c>
      <c r="G85" t="s">
        <v>2183</v>
      </c>
    </row>
    <row r="86" spans="1:7" x14ac:dyDescent="0.3">
      <c r="A86" t="s">
        <v>91</v>
      </c>
      <c r="B86" s="3">
        <v>0.15</v>
      </c>
      <c r="C86">
        <v>4</v>
      </c>
      <c r="D86">
        <f t="shared" si="6"/>
        <v>0.6</v>
      </c>
      <c r="G86" t="s">
        <v>448</v>
      </c>
    </row>
    <row r="87" spans="1:7" x14ac:dyDescent="0.3">
      <c r="A87" t="s">
        <v>90</v>
      </c>
      <c r="B87" s="3">
        <v>0.15</v>
      </c>
      <c r="C87">
        <v>4</v>
      </c>
      <c r="D87">
        <f t="shared" si="6"/>
        <v>0.6</v>
      </c>
      <c r="G87" t="s">
        <v>393</v>
      </c>
    </row>
    <row r="88" spans="1:7" x14ac:dyDescent="0.3">
      <c r="A88" t="s">
        <v>203</v>
      </c>
      <c r="B88" s="3">
        <v>0.05</v>
      </c>
      <c r="C88">
        <v>4</v>
      </c>
      <c r="D88">
        <f t="shared" si="6"/>
        <v>0.2</v>
      </c>
      <c r="G88" t="s">
        <v>449</v>
      </c>
    </row>
    <row r="89" spans="1:7" x14ac:dyDescent="0.3">
      <c r="A89" t="s">
        <v>204</v>
      </c>
      <c r="B89" s="3">
        <v>0.05</v>
      </c>
      <c r="C89">
        <v>4</v>
      </c>
      <c r="D89">
        <f t="shared" si="6"/>
        <v>0.2</v>
      </c>
      <c r="G89" t="s">
        <v>488</v>
      </c>
    </row>
    <row r="90" spans="1:7" x14ac:dyDescent="0.3">
      <c r="A90" t="s">
        <v>89</v>
      </c>
      <c r="B90" s="3">
        <v>0.1</v>
      </c>
      <c r="C90">
        <v>4</v>
      </c>
      <c r="D90">
        <f t="shared" si="6"/>
        <v>0.4</v>
      </c>
      <c r="G90" t="s">
        <v>451</v>
      </c>
    </row>
    <row r="91" spans="1:7" x14ac:dyDescent="0.3">
      <c r="A91" t="s">
        <v>88</v>
      </c>
      <c r="B91" s="3">
        <v>0.15</v>
      </c>
      <c r="C91">
        <v>3</v>
      </c>
      <c r="D91">
        <f>C91*B91</f>
        <v>0.44999999999999996</v>
      </c>
      <c r="G91" t="s">
        <v>452</v>
      </c>
    </row>
    <row r="92" spans="1:7" ht="15" thickBot="1" x14ac:dyDescent="0.35">
      <c r="B92" s="4">
        <f>SUM(B83:B91)</f>
        <v>1</v>
      </c>
      <c r="D92" s="6">
        <f>SUM(D83:D91)</f>
        <v>3.8500000000000005</v>
      </c>
      <c r="G92" t="s">
        <v>2184</v>
      </c>
    </row>
    <row r="93" spans="1:7" ht="15" thickTop="1" x14ac:dyDescent="0.3">
      <c r="G93" t="s">
        <v>2185</v>
      </c>
    </row>
    <row r="94" spans="1:7" x14ac:dyDescent="0.3">
      <c r="A94" t="s">
        <v>109</v>
      </c>
      <c r="G94" t="s">
        <v>2186</v>
      </c>
    </row>
    <row r="95" spans="1:7" x14ac:dyDescent="0.3">
      <c r="A95" s="1" t="s">
        <v>0</v>
      </c>
      <c r="B95" s="1" t="s">
        <v>1</v>
      </c>
      <c r="C95" s="1" t="s">
        <v>201</v>
      </c>
      <c r="D95" s="1" t="s">
        <v>3</v>
      </c>
      <c r="G95" t="s">
        <v>2187</v>
      </c>
    </row>
    <row r="96" spans="1:7" x14ac:dyDescent="0.3">
      <c r="A96" t="s">
        <v>205</v>
      </c>
      <c r="B96" s="3">
        <v>0.15</v>
      </c>
      <c r="C96">
        <v>4</v>
      </c>
      <c r="D96">
        <f>C96*B96</f>
        <v>0.6</v>
      </c>
      <c r="G96" t="s">
        <v>2188</v>
      </c>
    </row>
    <row r="97" spans="1:7" x14ac:dyDescent="0.3">
      <c r="A97" t="s">
        <v>202</v>
      </c>
      <c r="B97" s="3">
        <v>0.1</v>
      </c>
      <c r="C97">
        <v>4</v>
      </c>
      <c r="D97">
        <f t="shared" ref="D97:D103" si="7">C97*B97</f>
        <v>0.4</v>
      </c>
      <c r="G97" t="s">
        <v>2189</v>
      </c>
    </row>
    <row r="98" spans="1:7" x14ac:dyDescent="0.3">
      <c r="A98" t="s">
        <v>206</v>
      </c>
      <c r="B98" s="3">
        <v>0.1</v>
      </c>
      <c r="C98">
        <v>4</v>
      </c>
      <c r="D98">
        <f t="shared" si="7"/>
        <v>0.4</v>
      </c>
      <c r="G98" t="s">
        <v>2190</v>
      </c>
    </row>
    <row r="99" spans="1:7" x14ac:dyDescent="0.3">
      <c r="A99" t="s">
        <v>91</v>
      </c>
      <c r="B99" s="3">
        <v>0.15</v>
      </c>
      <c r="C99">
        <v>3</v>
      </c>
      <c r="D99">
        <f t="shared" si="7"/>
        <v>0.44999999999999996</v>
      </c>
      <c r="G99" t="s">
        <v>2191</v>
      </c>
    </row>
    <row r="100" spans="1:7" x14ac:dyDescent="0.3">
      <c r="A100" t="s">
        <v>90</v>
      </c>
      <c r="B100" s="3">
        <v>0.15</v>
      </c>
      <c r="C100">
        <v>4</v>
      </c>
      <c r="D100">
        <f t="shared" si="7"/>
        <v>0.6</v>
      </c>
      <c r="G100" t="s">
        <v>2192</v>
      </c>
    </row>
    <row r="101" spans="1:7" x14ac:dyDescent="0.3">
      <c r="A101" t="s">
        <v>203</v>
      </c>
      <c r="B101" s="3">
        <v>0.05</v>
      </c>
      <c r="C101">
        <v>4</v>
      </c>
      <c r="D101">
        <f t="shared" si="7"/>
        <v>0.2</v>
      </c>
      <c r="G101" t="s">
        <v>2193</v>
      </c>
    </row>
    <row r="102" spans="1:7" x14ac:dyDescent="0.3">
      <c r="A102" t="s">
        <v>204</v>
      </c>
      <c r="B102" s="3">
        <v>0.05</v>
      </c>
      <c r="C102">
        <v>4</v>
      </c>
      <c r="D102">
        <f t="shared" si="7"/>
        <v>0.2</v>
      </c>
      <c r="G102" t="s">
        <v>448</v>
      </c>
    </row>
    <row r="103" spans="1:7" x14ac:dyDescent="0.3">
      <c r="A103" t="s">
        <v>89</v>
      </c>
      <c r="B103" s="3">
        <v>0.1</v>
      </c>
      <c r="C103">
        <v>4</v>
      </c>
      <c r="D103">
        <f t="shared" si="7"/>
        <v>0.4</v>
      </c>
      <c r="G103" t="s">
        <v>393</v>
      </c>
    </row>
    <row r="104" spans="1:7" x14ac:dyDescent="0.3">
      <c r="A104" t="s">
        <v>88</v>
      </c>
      <c r="B104" s="3">
        <v>0.15</v>
      </c>
      <c r="C104">
        <v>4</v>
      </c>
      <c r="D104">
        <f>C104*B104</f>
        <v>0.6</v>
      </c>
      <c r="G104" t="s">
        <v>463</v>
      </c>
    </row>
    <row r="105" spans="1:7" ht="15" thickBot="1" x14ac:dyDescent="0.35">
      <c r="B105" s="4">
        <f>SUM(B96:B104)</f>
        <v>1</v>
      </c>
      <c r="D105" s="6">
        <f>SUM(D96:D104)</f>
        <v>3.85</v>
      </c>
      <c r="G105" t="s">
        <v>464</v>
      </c>
    </row>
    <row r="106" spans="1:7" ht="15" thickTop="1" x14ac:dyDescent="0.3">
      <c r="G106" t="s">
        <v>2194</v>
      </c>
    </row>
    <row r="107" spans="1:7" x14ac:dyDescent="0.3">
      <c r="A107" t="s">
        <v>110</v>
      </c>
      <c r="G107" t="s">
        <v>2195</v>
      </c>
    </row>
    <row r="108" spans="1:7" x14ac:dyDescent="0.3">
      <c r="A108" s="1" t="s">
        <v>0</v>
      </c>
      <c r="B108" s="1" t="s">
        <v>1</v>
      </c>
      <c r="C108" s="1" t="s">
        <v>201</v>
      </c>
      <c r="D108" s="1" t="s">
        <v>3</v>
      </c>
      <c r="G108" t="s">
        <v>2196</v>
      </c>
    </row>
    <row r="109" spans="1:7" x14ac:dyDescent="0.3">
      <c r="A109" t="s">
        <v>205</v>
      </c>
      <c r="B109" s="3">
        <v>0.15</v>
      </c>
      <c r="C109">
        <v>4</v>
      </c>
      <c r="D109">
        <f>C109*B109</f>
        <v>0.6</v>
      </c>
      <c r="G109" t="s">
        <v>2197</v>
      </c>
    </row>
    <row r="110" spans="1:7" x14ac:dyDescent="0.3">
      <c r="A110" t="s">
        <v>202</v>
      </c>
      <c r="B110" s="3">
        <v>0.1</v>
      </c>
      <c r="C110">
        <v>3</v>
      </c>
      <c r="D110">
        <f t="shared" ref="D110:D116" si="8">C110*B110</f>
        <v>0.30000000000000004</v>
      </c>
      <c r="G110" t="s">
        <v>2198</v>
      </c>
    </row>
    <row r="111" spans="1:7" x14ac:dyDescent="0.3">
      <c r="A111" t="s">
        <v>206</v>
      </c>
      <c r="B111" s="3">
        <v>0.1</v>
      </c>
      <c r="C111">
        <v>3</v>
      </c>
      <c r="D111">
        <f t="shared" si="8"/>
        <v>0.30000000000000004</v>
      </c>
      <c r="G111" t="s">
        <v>448</v>
      </c>
    </row>
    <row r="112" spans="1:7" x14ac:dyDescent="0.3">
      <c r="A112" t="s">
        <v>91</v>
      </c>
      <c r="B112" s="3">
        <v>0.15</v>
      </c>
      <c r="C112">
        <v>4</v>
      </c>
      <c r="D112">
        <f t="shared" si="8"/>
        <v>0.6</v>
      </c>
      <c r="G112" t="s">
        <v>393</v>
      </c>
    </row>
    <row r="113" spans="1:7" x14ac:dyDescent="0.3">
      <c r="A113" t="s">
        <v>90</v>
      </c>
      <c r="B113" s="3">
        <v>0.15</v>
      </c>
      <c r="C113">
        <v>4</v>
      </c>
      <c r="D113">
        <f t="shared" si="8"/>
        <v>0.6</v>
      </c>
      <c r="G113" t="s">
        <v>470</v>
      </c>
    </row>
    <row r="114" spans="1:7" x14ac:dyDescent="0.3">
      <c r="A114" t="s">
        <v>203</v>
      </c>
      <c r="B114" s="3">
        <v>0.05</v>
      </c>
      <c r="C114">
        <v>4</v>
      </c>
      <c r="D114">
        <f t="shared" si="8"/>
        <v>0.2</v>
      </c>
      <c r="G114" t="s">
        <v>2199</v>
      </c>
    </row>
    <row r="115" spans="1:7" x14ac:dyDescent="0.3">
      <c r="A115" t="s">
        <v>204</v>
      </c>
      <c r="B115" s="3">
        <v>0.05</v>
      </c>
      <c r="C115">
        <v>4</v>
      </c>
      <c r="D115">
        <f t="shared" si="8"/>
        <v>0.2</v>
      </c>
      <c r="G115" t="s">
        <v>2200</v>
      </c>
    </row>
    <row r="116" spans="1:7" x14ac:dyDescent="0.3">
      <c r="A116" t="s">
        <v>89</v>
      </c>
      <c r="B116" s="3">
        <v>0.1</v>
      </c>
      <c r="C116">
        <v>4</v>
      </c>
      <c r="D116">
        <f t="shared" si="8"/>
        <v>0.4</v>
      </c>
      <c r="G116" t="s">
        <v>473</v>
      </c>
    </row>
    <row r="117" spans="1:7" x14ac:dyDescent="0.3">
      <c r="A117" t="s">
        <v>88</v>
      </c>
      <c r="B117" s="3">
        <v>0.15</v>
      </c>
      <c r="C117">
        <v>3</v>
      </c>
      <c r="D117">
        <f>C117*B117</f>
        <v>0.44999999999999996</v>
      </c>
      <c r="G117" t="s">
        <v>474</v>
      </c>
    </row>
    <row r="118" spans="1:7" ht="15" thickBot="1" x14ac:dyDescent="0.35">
      <c r="B118" s="4">
        <f>SUM(B109:B117)</f>
        <v>1</v>
      </c>
      <c r="D118" s="6">
        <f>SUM(D109:D117)</f>
        <v>3.6500000000000004</v>
      </c>
      <c r="G118" t="s">
        <v>475</v>
      </c>
    </row>
    <row r="119" spans="1:7" ht="15" thickTop="1" x14ac:dyDescent="0.3">
      <c r="G119" t="s">
        <v>2201</v>
      </c>
    </row>
    <row r="120" spans="1:7" x14ac:dyDescent="0.3">
      <c r="G120" t="s">
        <v>473</v>
      </c>
    </row>
    <row r="121" spans="1:7" x14ac:dyDescent="0.3">
      <c r="G121" t="s">
        <v>474</v>
      </c>
    </row>
    <row r="122" spans="1:7" x14ac:dyDescent="0.3">
      <c r="G122" t="s">
        <v>471</v>
      </c>
    </row>
    <row r="123" spans="1:7" x14ac:dyDescent="0.3">
      <c r="G123" t="s">
        <v>2202</v>
      </c>
    </row>
    <row r="124" spans="1:7" x14ac:dyDescent="0.3">
      <c r="G124" t="s">
        <v>473</v>
      </c>
    </row>
    <row r="125" spans="1:7" x14ac:dyDescent="0.3">
      <c r="G125" t="s">
        <v>474</v>
      </c>
    </row>
    <row r="126" spans="1:7" x14ac:dyDescent="0.3">
      <c r="G126" t="s">
        <v>2203</v>
      </c>
    </row>
    <row r="127" spans="1:7" x14ac:dyDescent="0.3">
      <c r="G127" t="s">
        <v>2204</v>
      </c>
    </row>
    <row r="128" spans="1:7" x14ac:dyDescent="0.3">
      <c r="G128" t="s">
        <v>473</v>
      </c>
    </row>
    <row r="129" spans="7:7" x14ac:dyDescent="0.3">
      <c r="G129" t="s">
        <v>474</v>
      </c>
    </row>
    <row r="130" spans="7:7" x14ac:dyDescent="0.3">
      <c r="G130" t="s">
        <v>481</v>
      </c>
    </row>
    <row r="131" spans="7:7" x14ac:dyDescent="0.3">
      <c r="G131" t="s">
        <v>2205</v>
      </c>
    </row>
    <row r="132" spans="7:7" x14ac:dyDescent="0.3">
      <c r="G132" t="s">
        <v>473</v>
      </c>
    </row>
    <row r="133" spans="7:7" x14ac:dyDescent="0.3">
      <c r="G133" t="s">
        <v>448</v>
      </c>
    </row>
    <row r="134" spans="7:7" x14ac:dyDescent="0.3">
      <c r="G134" t="s">
        <v>409</v>
      </c>
    </row>
    <row r="135" spans="7:7" x14ac:dyDescent="0.3">
      <c r="G135" t="s">
        <v>177</v>
      </c>
    </row>
    <row r="136" spans="7:7" x14ac:dyDescent="0.3">
      <c r="G136" t="s">
        <v>436</v>
      </c>
    </row>
    <row r="137" spans="7:7" x14ac:dyDescent="0.3">
      <c r="G137" t="s">
        <v>437</v>
      </c>
    </row>
    <row r="138" spans="7:7" x14ac:dyDescent="0.3">
      <c r="G138" t="s">
        <v>438</v>
      </c>
    </row>
    <row r="139" spans="7:7" x14ac:dyDescent="0.3">
      <c r="G139" t="s">
        <v>439</v>
      </c>
    </row>
    <row r="140" spans="7:7" x14ac:dyDescent="0.3">
      <c r="G140" t="s">
        <v>440</v>
      </c>
    </row>
    <row r="141" spans="7:7" x14ac:dyDescent="0.3">
      <c r="G141" t="s">
        <v>2206</v>
      </c>
    </row>
    <row r="142" spans="7:7" x14ac:dyDescent="0.3">
      <c r="G142" t="s">
        <v>2179</v>
      </c>
    </row>
    <row r="143" spans="7:7" x14ac:dyDescent="0.3">
      <c r="G143" t="s">
        <v>441</v>
      </c>
    </row>
    <row r="144" spans="7:7" x14ac:dyDescent="0.3">
      <c r="G144" t="s">
        <v>445</v>
      </c>
    </row>
    <row r="145" spans="7:7" x14ac:dyDescent="0.3">
      <c r="G145" t="s">
        <v>2207</v>
      </c>
    </row>
    <row r="146" spans="7:7" x14ac:dyDescent="0.3">
      <c r="G146" t="s">
        <v>2208</v>
      </c>
    </row>
    <row r="147" spans="7:7" x14ac:dyDescent="0.3">
      <c r="G147" t="s">
        <v>2183</v>
      </c>
    </row>
    <row r="148" spans="7:7" x14ac:dyDescent="0.3">
      <c r="G148" t="s">
        <v>448</v>
      </c>
    </row>
    <row r="149" spans="7:7" x14ac:dyDescent="0.3">
      <c r="G149" t="s">
        <v>393</v>
      </c>
    </row>
    <row r="150" spans="7:7" x14ac:dyDescent="0.3">
      <c r="G150" t="s">
        <v>449</v>
      </c>
    </row>
    <row r="151" spans="7:7" x14ac:dyDescent="0.3">
      <c r="G151" t="s">
        <v>450</v>
      </c>
    </row>
    <row r="152" spans="7:7" x14ac:dyDescent="0.3">
      <c r="G152" t="s">
        <v>451</v>
      </c>
    </row>
    <row r="153" spans="7:7" x14ac:dyDescent="0.3">
      <c r="G153" t="s">
        <v>452</v>
      </c>
    </row>
    <row r="154" spans="7:7" x14ac:dyDescent="0.3">
      <c r="G154" t="s">
        <v>2209</v>
      </c>
    </row>
    <row r="155" spans="7:7" x14ac:dyDescent="0.3">
      <c r="G155" t="s">
        <v>2210</v>
      </c>
    </row>
    <row r="156" spans="7:7" x14ac:dyDescent="0.3">
      <c r="G156" t="s">
        <v>2211</v>
      </c>
    </row>
    <row r="157" spans="7:7" x14ac:dyDescent="0.3">
      <c r="G157" t="s">
        <v>2212</v>
      </c>
    </row>
    <row r="158" spans="7:7" x14ac:dyDescent="0.3">
      <c r="G158" t="s">
        <v>2213</v>
      </c>
    </row>
    <row r="159" spans="7:7" x14ac:dyDescent="0.3">
      <c r="G159" t="s">
        <v>2214</v>
      </c>
    </row>
    <row r="160" spans="7:7" x14ac:dyDescent="0.3">
      <c r="G160" t="s">
        <v>2215</v>
      </c>
    </row>
    <row r="161" spans="7:7" x14ac:dyDescent="0.3">
      <c r="G161" t="s">
        <v>2216</v>
      </c>
    </row>
    <row r="162" spans="7:7" x14ac:dyDescent="0.3">
      <c r="G162" t="s">
        <v>2217</v>
      </c>
    </row>
    <row r="163" spans="7:7" x14ac:dyDescent="0.3">
      <c r="G163" t="s">
        <v>2218</v>
      </c>
    </row>
    <row r="164" spans="7:7" x14ac:dyDescent="0.3">
      <c r="G164" t="s">
        <v>448</v>
      </c>
    </row>
    <row r="165" spans="7:7" x14ac:dyDescent="0.3">
      <c r="G165" t="s">
        <v>393</v>
      </c>
    </row>
    <row r="166" spans="7:7" x14ac:dyDescent="0.3">
      <c r="G166" t="s">
        <v>463</v>
      </c>
    </row>
    <row r="167" spans="7:7" x14ac:dyDescent="0.3">
      <c r="G167" t="s">
        <v>464</v>
      </c>
    </row>
    <row r="168" spans="7:7" x14ac:dyDescent="0.3">
      <c r="G168" t="s">
        <v>2219</v>
      </c>
    </row>
    <row r="169" spans="7:7" x14ac:dyDescent="0.3">
      <c r="G169" t="s">
        <v>2220</v>
      </c>
    </row>
    <row r="170" spans="7:7" x14ac:dyDescent="0.3">
      <c r="G170" t="s">
        <v>2221</v>
      </c>
    </row>
    <row r="171" spans="7:7" x14ac:dyDescent="0.3">
      <c r="G171" t="s">
        <v>2222</v>
      </c>
    </row>
    <row r="172" spans="7:7" x14ac:dyDescent="0.3">
      <c r="G172" t="s">
        <v>2223</v>
      </c>
    </row>
    <row r="173" spans="7:7" x14ac:dyDescent="0.3">
      <c r="G173" t="s">
        <v>448</v>
      </c>
    </row>
    <row r="174" spans="7:7" x14ac:dyDescent="0.3">
      <c r="G174" t="s">
        <v>393</v>
      </c>
    </row>
    <row r="175" spans="7:7" x14ac:dyDescent="0.3">
      <c r="G175" t="s">
        <v>470</v>
      </c>
    </row>
    <row r="176" spans="7:7" x14ac:dyDescent="0.3">
      <c r="G176" t="s">
        <v>471</v>
      </c>
    </row>
    <row r="177" spans="7:7" x14ac:dyDescent="0.3">
      <c r="G177" t="s">
        <v>2224</v>
      </c>
    </row>
    <row r="178" spans="7:7" x14ac:dyDescent="0.3">
      <c r="G178" t="s">
        <v>473</v>
      </c>
    </row>
    <row r="179" spans="7:7" x14ac:dyDescent="0.3">
      <c r="G179" t="s">
        <v>474</v>
      </c>
    </row>
    <row r="180" spans="7:7" x14ac:dyDescent="0.3">
      <c r="G180" t="s">
        <v>2199</v>
      </c>
    </row>
    <row r="181" spans="7:7" x14ac:dyDescent="0.3">
      <c r="G181" t="s">
        <v>2225</v>
      </c>
    </row>
    <row r="182" spans="7:7" x14ac:dyDescent="0.3">
      <c r="G182" t="s">
        <v>473</v>
      </c>
    </row>
    <row r="183" spans="7:7" x14ac:dyDescent="0.3">
      <c r="G183" t="s">
        <v>474</v>
      </c>
    </row>
    <row r="184" spans="7:7" x14ac:dyDescent="0.3">
      <c r="G184" t="s">
        <v>475</v>
      </c>
    </row>
    <row r="185" spans="7:7" x14ac:dyDescent="0.3">
      <c r="G185" t="s">
        <v>2226</v>
      </c>
    </row>
    <row r="186" spans="7:7" x14ac:dyDescent="0.3">
      <c r="G186" t="s">
        <v>473</v>
      </c>
    </row>
    <row r="187" spans="7:7" x14ac:dyDescent="0.3">
      <c r="G187" t="s">
        <v>474</v>
      </c>
    </row>
    <row r="188" spans="7:7" x14ac:dyDescent="0.3">
      <c r="G188" t="s">
        <v>2203</v>
      </c>
    </row>
    <row r="189" spans="7:7" x14ac:dyDescent="0.3">
      <c r="G189" t="s">
        <v>2227</v>
      </c>
    </row>
    <row r="190" spans="7:7" x14ac:dyDescent="0.3">
      <c r="G190" t="s">
        <v>473</v>
      </c>
    </row>
    <row r="191" spans="7:7" x14ac:dyDescent="0.3">
      <c r="G191" t="s">
        <v>474</v>
      </c>
    </row>
    <row r="192" spans="7:7" x14ac:dyDescent="0.3">
      <c r="G192" t="s">
        <v>481</v>
      </c>
    </row>
    <row r="193" spans="7:7" x14ac:dyDescent="0.3">
      <c r="G193" t="s">
        <v>2228</v>
      </c>
    </row>
    <row r="194" spans="7:7" x14ac:dyDescent="0.3">
      <c r="G194" t="s">
        <v>473</v>
      </c>
    </row>
    <row r="195" spans="7:7" x14ac:dyDescent="0.3">
      <c r="G195" t="s">
        <v>448</v>
      </c>
    </row>
    <row r="196" spans="7:7" x14ac:dyDescent="0.3">
      <c r="G196" t="s">
        <v>409</v>
      </c>
    </row>
    <row r="197" spans="7:7" x14ac:dyDescent="0.3">
      <c r="G197" t="s">
        <v>177</v>
      </c>
    </row>
    <row r="198" spans="7:7" x14ac:dyDescent="0.3">
      <c r="G198" t="s">
        <v>436</v>
      </c>
    </row>
    <row r="199" spans="7:7" x14ac:dyDescent="0.3">
      <c r="G199" t="s">
        <v>437</v>
      </c>
    </row>
    <row r="200" spans="7:7" x14ac:dyDescent="0.3">
      <c r="G200" t="s">
        <v>438</v>
      </c>
    </row>
    <row r="201" spans="7:7" x14ac:dyDescent="0.3">
      <c r="G201" t="s">
        <v>439</v>
      </c>
    </row>
    <row r="202" spans="7:7" x14ac:dyDescent="0.3">
      <c r="G202" t="s">
        <v>440</v>
      </c>
    </row>
    <row r="203" spans="7:7" x14ac:dyDescent="0.3">
      <c r="G203" t="s">
        <v>2179</v>
      </c>
    </row>
    <row r="204" spans="7:7" x14ac:dyDescent="0.3">
      <c r="G204" t="s">
        <v>2229</v>
      </c>
    </row>
    <row r="205" spans="7:7" x14ac:dyDescent="0.3">
      <c r="G205" t="s">
        <v>441</v>
      </c>
    </row>
    <row r="206" spans="7:7" x14ac:dyDescent="0.3">
      <c r="G206" t="s">
        <v>2230</v>
      </c>
    </row>
    <row r="207" spans="7:7" x14ac:dyDescent="0.3">
      <c r="G207" t="s">
        <v>2231</v>
      </c>
    </row>
    <row r="208" spans="7:7" x14ac:dyDescent="0.3">
      <c r="G208" t="s">
        <v>445</v>
      </c>
    </row>
    <row r="209" spans="7:7" x14ac:dyDescent="0.3">
      <c r="G209" t="s">
        <v>2183</v>
      </c>
    </row>
    <row r="210" spans="7:7" x14ac:dyDescent="0.3">
      <c r="G210" t="s">
        <v>448</v>
      </c>
    </row>
    <row r="211" spans="7:7" x14ac:dyDescent="0.3">
      <c r="G211" t="s">
        <v>393</v>
      </c>
    </row>
    <row r="212" spans="7:7" x14ac:dyDescent="0.3">
      <c r="G212" t="s">
        <v>449</v>
      </c>
    </row>
    <row r="213" spans="7:7" x14ac:dyDescent="0.3">
      <c r="G213" t="s">
        <v>450</v>
      </c>
    </row>
    <row r="214" spans="7:7" x14ac:dyDescent="0.3">
      <c r="G214" t="s">
        <v>451</v>
      </c>
    </row>
    <row r="215" spans="7:7" x14ac:dyDescent="0.3">
      <c r="G215" t="s">
        <v>452</v>
      </c>
    </row>
    <row r="216" spans="7:7" x14ac:dyDescent="0.3">
      <c r="G216" t="s">
        <v>2232</v>
      </c>
    </row>
    <row r="217" spans="7:7" x14ac:dyDescent="0.3">
      <c r="G217" t="s">
        <v>2233</v>
      </c>
    </row>
    <row r="218" spans="7:7" x14ac:dyDescent="0.3">
      <c r="G218" t="s">
        <v>2234</v>
      </c>
    </row>
    <row r="219" spans="7:7" x14ac:dyDescent="0.3">
      <c r="G219" t="s">
        <v>2235</v>
      </c>
    </row>
    <row r="220" spans="7:7" x14ac:dyDescent="0.3">
      <c r="G220" t="s">
        <v>2236</v>
      </c>
    </row>
    <row r="221" spans="7:7" x14ac:dyDescent="0.3">
      <c r="G221" t="s">
        <v>2237</v>
      </c>
    </row>
    <row r="222" spans="7:7" x14ac:dyDescent="0.3">
      <c r="G222" t="s">
        <v>2238</v>
      </c>
    </row>
    <row r="223" spans="7:7" x14ac:dyDescent="0.3">
      <c r="G223" t="s">
        <v>2239</v>
      </c>
    </row>
    <row r="224" spans="7:7" x14ac:dyDescent="0.3">
      <c r="G224" t="s">
        <v>2240</v>
      </c>
    </row>
    <row r="225" spans="7:7" x14ac:dyDescent="0.3">
      <c r="G225" t="s">
        <v>2241</v>
      </c>
    </row>
    <row r="226" spans="7:7" x14ac:dyDescent="0.3">
      <c r="G226" t="s">
        <v>448</v>
      </c>
    </row>
    <row r="227" spans="7:7" x14ac:dyDescent="0.3">
      <c r="G227" t="s">
        <v>393</v>
      </c>
    </row>
    <row r="228" spans="7:7" x14ac:dyDescent="0.3">
      <c r="G228" t="s">
        <v>463</v>
      </c>
    </row>
    <row r="229" spans="7:7" x14ac:dyDescent="0.3">
      <c r="G229" t="s">
        <v>464</v>
      </c>
    </row>
    <row r="230" spans="7:7" x14ac:dyDescent="0.3">
      <c r="G230" t="s">
        <v>2242</v>
      </c>
    </row>
    <row r="231" spans="7:7" x14ac:dyDescent="0.3">
      <c r="G231" t="s">
        <v>2243</v>
      </c>
    </row>
    <row r="232" spans="7:7" x14ac:dyDescent="0.3">
      <c r="G232" t="s">
        <v>2244</v>
      </c>
    </row>
    <row r="233" spans="7:7" x14ac:dyDescent="0.3">
      <c r="G233" t="s">
        <v>2245</v>
      </c>
    </row>
    <row r="234" spans="7:7" x14ac:dyDescent="0.3">
      <c r="G234" t="s">
        <v>2246</v>
      </c>
    </row>
    <row r="235" spans="7:7" x14ac:dyDescent="0.3">
      <c r="G235" t="s">
        <v>448</v>
      </c>
    </row>
    <row r="236" spans="7:7" x14ac:dyDescent="0.3">
      <c r="G236" t="s">
        <v>393</v>
      </c>
    </row>
    <row r="237" spans="7:7" x14ac:dyDescent="0.3">
      <c r="G237" t="s">
        <v>470</v>
      </c>
    </row>
    <row r="238" spans="7:7" x14ac:dyDescent="0.3">
      <c r="G238" t="s">
        <v>471</v>
      </c>
    </row>
    <row r="239" spans="7:7" x14ac:dyDescent="0.3">
      <c r="G239" t="s">
        <v>2247</v>
      </c>
    </row>
    <row r="240" spans="7:7" x14ac:dyDescent="0.3">
      <c r="G240" t="s">
        <v>473</v>
      </c>
    </row>
    <row r="241" spans="7:7" x14ac:dyDescent="0.3">
      <c r="G241" t="s">
        <v>474</v>
      </c>
    </row>
    <row r="242" spans="7:7" x14ac:dyDescent="0.3">
      <c r="G242" t="s">
        <v>2199</v>
      </c>
    </row>
    <row r="243" spans="7:7" x14ac:dyDescent="0.3">
      <c r="G243" t="s">
        <v>2248</v>
      </c>
    </row>
    <row r="244" spans="7:7" x14ac:dyDescent="0.3">
      <c r="G244" t="s">
        <v>473</v>
      </c>
    </row>
    <row r="245" spans="7:7" x14ac:dyDescent="0.3">
      <c r="G245" t="s">
        <v>474</v>
      </c>
    </row>
    <row r="246" spans="7:7" x14ac:dyDescent="0.3">
      <c r="G246" t="s">
        <v>475</v>
      </c>
    </row>
    <row r="247" spans="7:7" x14ac:dyDescent="0.3">
      <c r="G247" t="s">
        <v>2249</v>
      </c>
    </row>
    <row r="248" spans="7:7" x14ac:dyDescent="0.3">
      <c r="G248" t="s">
        <v>473</v>
      </c>
    </row>
    <row r="249" spans="7:7" x14ac:dyDescent="0.3">
      <c r="G249" t="s">
        <v>474</v>
      </c>
    </row>
    <row r="250" spans="7:7" x14ac:dyDescent="0.3">
      <c r="G250" t="s">
        <v>2203</v>
      </c>
    </row>
    <row r="251" spans="7:7" x14ac:dyDescent="0.3">
      <c r="G251" t="s">
        <v>2250</v>
      </c>
    </row>
    <row r="252" spans="7:7" x14ac:dyDescent="0.3">
      <c r="G252" t="s">
        <v>473</v>
      </c>
    </row>
    <row r="253" spans="7:7" x14ac:dyDescent="0.3">
      <c r="G253" t="s">
        <v>474</v>
      </c>
    </row>
    <row r="254" spans="7:7" x14ac:dyDescent="0.3">
      <c r="G254" t="s">
        <v>481</v>
      </c>
    </row>
    <row r="255" spans="7:7" x14ac:dyDescent="0.3">
      <c r="G255" t="s">
        <v>2251</v>
      </c>
    </row>
    <row r="256" spans="7:7" x14ac:dyDescent="0.3">
      <c r="G256" t="s">
        <v>473</v>
      </c>
    </row>
    <row r="257" spans="7:7" x14ac:dyDescent="0.3">
      <c r="G257" t="s">
        <v>448</v>
      </c>
    </row>
    <row r="258" spans="7:7" x14ac:dyDescent="0.3">
      <c r="G258" t="s">
        <v>409</v>
      </c>
    </row>
    <row r="259" spans="7:7" x14ac:dyDescent="0.3">
      <c r="G259" t="s">
        <v>177</v>
      </c>
    </row>
    <row r="260" spans="7:7" x14ac:dyDescent="0.3">
      <c r="G260" t="s">
        <v>436</v>
      </c>
    </row>
    <row r="261" spans="7:7" x14ac:dyDescent="0.3">
      <c r="G261" t="s">
        <v>437</v>
      </c>
    </row>
    <row r="262" spans="7:7" x14ac:dyDescent="0.3">
      <c r="G262" t="s">
        <v>438</v>
      </c>
    </row>
    <row r="263" spans="7:7" x14ac:dyDescent="0.3">
      <c r="G263" t="s">
        <v>439</v>
      </c>
    </row>
    <row r="264" spans="7:7" x14ac:dyDescent="0.3">
      <c r="G264" t="s">
        <v>440</v>
      </c>
    </row>
    <row r="265" spans="7:7" x14ac:dyDescent="0.3">
      <c r="G265" t="s">
        <v>2179</v>
      </c>
    </row>
    <row r="266" spans="7:7" x14ac:dyDescent="0.3">
      <c r="G266" t="s">
        <v>441</v>
      </c>
    </row>
    <row r="267" spans="7:7" x14ac:dyDescent="0.3">
      <c r="G267" t="s">
        <v>2252</v>
      </c>
    </row>
    <row r="268" spans="7:7" x14ac:dyDescent="0.3">
      <c r="G268" t="s">
        <v>2253</v>
      </c>
    </row>
    <row r="269" spans="7:7" x14ac:dyDescent="0.3">
      <c r="G269" t="s">
        <v>486</v>
      </c>
    </row>
    <row r="270" spans="7:7" x14ac:dyDescent="0.3">
      <c r="G270" t="s">
        <v>2254</v>
      </c>
    </row>
    <row r="271" spans="7:7" x14ac:dyDescent="0.3">
      <c r="G271" t="s">
        <v>2183</v>
      </c>
    </row>
    <row r="272" spans="7:7" x14ac:dyDescent="0.3">
      <c r="G272" t="s">
        <v>448</v>
      </c>
    </row>
    <row r="273" spans="7:7" x14ac:dyDescent="0.3">
      <c r="G273" t="s">
        <v>393</v>
      </c>
    </row>
    <row r="274" spans="7:7" x14ac:dyDescent="0.3">
      <c r="G274" t="s">
        <v>449</v>
      </c>
    </row>
    <row r="275" spans="7:7" x14ac:dyDescent="0.3">
      <c r="G275" t="s">
        <v>450</v>
      </c>
    </row>
    <row r="276" spans="7:7" x14ac:dyDescent="0.3">
      <c r="G276" t="s">
        <v>451</v>
      </c>
    </row>
    <row r="277" spans="7:7" x14ac:dyDescent="0.3">
      <c r="G277" t="s">
        <v>452</v>
      </c>
    </row>
    <row r="278" spans="7:7" x14ac:dyDescent="0.3">
      <c r="G278" t="s">
        <v>2255</v>
      </c>
    </row>
    <row r="279" spans="7:7" x14ac:dyDescent="0.3">
      <c r="G279" t="s">
        <v>2256</v>
      </c>
    </row>
    <row r="280" spans="7:7" x14ac:dyDescent="0.3">
      <c r="G280" t="s">
        <v>2257</v>
      </c>
    </row>
    <row r="281" spans="7:7" x14ac:dyDescent="0.3">
      <c r="G281" t="s">
        <v>2258</v>
      </c>
    </row>
    <row r="282" spans="7:7" x14ac:dyDescent="0.3">
      <c r="G282" t="s">
        <v>2259</v>
      </c>
    </row>
    <row r="283" spans="7:7" x14ac:dyDescent="0.3">
      <c r="G283" t="s">
        <v>2260</v>
      </c>
    </row>
    <row r="284" spans="7:7" x14ac:dyDescent="0.3">
      <c r="G284" t="s">
        <v>2261</v>
      </c>
    </row>
    <row r="285" spans="7:7" x14ac:dyDescent="0.3">
      <c r="G285" t="s">
        <v>2262</v>
      </c>
    </row>
    <row r="286" spans="7:7" x14ac:dyDescent="0.3">
      <c r="G286" t="s">
        <v>2263</v>
      </c>
    </row>
    <row r="287" spans="7:7" x14ac:dyDescent="0.3">
      <c r="G287" t="s">
        <v>2264</v>
      </c>
    </row>
    <row r="288" spans="7:7" x14ac:dyDescent="0.3">
      <c r="G288" t="s">
        <v>448</v>
      </c>
    </row>
    <row r="289" spans="7:7" x14ac:dyDescent="0.3">
      <c r="G289" t="s">
        <v>393</v>
      </c>
    </row>
    <row r="290" spans="7:7" x14ac:dyDescent="0.3">
      <c r="G290" t="s">
        <v>463</v>
      </c>
    </row>
    <row r="291" spans="7:7" x14ac:dyDescent="0.3">
      <c r="G291" t="s">
        <v>464</v>
      </c>
    </row>
    <row r="292" spans="7:7" x14ac:dyDescent="0.3">
      <c r="G292" t="s">
        <v>2265</v>
      </c>
    </row>
    <row r="293" spans="7:7" x14ac:dyDescent="0.3">
      <c r="G293" t="s">
        <v>2266</v>
      </c>
    </row>
    <row r="294" spans="7:7" x14ac:dyDescent="0.3">
      <c r="G294" t="s">
        <v>2267</v>
      </c>
    </row>
    <row r="295" spans="7:7" x14ac:dyDescent="0.3">
      <c r="G295" t="s">
        <v>2268</v>
      </c>
    </row>
    <row r="296" spans="7:7" x14ac:dyDescent="0.3">
      <c r="G296" t="s">
        <v>2269</v>
      </c>
    </row>
    <row r="297" spans="7:7" x14ac:dyDescent="0.3">
      <c r="G297" t="s">
        <v>448</v>
      </c>
    </row>
    <row r="298" spans="7:7" x14ac:dyDescent="0.3">
      <c r="G298" t="s">
        <v>393</v>
      </c>
    </row>
    <row r="299" spans="7:7" x14ac:dyDescent="0.3">
      <c r="G299" t="s">
        <v>470</v>
      </c>
    </row>
    <row r="300" spans="7:7" x14ac:dyDescent="0.3">
      <c r="G300" t="s">
        <v>504</v>
      </c>
    </row>
    <row r="301" spans="7:7" x14ac:dyDescent="0.3">
      <c r="G301" t="s">
        <v>2270</v>
      </c>
    </row>
    <row r="302" spans="7:7" x14ac:dyDescent="0.3">
      <c r="G302" t="s">
        <v>473</v>
      </c>
    </row>
    <row r="303" spans="7:7" x14ac:dyDescent="0.3">
      <c r="G303" t="s">
        <v>474</v>
      </c>
    </row>
    <row r="304" spans="7:7" x14ac:dyDescent="0.3">
      <c r="G304" t="s">
        <v>471</v>
      </c>
    </row>
    <row r="305" spans="7:7" x14ac:dyDescent="0.3">
      <c r="G305" t="s">
        <v>2271</v>
      </c>
    </row>
    <row r="306" spans="7:7" x14ac:dyDescent="0.3">
      <c r="G306" t="s">
        <v>473</v>
      </c>
    </row>
    <row r="307" spans="7:7" x14ac:dyDescent="0.3">
      <c r="G307" t="s">
        <v>474</v>
      </c>
    </row>
    <row r="308" spans="7:7" x14ac:dyDescent="0.3">
      <c r="G308" t="s">
        <v>2199</v>
      </c>
    </row>
    <row r="309" spans="7:7" x14ac:dyDescent="0.3">
      <c r="G309" t="s">
        <v>2272</v>
      </c>
    </row>
    <row r="310" spans="7:7" x14ac:dyDescent="0.3">
      <c r="G310" t="s">
        <v>473</v>
      </c>
    </row>
    <row r="311" spans="7:7" x14ac:dyDescent="0.3">
      <c r="G311" t="s">
        <v>474</v>
      </c>
    </row>
    <row r="312" spans="7:7" x14ac:dyDescent="0.3">
      <c r="G312" t="s">
        <v>2203</v>
      </c>
    </row>
    <row r="313" spans="7:7" x14ac:dyDescent="0.3">
      <c r="G313" t="s">
        <v>2273</v>
      </c>
    </row>
    <row r="314" spans="7:7" x14ac:dyDescent="0.3">
      <c r="G314" t="s">
        <v>473</v>
      </c>
    </row>
    <row r="315" spans="7:7" x14ac:dyDescent="0.3">
      <c r="G315" t="s">
        <v>474</v>
      </c>
    </row>
    <row r="316" spans="7:7" x14ac:dyDescent="0.3">
      <c r="G316" t="s">
        <v>481</v>
      </c>
    </row>
    <row r="317" spans="7:7" x14ac:dyDescent="0.3">
      <c r="G317" t="s">
        <v>2274</v>
      </c>
    </row>
    <row r="318" spans="7:7" x14ac:dyDescent="0.3">
      <c r="G318" t="s">
        <v>473</v>
      </c>
    </row>
    <row r="319" spans="7:7" x14ac:dyDescent="0.3">
      <c r="G319" t="s">
        <v>448</v>
      </c>
    </row>
    <row r="320" spans="7:7" x14ac:dyDescent="0.3">
      <c r="G320" t="s">
        <v>409</v>
      </c>
    </row>
    <row r="321" spans="7:7" x14ac:dyDescent="0.3">
      <c r="G321" t="s">
        <v>177</v>
      </c>
    </row>
    <row r="322" spans="7:7" x14ac:dyDescent="0.3">
      <c r="G322" t="s">
        <v>436</v>
      </c>
    </row>
    <row r="323" spans="7:7" x14ac:dyDescent="0.3">
      <c r="G323" t="s">
        <v>437</v>
      </c>
    </row>
    <row r="324" spans="7:7" x14ac:dyDescent="0.3">
      <c r="G324" t="s">
        <v>438</v>
      </c>
    </row>
    <row r="325" spans="7:7" x14ac:dyDescent="0.3">
      <c r="G325" t="s">
        <v>439</v>
      </c>
    </row>
    <row r="326" spans="7:7" x14ac:dyDescent="0.3">
      <c r="G326" t="s">
        <v>440</v>
      </c>
    </row>
    <row r="327" spans="7:7" x14ac:dyDescent="0.3">
      <c r="G327" t="s">
        <v>2179</v>
      </c>
    </row>
    <row r="328" spans="7:7" x14ac:dyDescent="0.3">
      <c r="G328" t="s">
        <v>2275</v>
      </c>
    </row>
    <row r="329" spans="7:7" x14ac:dyDescent="0.3">
      <c r="G329" t="s">
        <v>441</v>
      </c>
    </row>
    <row r="330" spans="7:7" x14ac:dyDescent="0.3">
      <c r="G330" t="s">
        <v>2276</v>
      </c>
    </row>
    <row r="331" spans="7:7" x14ac:dyDescent="0.3">
      <c r="G331" t="s">
        <v>445</v>
      </c>
    </row>
    <row r="332" spans="7:7" x14ac:dyDescent="0.3">
      <c r="G332" t="s">
        <v>2277</v>
      </c>
    </row>
    <row r="333" spans="7:7" x14ac:dyDescent="0.3">
      <c r="G333" t="s">
        <v>2183</v>
      </c>
    </row>
    <row r="334" spans="7:7" x14ac:dyDescent="0.3">
      <c r="G334" t="s">
        <v>448</v>
      </c>
    </row>
    <row r="335" spans="7:7" x14ac:dyDescent="0.3">
      <c r="G335" t="s">
        <v>393</v>
      </c>
    </row>
    <row r="336" spans="7:7" x14ac:dyDescent="0.3">
      <c r="G336" t="s">
        <v>449</v>
      </c>
    </row>
    <row r="337" spans="7:7" x14ac:dyDescent="0.3">
      <c r="G337" t="s">
        <v>450</v>
      </c>
    </row>
    <row r="338" spans="7:7" x14ac:dyDescent="0.3">
      <c r="G338" t="s">
        <v>451</v>
      </c>
    </row>
    <row r="339" spans="7:7" x14ac:dyDescent="0.3">
      <c r="G339" t="s">
        <v>452</v>
      </c>
    </row>
    <row r="340" spans="7:7" x14ac:dyDescent="0.3">
      <c r="G340" t="s">
        <v>2278</v>
      </c>
    </row>
    <row r="341" spans="7:7" x14ac:dyDescent="0.3">
      <c r="G341" t="s">
        <v>2279</v>
      </c>
    </row>
    <row r="342" spans="7:7" x14ac:dyDescent="0.3">
      <c r="G342" t="s">
        <v>2280</v>
      </c>
    </row>
    <row r="343" spans="7:7" x14ac:dyDescent="0.3">
      <c r="G343" t="s">
        <v>2281</v>
      </c>
    </row>
    <row r="344" spans="7:7" x14ac:dyDescent="0.3">
      <c r="G344" t="s">
        <v>2282</v>
      </c>
    </row>
    <row r="345" spans="7:7" x14ac:dyDescent="0.3">
      <c r="G345" t="s">
        <v>2283</v>
      </c>
    </row>
    <row r="346" spans="7:7" x14ac:dyDescent="0.3">
      <c r="G346" t="s">
        <v>2284</v>
      </c>
    </row>
    <row r="347" spans="7:7" x14ac:dyDescent="0.3">
      <c r="G347" t="s">
        <v>2285</v>
      </c>
    </row>
    <row r="348" spans="7:7" x14ac:dyDescent="0.3">
      <c r="G348" t="s">
        <v>2286</v>
      </c>
    </row>
    <row r="349" spans="7:7" x14ac:dyDescent="0.3">
      <c r="G349" t="s">
        <v>2287</v>
      </c>
    </row>
    <row r="350" spans="7:7" x14ac:dyDescent="0.3">
      <c r="G350" t="s">
        <v>448</v>
      </c>
    </row>
    <row r="351" spans="7:7" x14ac:dyDescent="0.3">
      <c r="G351" t="s">
        <v>393</v>
      </c>
    </row>
    <row r="352" spans="7:7" x14ac:dyDescent="0.3">
      <c r="G352" t="s">
        <v>463</v>
      </c>
    </row>
    <row r="353" spans="7:7" x14ac:dyDescent="0.3">
      <c r="G353" t="s">
        <v>464</v>
      </c>
    </row>
    <row r="354" spans="7:7" x14ac:dyDescent="0.3">
      <c r="G354" t="s">
        <v>2288</v>
      </c>
    </row>
    <row r="355" spans="7:7" x14ac:dyDescent="0.3">
      <c r="G355" t="s">
        <v>2289</v>
      </c>
    </row>
    <row r="356" spans="7:7" x14ac:dyDescent="0.3">
      <c r="G356" t="s">
        <v>2290</v>
      </c>
    </row>
    <row r="357" spans="7:7" x14ac:dyDescent="0.3">
      <c r="G357" t="s">
        <v>2291</v>
      </c>
    </row>
    <row r="358" spans="7:7" x14ac:dyDescent="0.3">
      <c r="G358" t="s">
        <v>2292</v>
      </c>
    </row>
    <row r="359" spans="7:7" x14ac:dyDescent="0.3">
      <c r="G359" t="s">
        <v>448</v>
      </c>
    </row>
    <row r="360" spans="7:7" x14ac:dyDescent="0.3">
      <c r="G360" t="s">
        <v>393</v>
      </c>
    </row>
    <row r="361" spans="7:7" x14ac:dyDescent="0.3">
      <c r="G361" t="s">
        <v>470</v>
      </c>
    </row>
    <row r="362" spans="7:7" x14ac:dyDescent="0.3">
      <c r="G362" t="s">
        <v>471</v>
      </c>
    </row>
    <row r="363" spans="7:7" x14ac:dyDescent="0.3">
      <c r="G363" t="s">
        <v>2293</v>
      </c>
    </row>
    <row r="364" spans="7:7" x14ac:dyDescent="0.3">
      <c r="G364" t="s">
        <v>473</v>
      </c>
    </row>
    <row r="365" spans="7:7" x14ac:dyDescent="0.3">
      <c r="G365" t="s">
        <v>474</v>
      </c>
    </row>
    <row r="366" spans="7:7" x14ac:dyDescent="0.3">
      <c r="G366" t="s">
        <v>2199</v>
      </c>
    </row>
    <row r="367" spans="7:7" x14ac:dyDescent="0.3">
      <c r="G367" t="s">
        <v>2294</v>
      </c>
    </row>
    <row r="368" spans="7:7" x14ac:dyDescent="0.3">
      <c r="G368" t="s">
        <v>473</v>
      </c>
    </row>
    <row r="369" spans="7:7" x14ac:dyDescent="0.3">
      <c r="G369" t="s">
        <v>474</v>
      </c>
    </row>
    <row r="370" spans="7:7" x14ac:dyDescent="0.3">
      <c r="G370" t="s">
        <v>475</v>
      </c>
    </row>
    <row r="371" spans="7:7" x14ac:dyDescent="0.3">
      <c r="G371" t="s">
        <v>2295</v>
      </c>
    </row>
    <row r="372" spans="7:7" x14ac:dyDescent="0.3">
      <c r="G372" t="s">
        <v>601</v>
      </c>
    </row>
    <row r="373" spans="7:7" x14ac:dyDescent="0.3">
      <c r="G373" t="s">
        <v>474</v>
      </c>
    </row>
    <row r="374" spans="7:7" x14ac:dyDescent="0.3">
      <c r="G374" t="s">
        <v>2203</v>
      </c>
    </row>
    <row r="375" spans="7:7" x14ac:dyDescent="0.3">
      <c r="G375" t="s">
        <v>2296</v>
      </c>
    </row>
    <row r="376" spans="7:7" x14ac:dyDescent="0.3">
      <c r="G376" t="s">
        <v>473</v>
      </c>
    </row>
    <row r="377" spans="7:7" x14ac:dyDescent="0.3">
      <c r="G377" t="s">
        <v>474</v>
      </c>
    </row>
    <row r="378" spans="7:7" x14ac:dyDescent="0.3">
      <c r="G378" t="s">
        <v>481</v>
      </c>
    </row>
    <row r="379" spans="7:7" x14ac:dyDescent="0.3">
      <c r="G379" t="s">
        <v>2297</v>
      </c>
    </row>
    <row r="380" spans="7:7" x14ac:dyDescent="0.3">
      <c r="G380" t="s">
        <v>473</v>
      </c>
    </row>
    <row r="381" spans="7:7" x14ac:dyDescent="0.3">
      <c r="G381" t="s">
        <v>448</v>
      </c>
    </row>
    <row r="382" spans="7:7" x14ac:dyDescent="0.3">
      <c r="G382" t="s">
        <v>409</v>
      </c>
    </row>
    <row r="383" spans="7:7" x14ac:dyDescent="0.3">
      <c r="G383" t="s">
        <v>177</v>
      </c>
    </row>
    <row r="384" spans="7:7" x14ac:dyDescent="0.3">
      <c r="G384" t="s">
        <v>436</v>
      </c>
    </row>
    <row r="385" spans="7:7" x14ac:dyDescent="0.3">
      <c r="G385" t="s">
        <v>437</v>
      </c>
    </row>
    <row r="386" spans="7:7" x14ac:dyDescent="0.3">
      <c r="G386" t="s">
        <v>438</v>
      </c>
    </row>
    <row r="387" spans="7:7" x14ac:dyDescent="0.3">
      <c r="G387" t="s">
        <v>439</v>
      </c>
    </row>
    <row r="388" spans="7:7" x14ac:dyDescent="0.3">
      <c r="G388" t="s">
        <v>440</v>
      </c>
    </row>
    <row r="389" spans="7:7" x14ac:dyDescent="0.3">
      <c r="G389" t="s">
        <v>2298</v>
      </c>
    </row>
    <row r="390" spans="7:7" x14ac:dyDescent="0.3">
      <c r="G390" t="s">
        <v>2299</v>
      </c>
    </row>
    <row r="391" spans="7:7" x14ac:dyDescent="0.3">
      <c r="G391" t="s">
        <v>2179</v>
      </c>
    </row>
    <row r="392" spans="7:7" x14ac:dyDescent="0.3">
      <c r="G392" t="s">
        <v>441</v>
      </c>
    </row>
    <row r="393" spans="7:7" x14ac:dyDescent="0.3">
      <c r="G393" t="s">
        <v>486</v>
      </c>
    </row>
    <row r="394" spans="7:7" x14ac:dyDescent="0.3">
      <c r="G394" t="s">
        <v>2300</v>
      </c>
    </row>
    <row r="395" spans="7:7" x14ac:dyDescent="0.3">
      <c r="G395" t="s">
        <v>2183</v>
      </c>
    </row>
    <row r="396" spans="7:7" x14ac:dyDescent="0.3">
      <c r="G396" t="s">
        <v>448</v>
      </c>
    </row>
    <row r="397" spans="7:7" x14ac:dyDescent="0.3">
      <c r="G397" t="s">
        <v>393</v>
      </c>
    </row>
    <row r="398" spans="7:7" x14ac:dyDescent="0.3">
      <c r="G398" t="s">
        <v>449</v>
      </c>
    </row>
    <row r="399" spans="7:7" x14ac:dyDescent="0.3">
      <c r="G399" t="s">
        <v>450</v>
      </c>
    </row>
    <row r="400" spans="7:7" x14ac:dyDescent="0.3">
      <c r="G400" t="s">
        <v>451</v>
      </c>
    </row>
    <row r="401" spans="7:7" x14ac:dyDescent="0.3">
      <c r="G401" t="s">
        <v>452</v>
      </c>
    </row>
    <row r="402" spans="7:7" x14ac:dyDescent="0.3">
      <c r="G402" t="s">
        <v>2301</v>
      </c>
    </row>
    <row r="403" spans="7:7" x14ac:dyDescent="0.3">
      <c r="G403" t="s">
        <v>2302</v>
      </c>
    </row>
    <row r="404" spans="7:7" x14ac:dyDescent="0.3">
      <c r="G404" t="s">
        <v>2303</v>
      </c>
    </row>
    <row r="405" spans="7:7" x14ac:dyDescent="0.3">
      <c r="G405" t="s">
        <v>2304</v>
      </c>
    </row>
    <row r="406" spans="7:7" x14ac:dyDescent="0.3">
      <c r="G406" t="s">
        <v>2305</v>
      </c>
    </row>
    <row r="407" spans="7:7" x14ac:dyDescent="0.3">
      <c r="G407" t="s">
        <v>2306</v>
      </c>
    </row>
    <row r="408" spans="7:7" x14ac:dyDescent="0.3">
      <c r="G408" t="s">
        <v>2307</v>
      </c>
    </row>
    <row r="409" spans="7:7" x14ac:dyDescent="0.3">
      <c r="G409" t="s">
        <v>2308</v>
      </c>
    </row>
    <row r="410" spans="7:7" x14ac:dyDescent="0.3">
      <c r="G410" t="s">
        <v>2309</v>
      </c>
    </row>
    <row r="411" spans="7:7" x14ac:dyDescent="0.3">
      <c r="G411" t="s">
        <v>2310</v>
      </c>
    </row>
    <row r="412" spans="7:7" x14ac:dyDescent="0.3">
      <c r="G412" t="s">
        <v>448</v>
      </c>
    </row>
    <row r="413" spans="7:7" x14ac:dyDescent="0.3">
      <c r="G413" t="s">
        <v>393</v>
      </c>
    </row>
    <row r="414" spans="7:7" x14ac:dyDescent="0.3">
      <c r="G414" t="s">
        <v>463</v>
      </c>
    </row>
    <row r="415" spans="7:7" x14ac:dyDescent="0.3">
      <c r="G415" t="s">
        <v>464</v>
      </c>
    </row>
    <row r="416" spans="7:7" x14ac:dyDescent="0.3">
      <c r="G416" t="s">
        <v>2311</v>
      </c>
    </row>
    <row r="417" spans="7:7" x14ac:dyDescent="0.3">
      <c r="G417" t="s">
        <v>2312</v>
      </c>
    </row>
    <row r="418" spans="7:7" x14ac:dyDescent="0.3">
      <c r="G418" t="s">
        <v>2313</v>
      </c>
    </row>
    <row r="419" spans="7:7" x14ac:dyDescent="0.3">
      <c r="G419" t="s">
        <v>2314</v>
      </c>
    </row>
    <row r="420" spans="7:7" x14ac:dyDescent="0.3">
      <c r="G420" t="s">
        <v>2315</v>
      </c>
    </row>
    <row r="421" spans="7:7" x14ac:dyDescent="0.3">
      <c r="G421" t="s">
        <v>448</v>
      </c>
    </row>
    <row r="422" spans="7:7" x14ac:dyDescent="0.3">
      <c r="G422" t="s">
        <v>393</v>
      </c>
    </row>
    <row r="423" spans="7:7" x14ac:dyDescent="0.3">
      <c r="G423" t="s">
        <v>470</v>
      </c>
    </row>
    <row r="424" spans="7:7" x14ac:dyDescent="0.3">
      <c r="G424" t="s">
        <v>504</v>
      </c>
    </row>
    <row r="425" spans="7:7" x14ac:dyDescent="0.3">
      <c r="G425" t="s">
        <v>2316</v>
      </c>
    </row>
    <row r="426" spans="7:7" x14ac:dyDescent="0.3">
      <c r="G426" t="s">
        <v>473</v>
      </c>
    </row>
    <row r="427" spans="7:7" x14ac:dyDescent="0.3">
      <c r="G427" t="s">
        <v>474</v>
      </c>
    </row>
    <row r="428" spans="7:7" x14ac:dyDescent="0.3">
      <c r="G428" t="s">
        <v>471</v>
      </c>
    </row>
    <row r="429" spans="7:7" x14ac:dyDescent="0.3">
      <c r="G429" t="s">
        <v>2317</v>
      </c>
    </row>
    <row r="430" spans="7:7" x14ac:dyDescent="0.3">
      <c r="G430" t="s">
        <v>473</v>
      </c>
    </row>
    <row r="431" spans="7:7" x14ac:dyDescent="0.3">
      <c r="G431" t="s">
        <v>474</v>
      </c>
    </row>
    <row r="432" spans="7:7" x14ac:dyDescent="0.3">
      <c r="G432" t="s">
        <v>2199</v>
      </c>
    </row>
    <row r="433" spans="7:7" x14ac:dyDescent="0.3">
      <c r="G433" t="s">
        <v>2318</v>
      </c>
    </row>
    <row r="434" spans="7:7" x14ac:dyDescent="0.3">
      <c r="G434" t="s">
        <v>473</v>
      </c>
    </row>
    <row r="435" spans="7:7" x14ac:dyDescent="0.3">
      <c r="G435" t="s">
        <v>474</v>
      </c>
    </row>
    <row r="436" spans="7:7" x14ac:dyDescent="0.3">
      <c r="G436" t="s">
        <v>481</v>
      </c>
    </row>
    <row r="437" spans="7:7" x14ac:dyDescent="0.3">
      <c r="G437" t="s">
        <v>2319</v>
      </c>
    </row>
    <row r="438" spans="7:7" x14ac:dyDescent="0.3">
      <c r="G438" t="s">
        <v>473</v>
      </c>
    </row>
    <row r="439" spans="7:7" x14ac:dyDescent="0.3">
      <c r="G439" t="s">
        <v>474</v>
      </c>
    </row>
    <row r="440" spans="7:7" x14ac:dyDescent="0.3">
      <c r="G440" t="s">
        <v>2203</v>
      </c>
    </row>
    <row r="441" spans="7:7" x14ac:dyDescent="0.3">
      <c r="G441" t="s">
        <v>2320</v>
      </c>
    </row>
    <row r="442" spans="7:7" x14ac:dyDescent="0.3">
      <c r="G442" t="s">
        <v>473</v>
      </c>
    </row>
    <row r="443" spans="7:7" x14ac:dyDescent="0.3">
      <c r="G443" t="s">
        <v>448</v>
      </c>
    </row>
    <row r="444" spans="7:7" x14ac:dyDescent="0.3">
      <c r="G444" t="s">
        <v>409</v>
      </c>
    </row>
    <row r="445" spans="7:7" x14ac:dyDescent="0.3">
      <c r="G445" t="s">
        <v>177</v>
      </c>
    </row>
    <row r="446" spans="7:7" x14ac:dyDescent="0.3">
      <c r="G446" t="s">
        <v>436</v>
      </c>
    </row>
    <row r="447" spans="7:7" x14ac:dyDescent="0.3">
      <c r="G447" t="s">
        <v>437</v>
      </c>
    </row>
    <row r="448" spans="7:7" x14ac:dyDescent="0.3">
      <c r="G448" t="s">
        <v>438</v>
      </c>
    </row>
    <row r="449" spans="7:7" x14ac:dyDescent="0.3">
      <c r="G449" t="s">
        <v>439</v>
      </c>
    </row>
    <row r="450" spans="7:7" x14ac:dyDescent="0.3">
      <c r="G450" t="s">
        <v>441</v>
      </c>
    </row>
    <row r="451" spans="7:7" x14ac:dyDescent="0.3">
      <c r="G451" t="s">
        <v>2321</v>
      </c>
    </row>
    <row r="452" spans="7:7" x14ac:dyDescent="0.3">
      <c r="G452" t="s">
        <v>445</v>
      </c>
    </row>
    <row r="453" spans="7:7" x14ac:dyDescent="0.3">
      <c r="G453" t="s">
        <v>2322</v>
      </c>
    </row>
    <row r="454" spans="7:7" x14ac:dyDescent="0.3">
      <c r="G454" t="s">
        <v>2323</v>
      </c>
    </row>
    <row r="455" spans="7:7" x14ac:dyDescent="0.3">
      <c r="G455" t="s">
        <v>1391</v>
      </c>
    </row>
    <row r="456" spans="7:7" x14ac:dyDescent="0.3">
      <c r="G456" t="s">
        <v>936</v>
      </c>
    </row>
    <row r="457" spans="7:7" x14ac:dyDescent="0.3">
      <c r="G457" t="s">
        <v>2183</v>
      </c>
    </row>
    <row r="458" spans="7:7" x14ac:dyDescent="0.3">
      <c r="G458" t="s">
        <v>448</v>
      </c>
    </row>
    <row r="459" spans="7:7" x14ac:dyDescent="0.3">
      <c r="G459" t="s">
        <v>393</v>
      </c>
    </row>
    <row r="460" spans="7:7" x14ac:dyDescent="0.3">
      <c r="G460" t="s">
        <v>449</v>
      </c>
    </row>
    <row r="461" spans="7:7" x14ac:dyDescent="0.3">
      <c r="G461" t="s">
        <v>450</v>
      </c>
    </row>
    <row r="462" spans="7:7" x14ac:dyDescent="0.3">
      <c r="G462" t="s">
        <v>451</v>
      </c>
    </row>
    <row r="463" spans="7:7" x14ac:dyDescent="0.3">
      <c r="G463" t="s">
        <v>452</v>
      </c>
    </row>
    <row r="464" spans="7:7" x14ac:dyDescent="0.3">
      <c r="G464" t="s">
        <v>2324</v>
      </c>
    </row>
    <row r="465" spans="7:7" x14ac:dyDescent="0.3">
      <c r="G465" t="s">
        <v>2325</v>
      </c>
    </row>
    <row r="466" spans="7:7" x14ac:dyDescent="0.3">
      <c r="G466" t="s">
        <v>2326</v>
      </c>
    </row>
    <row r="467" spans="7:7" x14ac:dyDescent="0.3">
      <c r="G467" t="s">
        <v>2327</v>
      </c>
    </row>
    <row r="468" spans="7:7" x14ac:dyDescent="0.3">
      <c r="G468" t="s">
        <v>2328</v>
      </c>
    </row>
    <row r="469" spans="7:7" x14ac:dyDescent="0.3">
      <c r="G469" t="s">
        <v>2329</v>
      </c>
    </row>
    <row r="470" spans="7:7" x14ac:dyDescent="0.3">
      <c r="G470" t="s">
        <v>2330</v>
      </c>
    </row>
    <row r="471" spans="7:7" x14ac:dyDescent="0.3">
      <c r="G471" t="s">
        <v>2331</v>
      </c>
    </row>
    <row r="472" spans="7:7" x14ac:dyDescent="0.3">
      <c r="G472" t="s">
        <v>2332</v>
      </c>
    </row>
    <row r="473" spans="7:7" x14ac:dyDescent="0.3">
      <c r="G473" t="s">
        <v>2333</v>
      </c>
    </row>
    <row r="474" spans="7:7" x14ac:dyDescent="0.3">
      <c r="G474" t="s">
        <v>448</v>
      </c>
    </row>
    <row r="475" spans="7:7" x14ac:dyDescent="0.3">
      <c r="G475" t="s">
        <v>393</v>
      </c>
    </row>
    <row r="476" spans="7:7" x14ac:dyDescent="0.3">
      <c r="G476" t="s">
        <v>463</v>
      </c>
    </row>
    <row r="477" spans="7:7" x14ac:dyDescent="0.3">
      <c r="G477" t="s">
        <v>464</v>
      </c>
    </row>
    <row r="478" spans="7:7" x14ac:dyDescent="0.3">
      <c r="G478" t="s">
        <v>2334</v>
      </c>
    </row>
    <row r="479" spans="7:7" x14ac:dyDescent="0.3">
      <c r="G479" t="s">
        <v>2335</v>
      </c>
    </row>
    <row r="480" spans="7:7" x14ac:dyDescent="0.3">
      <c r="G480" t="s">
        <v>2336</v>
      </c>
    </row>
    <row r="481" spans="7:7" x14ac:dyDescent="0.3">
      <c r="G481" t="s">
        <v>2337</v>
      </c>
    </row>
    <row r="482" spans="7:7" x14ac:dyDescent="0.3">
      <c r="G482" t="s">
        <v>2338</v>
      </c>
    </row>
    <row r="483" spans="7:7" x14ac:dyDescent="0.3">
      <c r="G483" t="s">
        <v>448</v>
      </c>
    </row>
    <row r="484" spans="7:7" x14ac:dyDescent="0.3">
      <c r="G484" t="s">
        <v>393</v>
      </c>
    </row>
    <row r="485" spans="7:7" x14ac:dyDescent="0.3">
      <c r="G485" t="s">
        <v>470</v>
      </c>
    </row>
    <row r="486" spans="7:7" x14ac:dyDescent="0.3">
      <c r="G486" t="s">
        <v>721</v>
      </c>
    </row>
    <row r="487" spans="7:7" x14ac:dyDescent="0.3">
      <c r="G487" t="s">
        <v>2339</v>
      </c>
    </row>
    <row r="488" spans="7:7" x14ac:dyDescent="0.3">
      <c r="G488" t="s">
        <v>473</v>
      </c>
    </row>
    <row r="489" spans="7:7" x14ac:dyDescent="0.3">
      <c r="G489" t="s">
        <v>474</v>
      </c>
    </row>
    <row r="490" spans="7:7" x14ac:dyDescent="0.3">
      <c r="G490" t="s">
        <v>475</v>
      </c>
    </row>
    <row r="491" spans="7:7" x14ac:dyDescent="0.3">
      <c r="G491" t="s">
        <v>2340</v>
      </c>
    </row>
    <row r="492" spans="7:7" x14ac:dyDescent="0.3">
      <c r="G492" t="s">
        <v>473</v>
      </c>
    </row>
    <row r="493" spans="7:7" x14ac:dyDescent="0.3">
      <c r="G493" t="s">
        <v>474</v>
      </c>
    </row>
    <row r="494" spans="7:7" x14ac:dyDescent="0.3">
      <c r="G494" t="s">
        <v>2341</v>
      </c>
    </row>
    <row r="495" spans="7:7" x14ac:dyDescent="0.3">
      <c r="G495" t="s">
        <v>2342</v>
      </c>
    </row>
    <row r="496" spans="7:7" x14ac:dyDescent="0.3">
      <c r="G496" t="s">
        <v>473</v>
      </c>
    </row>
    <row r="497" spans="7:7" x14ac:dyDescent="0.3">
      <c r="G497" t="s">
        <v>474</v>
      </c>
    </row>
    <row r="498" spans="7:7" x14ac:dyDescent="0.3">
      <c r="G498" t="s">
        <v>2203</v>
      </c>
    </row>
    <row r="499" spans="7:7" x14ac:dyDescent="0.3">
      <c r="G499" t="s">
        <v>2343</v>
      </c>
    </row>
    <row r="500" spans="7:7" x14ac:dyDescent="0.3">
      <c r="G500" t="s">
        <v>473</v>
      </c>
    </row>
    <row r="501" spans="7:7" x14ac:dyDescent="0.3">
      <c r="G501" t="s">
        <v>474</v>
      </c>
    </row>
    <row r="502" spans="7:7" x14ac:dyDescent="0.3">
      <c r="G502" t="s">
        <v>481</v>
      </c>
    </row>
    <row r="503" spans="7:7" x14ac:dyDescent="0.3">
      <c r="G503" t="s">
        <v>2344</v>
      </c>
    </row>
    <row r="504" spans="7:7" x14ac:dyDescent="0.3">
      <c r="G504" t="s">
        <v>473</v>
      </c>
    </row>
    <row r="505" spans="7:7" x14ac:dyDescent="0.3">
      <c r="G505" t="s">
        <v>448</v>
      </c>
    </row>
    <row r="506" spans="7:7" x14ac:dyDescent="0.3">
      <c r="G506" t="s">
        <v>409</v>
      </c>
    </row>
    <row r="507" spans="7:7" x14ac:dyDescent="0.3">
      <c r="G507" t="s">
        <v>177</v>
      </c>
    </row>
    <row r="508" spans="7:7" x14ac:dyDescent="0.3">
      <c r="G508" t="s">
        <v>436</v>
      </c>
    </row>
    <row r="509" spans="7:7" x14ac:dyDescent="0.3">
      <c r="G509" t="s">
        <v>437</v>
      </c>
    </row>
    <row r="510" spans="7:7" x14ac:dyDescent="0.3">
      <c r="G510" t="s">
        <v>438</v>
      </c>
    </row>
    <row r="511" spans="7:7" x14ac:dyDescent="0.3">
      <c r="G511" t="s">
        <v>439</v>
      </c>
    </row>
    <row r="512" spans="7:7" x14ac:dyDescent="0.3">
      <c r="G512" t="s">
        <v>2179</v>
      </c>
    </row>
    <row r="513" spans="7:7" x14ac:dyDescent="0.3">
      <c r="G513" t="s">
        <v>441</v>
      </c>
    </row>
    <row r="514" spans="7:7" x14ac:dyDescent="0.3">
      <c r="G514" t="s">
        <v>2345</v>
      </c>
    </row>
    <row r="515" spans="7:7" x14ac:dyDescent="0.3">
      <c r="G515" t="s">
        <v>445</v>
      </c>
    </row>
    <row r="516" spans="7:7" x14ac:dyDescent="0.3">
      <c r="G516" t="s">
        <v>2346</v>
      </c>
    </row>
    <row r="517" spans="7:7" x14ac:dyDescent="0.3">
      <c r="G517" t="s">
        <v>2347</v>
      </c>
    </row>
    <row r="518" spans="7:7" x14ac:dyDescent="0.3">
      <c r="G518" t="s">
        <v>936</v>
      </c>
    </row>
    <row r="519" spans="7:7" x14ac:dyDescent="0.3">
      <c r="G519" t="s">
        <v>2183</v>
      </c>
    </row>
    <row r="520" spans="7:7" x14ac:dyDescent="0.3">
      <c r="G520" t="s">
        <v>448</v>
      </c>
    </row>
    <row r="521" spans="7:7" x14ac:dyDescent="0.3">
      <c r="G521" t="s">
        <v>393</v>
      </c>
    </row>
    <row r="522" spans="7:7" x14ac:dyDescent="0.3">
      <c r="G522" t="s">
        <v>449</v>
      </c>
    </row>
    <row r="523" spans="7:7" x14ac:dyDescent="0.3">
      <c r="G523" t="s">
        <v>450</v>
      </c>
    </row>
    <row r="524" spans="7:7" x14ac:dyDescent="0.3">
      <c r="G524" t="s">
        <v>451</v>
      </c>
    </row>
    <row r="525" spans="7:7" x14ac:dyDescent="0.3">
      <c r="G525" t="s">
        <v>452</v>
      </c>
    </row>
    <row r="526" spans="7:7" x14ac:dyDescent="0.3">
      <c r="G526" t="s">
        <v>2348</v>
      </c>
    </row>
    <row r="527" spans="7:7" x14ac:dyDescent="0.3">
      <c r="G527" t="s">
        <v>2349</v>
      </c>
    </row>
    <row r="528" spans="7:7" x14ac:dyDescent="0.3">
      <c r="G528" t="s">
        <v>2350</v>
      </c>
    </row>
    <row r="529" spans="7:7" x14ac:dyDescent="0.3">
      <c r="G529" t="s">
        <v>2351</v>
      </c>
    </row>
    <row r="530" spans="7:7" x14ac:dyDescent="0.3">
      <c r="G530" t="s">
        <v>2352</v>
      </c>
    </row>
    <row r="531" spans="7:7" x14ac:dyDescent="0.3">
      <c r="G531" t="s">
        <v>2353</v>
      </c>
    </row>
    <row r="532" spans="7:7" x14ac:dyDescent="0.3">
      <c r="G532" t="s">
        <v>2354</v>
      </c>
    </row>
    <row r="533" spans="7:7" x14ac:dyDescent="0.3">
      <c r="G533" t="s">
        <v>2355</v>
      </c>
    </row>
    <row r="534" spans="7:7" x14ac:dyDescent="0.3">
      <c r="G534" t="s">
        <v>2356</v>
      </c>
    </row>
    <row r="535" spans="7:7" x14ac:dyDescent="0.3">
      <c r="G535" t="s">
        <v>2357</v>
      </c>
    </row>
    <row r="536" spans="7:7" x14ac:dyDescent="0.3">
      <c r="G536" t="s">
        <v>448</v>
      </c>
    </row>
    <row r="537" spans="7:7" x14ac:dyDescent="0.3">
      <c r="G537" t="s">
        <v>393</v>
      </c>
    </row>
    <row r="538" spans="7:7" x14ac:dyDescent="0.3">
      <c r="G538" t="s">
        <v>463</v>
      </c>
    </row>
    <row r="539" spans="7:7" x14ac:dyDescent="0.3">
      <c r="G539" t="s">
        <v>464</v>
      </c>
    </row>
    <row r="540" spans="7:7" x14ac:dyDescent="0.3">
      <c r="G540" t="s">
        <v>2358</v>
      </c>
    </row>
    <row r="541" spans="7:7" x14ac:dyDescent="0.3">
      <c r="G541" t="s">
        <v>2359</v>
      </c>
    </row>
    <row r="542" spans="7:7" x14ac:dyDescent="0.3">
      <c r="G542" t="s">
        <v>2360</v>
      </c>
    </row>
    <row r="543" spans="7:7" x14ac:dyDescent="0.3">
      <c r="G543" t="s">
        <v>2361</v>
      </c>
    </row>
    <row r="544" spans="7:7" x14ac:dyDescent="0.3">
      <c r="G544" t="s">
        <v>2362</v>
      </c>
    </row>
    <row r="545" spans="7:7" x14ac:dyDescent="0.3">
      <c r="G545" t="s">
        <v>448</v>
      </c>
    </row>
    <row r="546" spans="7:7" x14ac:dyDescent="0.3">
      <c r="G546" t="s">
        <v>393</v>
      </c>
    </row>
    <row r="547" spans="7:7" x14ac:dyDescent="0.3">
      <c r="G547" t="s">
        <v>470</v>
      </c>
    </row>
    <row r="548" spans="7:7" x14ac:dyDescent="0.3">
      <c r="G548" t="s">
        <v>721</v>
      </c>
    </row>
    <row r="549" spans="7:7" x14ac:dyDescent="0.3">
      <c r="G549" t="s">
        <v>2363</v>
      </c>
    </row>
    <row r="550" spans="7:7" x14ac:dyDescent="0.3">
      <c r="G550" t="s">
        <v>473</v>
      </c>
    </row>
    <row r="551" spans="7:7" x14ac:dyDescent="0.3">
      <c r="G551" t="s">
        <v>474</v>
      </c>
    </row>
    <row r="552" spans="7:7" x14ac:dyDescent="0.3">
      <c r="G552" t="s">
        <v>475</v>
      </c>
    </row>
    <row r="553" spans="7:7" x14ac:dyDescent="0.3">
      <c r="G553" t="s">
        <v>2364</v>
      </c>
    </row>
    <row r="554" spans="7:7" x14ac:dyDescent="0.3">
      <c r="G554" t="s">
        <v>473</v>
      </c>
    </row>
    <row r="555" spans="7:7" x14ac:dyDescent="0.3">
      <c r="G555" t="s">
        <v>474</v>
      </c>
    </row>
    <row r="556" spans="7:7" x14ac:dyDescent="0.3">
      <c r="G556" t="s">
        <v>2199</v>
      </c>
    </row>
    <row r="557" spans="7:7" x14ac:dyDescent="0.3">
      <c r="G557" t="s">
        <v>2365</v>
      </c>
    </row>
    <row r="558" spans="7:7" x14ac:dyDescent="0.3">
      <c r="G558" t="s">
        <v>473</v>
      </c>
    </row>
    <row r="559" spans="7:7" x14ac:dyDescent="0.3">
      <c r="G559" t="s">
        <v>474</v>
      </c>
    </row>
    <row r="560" spans="7:7" x14ac:dyDescent="0.3">
      <c r="G560" t="s">
        <v>2203</v>
      </c>
    </row>
    <row r="561" spans="7:7" x14ac:dyDescent="0.3">
      <c r="G561" t="s">
        <v>2366</v>
      </c>
    </row>
    <row r="562" spans="7:7" x14ac:dyDescent="0.3">
      <c r="G562" t="s">
        <v>473</v>
      </c>
    </row>
    <row r="563" spans="7:7" x14ac:dyDescent="0.3">
      <c r="G563" t="s">
        <v>474</v>
      </c>
    </row>
    <row r="564" spans="7:7" x14ac:dyDescent="0.3">
      <c r="G564" t="s">
        <v>481</v>
      </c>
    </row>
    <row r="565" spans="7:7" x14ac:dyDescent="0.3">
      <c r="G565" t="s">
        <v>2367</v>
      </c>
    </row>
    <row r="566" spans="7:7" x14ac:dyDescent="0.3">
      <c r="G566" t="s">
        <v>473</v>
      </c>
    </row>
    <row r="567" spans="7:7" x14ac:dyDescent="0.3">
      <c r="G567" t="s">
        <v>448</v>
      </c>
    </row>
    <row r="568" spans="7:7" x14ac:dyDescent="0.3">
      <c r="G568" t="s">
        <v>409</v>
      </c>
    </row>
    <row r="569" spans="7:7" x14ac:dyDescent="0.3">
      <c r="G569" t="s">
        <v>177</v>
      </c>
    </row>
    <row r="570" spans="7:7" x14ac:dyDescent="0.3">
      <c r="G570" t="s">
        <v>436</v>
      </c>
    </row>
    <row r="571" spans="7:7" x14ac:dyDescent="0.3">
      <c r="G571" t="s">
        <v>437</v>
      </c>
    </row>
    <row r="572" spans="7:7" x14ac:dyDescent="0.3">
      <c r="G572" t="s">
        <v>438</v>
      </c>
    </row>
    <row r="573" spans="7:7" x14ac:dyDescent="0.3">
      <c r="G573" t="s">
        <v>439</v>
      </c>
    </row>
    <row r="574" spans="7:7" x14ac:dyDescent="0.3">
      <c r="G574" t="s">
        <v>2368</v>
      </c>
    </row>
    <row r="575" spans="7:7" x14ac:dyDescent="0.3">
      <c r="G575" t="s">
        <v>2179</v>
      </c>
    </row>
    <row r="576" spans="7:7" x14ac:dyDescent="0.3">
      <c r="G576" t="s">
        <v>441</v>
      </c>
    </row>
    <row r="577" spans="7:7" x14ac:dyDescent="0.3">
      <c r="G577" t="s">
        <v>2369</v>
      </c>
    </row>
    <row r="578" spans="7:7" x14ac:dyDescent="0.3">
      <c r="G578" t="s">
        <v>486</v>
      </c>
    </row>
    <row r="579" spans="7:7" x14ac:dyDescent="0.3">
      <c r="G579" t="s">
        <v>936</v>
      </c>
    </row>
    <row r="580" spans="7:7" x14ac:dyDescent="0.3">
      <c r="G580" t="s">
        <v>2370</v>
      </c>
    </row>
    <row r="581" spans="7:7" x14ac:dyDescent="0.3">
      <c r="G581" t="s">
        <v>2183</v>
      </c>
    </row>
    <row r="582" spans="7:7" x14ac:dyDescent="0.3">
      <c r="G582" t="s">
        <v>448</v>
      </c>
    </row>
    <row r="583" spans="7:7" x14ac:dyDescent="0.3">
      <c r="G583" t="s">
        <v>393</v>
      </c>
    </row>
    <row r="584" spans="7:7" x14ac:dyDescent="0.3">
      <c r="G584" t="s">
        <v>449</v>
      </c>
    </row>
    <row r="585" spans="7:7" x14ac:dyDescent="0.3">
      <c r="G585" t="s">
        <v>450</v>
      </c>
    </row>
    <row r="586" spans="7:7" x14ac:dyDescent="0.3">
      <c r="G586" t="s">
        <v>451</v>
      </c>
    </row>
    <row r="587" spans="7:7" x14ac:dyDescent="0.3">
      <c r="G587" t="s">
        <v>452</v>
      </c>
    </row>
    <row r="588" spans="7:7" x14ac:dyDescent="0.3">
      <c r="G588" t="s">
        <v>2371</v>
      </c>
    </row>
    <row r="589" spans="7:7" x14ac:dyDescent="0.3">
      <c r="G589" t="s">
        <v>2372</v>
      </c>
    </row>
    <row r="590" spans="7:7" x14ac:dyDescent="0.3">
      <c r="G590" t="s">
        <v>2373</v>
      </c>
    </row>
    <row r="591" spans="7:7" x14ac:dyDescent="0.3">
      <c r="G591" t="s">
        <v>2374</v>
      </c>
    </row>
    <row r="592" spans="7:7" x14ac:dyDescent="0.3">
      <c r="G592" t="s">
        <v>2375</v>
      </c>
    </row>
    <row r="593" spans="7:7" x14ac:dyDescent="0.3">
      <c r="G593" t="s">
        <v>2376</v>
      </c>
    </row>
    <row r="594" spans="7:7" x14ac:dyDescent="0.3">
      <c r="G594" t="s">
        <v>2377</v>
      </c>
    </row>
    <row r="595" spans="7:7" x14ac:dyDescent="0.3">
      <c r="G595" t="s">
        <v>2378</v>
      </c>
    </row>
    <row r="596" spans="7:7" x14ac:dyDescent="0.3">
      <c r="G596" t="s">
        <v>2379</v>
      </c>
    </row>
    <row r="597" spans="7:7" x14ac:dyDescent="0.3">
      <c r="G597" t="s">
        <v>2380</v>
      </c>
    </row>
    <row r="598" spans="7:7" x14ac:dyDescent="0.3">
      <c r="G598" t="s">
        <v>448</v>
      </c>
    </row>
    <row r="599" spans="7:7" x14ac:dyDescent="0.3">
      <c r="G599" t="s">
        <v>393</v>
      </c>
    </row>
    <row r="600" spans="7:7" x14ac:dyDescent="0.3">
      <c r="G600" t="s">
        <v>463</v>
      </c>
    </row>
    <row r="601" spans="7:7" x14ac:dyDescent="0.3">
      <c r="G601" t="s">
        <v>464</v>
      </c>
    </row>
    <row r="602" spans="7:7" x14ac:dyDescent="0.3">
      <c r="G602" t="s">
        <v>2381</v>
      </c>
    </row>
    <row r="603" spans="7:7" x14ac:dyDescent="0.3">
      <c r="G603" t="s">
        <v>2382</v>
      </c>
    </row>
    <row r="604" spans="7:7" x14ac:dyDescent="0.3">
      <c r="G604" t="s">
        <v>2383</v>
      </c>
    </row>
    <row r="605" spans="7:7" x14ac:dyDescent="0.3">
      <c r="G605" t="s">
        <v>2384</v>
      </c>
    </row>
    <row r="606" spans="7:7" x14ac:dyDescent="0.3">
      <c r="G606" t="s">
        <v>2385</v>
      </c>
    </row>
    <row r="607" spans="7:7" x14ac:dyDescent="0.3">
      <c r="G607" t="s">
        <v>448</v>
      </c>
    </row>
    <row r="608" spans="7:7" x14ac:dyDescent="0.3">
      <c r="G608" t="s">
        <v>393</v>
      </c>
    </row>
    <row r="609" spans="7:7" x14ac:dyDescent="0.3">
      <c r="G609" t="s">
        <v>470</v>
      </c>
    </row>
    <row r="610" spans="7:7" x14ac:dyDescent="0.3">
      <c r="G610" t="s">
        <v>721</v>
      </c>
    </row>
    <row r="611" spans="7:7" x14ac:dyDescent="0.3">
      <c r="G611" t="s">
        <v>2386</v>
      </c>
    </row>
    <row r="612" spans="7:7" x14ac:dyDescent="0.3">
      <c r="G612" t="s">
        <v>473</v>
      </c>
    </row>
    <row r="613" spans="7:7" x14ac:dyDescent="0.3">
      <c r="G613" t="s">
        <v>474</v>
      </c>
    </row>
    <row r="614" spans="7:7" x14ac:dyDescent="0.3">
      <c r="G614" t="s">
        <v>504</v>
      </c>
    </row>
    <row r="615" spans="7:7" x14ac:dyDescent="0.3">
      <c r="G615" t="s">
        <v>2387</v>
      </c>
    </row>
    <row r="616" spans="7:7" x14ac:dyDescent="0.3">
      <c r="G616" t="s">
        <v>473</v>
      </c>
    </row>
    <row r="617" spans="7:7" x14ac:dyDescent="0.3">
      <c r="G617" t="s">
        <v>474</v>
      </c>
    </row>
    <row r="618" spans="7:7" x14ac:dyDescent="0.3">
      <c r="G618" t="s">
        <v>2199</v>
      </c>
    </row>
    <row r="619" spans="7:7" x14ac:dyDescent="0.3">
      <c r="G619" t="s">
        <v>2388</v>
      </c>
    </row>
    <row r="620" spans="7:7" x14ac:dyDescent="0.3">
      <c r="G620" t="s">
        <v>473</v>
      </c>
    </row>
    <row r="621" spans="7:7" x14ac:dyDescent="0.3">
      <c r="G621" t="s">
        <v>474</v>
      </c>
    </row>
    <row r="622" spans="7:7" x14ac:dyDescent="0.3">
      <c r="G622" t="s">
        <v>481</v>
      </c>
    </row>
    <row r="623" spans="7:7" x14ac:dyDescent="0.3">
      <c r="G623" t="s">
        <v>2389</v>
      </c>
    </row>
    <row r="624" spans="7:7" x14ac:dyDescent="0.3">
      <c r="G624" t="s">
        <v>473</v>
      </c>
    </row>
    <row r="625" spans="7:7" x14ac:dyDescent="0.3">
      <c r="G625" t="s">
        <v>474</v>
      </c>
    </row>
    <row r="626" spans="7:7" x14ac:dyDescent="0.3">
      <c r="G626" t="s">
        <v>2203</v>
      </c>
    </row>
    <row r="627" spans="7:7" x14ac:dyDescent="0.3">
      <c r="G627" t="s">
        <v>2390</v>
      </c>
    </row>
    <row r="628" spans="7:7" x14ac:dyDescent="0.3">
      <c r="G628" t="s">
        <v>473</v>
      </c>
    </row>
    <row r="629" spans="7:7" x14ac:dyDescent="0.3">
      <c r="G629" t="s">
        <v>448</v>
      </c>
    </row>
    <row r="630" spans="7:7" x14ac:dyDescent="0.3">
      <c r="G630" t="s">
        <v>409</v>
      </c>
    </row>
    <row r="631" spans="7:7" x14ac:dyDescent="0.3">
      <c r="G631" t="s">
        <v>177</v>
      </c>
    </row>
    <row r="632" spans="7:7" x14ac:dyDescent="0.3">
      <c r="G632" t="s">
        <v>436</v>
      </c>
    </row>
    <row r="633" spans="7:7" x14ac:dyDescent="0.3">
      <c r="G633" t="s">
        <v>437</v>
      </c>
    </row>
    <row r="634" spans="7:7" x14ac:dyDescent="0.3">
      <c r="G634" t="s">
        <v>438</v>
      </c>
    </row>
    <row r="635" spans="7:7" x14ac:dyDescent="0.3">
      <c r="G635" t="s">
        <v>439</v>
      </c>
    </row>
    <row r="636" spans="7:7" x14ac:dyDescent="0.3">
      <c r="G636" t="s">
        <v>440</v>
      </c>
    </row>
    <row r="637" spans="7:7" x14ac:dyDescent="0.3">
      <c r="G637" t="s">
        <v>2179</v>
      </c>
    </row>
    <row r="638" spans="7:7" x14ac:dyDescent="0.3">
      <c r="G638" t="s">
        <v>441</v>
      </c>
    </row>
    <row r="639" spans="7:7" x14ac:dyDescent="0.3">
      <c r="G639" t="s">
        <v>445</v>
      </c>
    </row>
    <row r="640" spans="7:7" x14ac:dyDescent="0.3">
      <c r="G640" t="s">
        <v>2391</v>
      </c>
    </row>
    <row r="641" spans="7:7" x14ac:dyDescent="0.3">
      <c r="G641" t="s">
        <v>2392</v>
      </c>
    </row>
    <row r="642" spans="7:7" x14ac:dyDescent="0.3">
      <c r="G642" t="s">
        <v>2393</v>
      </c>
    </row>
    <row r="643" spans="7:7" x14ac:dyDescent="0.3">
      <c r="G643" t="s">
        <v>2183</v>
      </c>
    </row>
    <row r="644" spans="7:7" x14ac:dyDescent="0.3">
      <c r="G644" t="s">
        <v>448</v>
      </c>
    </row>
    <row r="645" spans="7:7" x14ac:dyDescent="0.3">
      <c r="G645" t="s">
        <v>393</v>
      </c>
    </row>
    <row r="646" spans="7:7" x14ac:dyDescent="0.3">
      <c r="G646" t="s">
        <v>449</v>
      </c>
    </row>
    <row r="647" spans="7:7" x14ac:dyDescent="0.3">
      <c r="G647" t="s">
        <v>488</v>
      </c>
    </row>
    <row r="648" spans="7:7" x14ac:dyDescent="0.3">
      <c r="G648" t="s">
        <v>451</v>
      </c>
    </row>
    <row r="649" spans="7:7" x14ac:dyDescent="0.3">
      <c r="G649" t="s">
        <v>452</v>
      </c>
    </row>
    <row r="650" spans="7:7" x14ac:dyDescent="0.3">
      <c r="G650" t="s">
        <v>2394</v>
      </c>
    </row>
    <row r="651" spans="7:7" x14ac:dyDescent="0.3">
      <c r="G651" t="s">
        <v>2395</v>
      </c>
    </row>
    <row r="652" spans="7:7" x14ac:dyDescent="0.3">
      <c r="G652" t="s">
        <v>2396</v>
      </c>
    </row>
    <row r="653" spans="7:7" x14ac:dyDescent="0.3">
      <c r="G653" t="s">
        <v>2397</v>
      </c>
    </row>
    <row r="654" spans="7:7" x14ac:dyDescent="0.3">
      <c r="G654" t="s">
        <v>2398</v>
      </c>
    </row>
    <row r="655" spans="7:7" x14ac:dyDescent="0.3">
      <c r="G655" t="s">
        <v>2399</v>
      </c>
    </row>
    <row r="656" spans="7:7" x14ac:dyDescent="0.3">
      <c r="G656" t="s">
        <v>2400</v>
      </c>
    </row>
    <row r="657" spans="7:7" x14ac:dyDescent="0.3">
      <c r="G657" t="s">
        <v>2401</v>
      </c>
    </row>
    <row r="658" spans="7:7" x14ac:dyDescent="0.3">
      <c r="G658" t="s">
        <v>2402</v>
      </c>
    </row>
    <row r="659" spans="7:7" x14ac:dyDescent="0.3">
      <c r="G659" t="s">
        <v>2403</v>
      </c>
    </row>
    <row r="660" spans="7:7" x14ac:dyDescent="0.3">
      <c r="G660" t="s">
        <v>448</v>
      </c>
    </row>
    <row r="661" spans="7:7" x14ac:dyDescent="0.3">
      <c r="G661" t="s">
        <v>393</v>
      </c>
    </row>
    <row r="662" spans="7:7" x14ac:dyDescent="0.3">
      <c r="G662" t="s">
        <v>463</v>
      </c>
    </row>
    <row r="663" spans="7:7" x14ac:dyDescent="0.3">
      <c r="G663" t="s">
        <v>464</v>
      </c>
    </row>
    <row r="664" spans="7:7" x14ac:dyDescent="0.3">
      <c r="G664" t="s">
        <v>2404</v>
      </c>
    </row>
    <row r="665" spans="7:7" x14ac:dyDescent="0.3">
      <c r="G665" t="s">
        <v>2405</v>
      </c>
    </row>
    <row r="666" spans="7:7" x14ac:dyDescent="0.3">
      <c r="G666" t="s">
        <v>2406</v>
      </c>
    </row>
    <row r="667" spans="7:7" x14ac:dyDescent="0.3">
      <c r="G667" t="s">
        <v>2407</v>
      </c>
    </row>
    <row r="668" spans="7:7" x14ac:dyDescent="0.3">
      <c r="G668" t="s">
        <v>2408</v>
      </c>
    </row>
    <row r="669" spans="7:7" x14ac:dyDescent="0.3">
      <c r="G669" t="s">
        <v>448</v>
      </c>
    </row>
    <row r="670" spans="7:7" x14ac:dyDescent="0.3">
      <c r="G670" t="s">
        <v>393</v>
      </c>
    </row>
    <row r="671" spans="7:7" x14ac:dyDescent="0.3">
      <c r="G671" t="s">
        <v>470</v>
      </c>
    </row>
    <row r="672" spans="7:7" x14ac:dyDescent="0.3">
      <c r="G672" t="s">
        <v>2203</v>
      </c>
    </row>
    <row r="673" spans="7:7" x14ac:dyDescent="0.3">
      <c r="G673" t="s">
        <v>2409</v>
      </c>
    </row>
    <row r="674" spans="7:7" x14ac:dyDescent="0.3">
      <c r="G674" t="s">
        <v>473</v>
      </c>
    </row>
    <row r="675" spans="7:7" x14ac:dyDescent="0.3">
      <c r="G675" t="s">
        <v>474</v>
      </c>
    </row>
    <row r="676" spans="7:7" x14ac:dyDescent="0.3">
      <c r="G676" t="s">
        <v>481</v>
      </c>
    </row>
    <row r="677" spans="7:7" x14ac:dyDescent="0.3">
      <c r="G677" t="s">
        <v>2410</v>
      </c>
    </row>
    <row r="678" spans="7:7" x14ac:dyDescent="0.3">
      <c r="G678" t="s">
        <v>473</v>
      </c>
    </row>
    <row r="679" spans="7:7" x14ac:dyDescent="0.3">
      <c r="G679" t="s">
        <v>474</v>
      </c>
    </row>
    <row r="680" spans="7:7" x14ac:dyDescent="0.3">
      <c r="G680" t="s">
        <v>471</v>
      </c>
    </row>
    <row r="681" spans="7:7" x14ac:dyDescent="0.3">
      <c r="G681" t="s">
        <v>2411</v>
      </c>
    </row>
    <row r="682" spans="7:7" x14ac:dyDescent="0.3">
      <c r="G682" t="s">
        <v>473</v>
      </c>
    </row>
    <row r="683" spans="7:7" x14ac:dyDescent="0.3">
      <c r="G683" t="s">
        <v>474</v>
      </c>
    </row>
    <row r="684" spans="7:7" x14ac:dyDescent="0.3">
      <c r="G684" t="s">
        <v>475</v>
      </c>
    </row>
    <row r="685" spans="7:7" x14ac:dyDescent="0.3">
      <c r="G685" t="s">
        <v>2412</v>
      </c>
    </row>
    <row r="686" spans="7:7" x14ac:dyDescent="0.3">
      <c r="G686" t="s">
        <v>473</v>
      </c>
    </row>
    <row r="687" spans="7:7" x14ac:dyDescent="0.3">
      <c r="G687" t="s">
        <v>474</v>
      </c>
    </row>
    <row r="688" spans="7:7" x14ac:dyDescent="0.3">
      <c r="G688" t="s">
        <v>2199</v>
      </c>
    </row>
    <row r="689" spans="7:7" x14ac:dyDescent="0.3">
      <c r="G689" t="s">
        <v>2413</v>
      </c>
    </row>
    <row r="690" spans="7:7" x14ac:dyDescent="0.3">
      <c r="G690" t="s">
        <v>473</v>
      </c>
    </row>
    <row r="691" spans="7:7" x14ac:dyDescent="0.3">
      <c r="G691" t="s">
        <v>448</v>
      </c>
    </row>
    <row r="692" spans="7:7" x14ac:dyDescent="0.3">
      <c r="G692" t="s">
        <v>409</v>
      </c>
    </row>
    <row r="693" spans="7:7" x14ac:dyDescent="0.3">
      <c r="G693" t="s">
        <v>177</v>
      </c>
    </row>
    <row r="694" spans="7:7" x14ac:dyDescent="0.3">
      <c r="G694" t="s">
        <v>436</v>
      </c>
    </row>
    <row r="695" spans="7:7" x14ac:dyDescent="0.3">
      <c r="G695" t="s">
        <v>437</v>
      </c>
    </row>
    <row r="696" spans="7:7" x14ac:dyDescent="0.3">
      <c r="G696" t="s">
        <v>438</v>
      </c>
    </row>
    <row r="697" spans="7:7" x14ac:dyDescent="0.3">
      <c r="G697" t="s">
        <v>439</v>
      </c>
    </row>
    <row r="698" spans="7:7" x14ac:dyDescent="0.3">
      <c r="G698" t="s">
        <v>440</v>
      </c>
    </row>
    <row r="699" spans="7:7" x14ac:dyDescent="0.3">
      <c r="G699" t="s">
        <v>2179</v>
      </c>
    </row>
    <row r="700" spans="7:7" x14ac:dyDescent="0.3">
      <c r="G700" t="s">
        <v>441</v>
      </c>
    </row>
    <row r="701" spans="7:7" x14ac:dyDescent="0.3">
      <c r="G701" t="s">
        <v>2414</v>
      </c>
    </row>
    <row r="702" spans="7:7" x14ac:dyDescent="0.3">
      <c r="G702" t="s">
        <v>2415</v>
      </c>
    </row>
    <row r="703" spans="7:7" x14ac:dyDescent="0.3">
      <c r="G703" t="s">
        <v>2416</v>
      </c>
    </row>
    <row r="704" spans="7:7" x14ac:dyDescent="0.3">
      <c r="G704" t="s">
        <v>486</v>
      </c>
    </row>
    <row r="705" spans="7:7" x14ac:dyDescent="0.3">
      <c r="G705" t="s">
        <v>2183</v>
      </c>
    </row>
    <row r="706" spans="7:7" x14ac:dyDescent="0.3">
      <c r="G706" t="s">
        <v>448</v>
      </c>
    </row>
    <row r="707" spans="7:7" x14ac:dyDescent="0.3">
      <c r="G707" t="s">
        <v>393</v>
      </c>
    </row>
    <row r="708" spans="7:7" x14ac:dyDescent="0.3">
      <c r="G708" t="s">
        <v>449</v>
      </c>
    </row>
    <row r="709" spans="7:7" x14ac:dyDescent="0.3">
      <c r="G709" t="s">
        <v>450</v>
      </c>
    </row>
    <row r="710" spans="7:7" x14ac:dyDescent="0.3">
      <c r="G710" t="s">
        <v>451</v>
      </c>
    </row>
    <row r="711" spans="7:7" x14ac:dyDescent="0.3">
      <c r="G711" t="s">
        <v>452</v>
      </c>
    </row>
    <row r="712" spans="7:7" x14ac:dyDescent="0.3">
      <c r="G712" t="s">
        <v>2417</v>
      </c>
    </row>
    <row r="713" spans="7:7" x14ac:dyDescent="0.3">
      <c r="G713" t="s">
        <v>2418</v>
      </c>
    </row>
    <row r="714" spans="7:7" x14ac:dyDescent="0.3">
      <c r="G714" t="s">
        <v>2419</v>
      </c>
    </row>
    <row r="715" spans="7:7" x14ac:dyDescent="0.3">
      <c r="G715" t="s">
        <v>2420</v>
      </c>
    </row>
    <row r="716" spans="7:7" x14ac:dyDescent="0.3">
      <c r="G716" t="s">
        <v>2421</v>
      </c>
    </row>
    <row r="717" spans="7:7" x14ac:dyDescent="0.3">
      <c r="G717" t="s">
        <v>2422</v>
      </c>
    </row>
    <row r="718" spans="7:7" x14ac:dyDescent="0.3">
      <c r="G718" t="s">
        <v>2423</v>
      </c>
    </row>
    <row r="719" spans="7:7" x14ac:dyDescent="0.3">
      <c r="G719" t="s">
        <v>2424</v>
      </c>
    </row>
    <row r="720" spans="7:7" x14ac:dyDescent="0.3">
      <c r="G720" t="s">
        <v>2425</v>
      </c>
    </row>
    <row r="721" spans="7:7" x14ac:dyDescent="0.3">
      <c r="G721" t="s">
        <v>2426</v>
      </c>
    </row>
    <row r="722" spans="7:7" x14ac:dyDescent="0.3">
      <c r="G722" t="s">
        <v>448</v>
      </c>
    </row>
    <row r="723" spans="7:7" x14ac:dyDescent="0.3">
      <c r="G723" t="s">
        <v>393</v>
      </c>
    </row>
    <row r="724" spans="7:7" x14ac:dyDescent="0.3">
      <c r="G724" t="s">
        <v>463</v>
      </c>
    </row>
    <row r="725" spans="7:7" x14ac:dyDescent="0.3">
      <c r="G725" t="s">
        <v>464</v>
      </c>
    </row>
    <row r="726" spans="7:7" x14ac:dyDescent="0.3">
      <c r="G726" t="s">
        <v>2427</v>
      </c>
    </row>
    <row r="727" spans="7:7" x14ac:dyDescent="0.3">
      <c r="G727" t="s">
        <v>2428</v>
      </c>
    </row>
    <row r="728" spans="7:7" x14ac:dyDescent="0.3">
      <c r="G728" t="s">
        <v>2429</v>
      </c>
    </row>
    <row r="729" spans="7:7" x14ac:dyDescent="0.3">
      <c r="G729" t="s">
        <v>2430</v>
      </c>
    </row>
    <row r="730" spans="7:7" x14ac:dyDescent="0.3">
      <c r="G730" t="s">
        <v>2431</v>
      </c>
    </row>
    <row r="731" spans="7:7" x14ac:dyDescent="0.3">
      <c r="G731" t="s">
        <v>448</v>
      </c>
    </row>
    <row r="732" spans="7:7" x14ac:dyDescent="0.3">
      <c r="G732" t="s">
        <v>393</v>
      </c>
    </row>
    <row r="733" spans="7:7" x14ac:dyDescent="0.3">
      <c r="G733" t="s">
        <v>470</v>
      </c>
    </row>
    <row r="734" spans="7:7" x14ac:dyDescent="0.3">
      <c r="G734" t="s">
        <v>504</v>
      </c>
    </row>
    <row r="735" spans="7:7" x14ac:dyDescent="0.3">
      <c r="G735" t="s">
        <v>2432</v>
      </c>
    </row>
    <row r="736" spans="7:7" x14ac:dyDescent="0.3">
      <c r="G736" t="s">
        <v>473</v>
      </c>
    </row>
    <row r="737" spans="7:7" x14ac:dyDescent="0.3">
      <c r="G737" t="s">
        <v>474</v>
      </c>
    </row>
    <row r="738" spans="7:7" x14ac:dyDescent="0.3">
      <c r="G738" t="s">
        <v>471</v>
      </c>
    </row>
    <row r="739" spans="7:7" x14ac:dyDescent="0.3">
      <c r="G739" t="s">
        <v>2433</v>
      </c>
    </row>
    <row r="740" spans="7:7" x14ac:dyDescent="0.3">
      <c r="G740" t="s">
        <v>473</v>
      </c>
    </row>
    <row r="741" spans="7:7" x14ac:dyDescent="0.3">
      <c r="G741" t="s">
        <v>474</v>
      </c>
    </row>
    <row r="742" spans="7:7" x14ac:dyDescent="0.3">
      <c r="G742" t="s">
        <v>2199</v>
      </c>
    </row>
    <row r="743" spans="7:7" x14ac:dyDescent="0.3">
      <c r="G743" t="s">
        <v>2434</v>
      </c>
    </row>
    <row r="744" spans="7:7" x14ac:dyDescent="0.3">
      <c r="G744" t="s">
        <v>473</v>
      </c>
    </row>
    <row r="745" spans="7:7" x14ac:dyDescent="0.3">
      <c r="G745" t="s">
        <v>474</v>
      </c>
    </row>
    <row r="746" spans="7:7" x14ac:dyDescent="0.3">
      <c r="G746" t="s">
        <v>481</v>
      </c>
    </row>
    <row r="747" spans="7:7" x14ac:dyDescent="0.3">
      <c r="G747" t="s">
        <v>2435</v>
      </c>
    </row>
    <row r="748" spans="7:7" x14ac:dyDescent="0.3">
      <c r="G748" t="s">
        <v>473</v>
      </c>
    </row>
    <row r="749" spans="7:7" x14ac:dyDescent="0.3">
      <c r="G749" t="s">
        <v>474</v>
      </c>
    </row>
    <row r="750" spans="7:7" x14ac:dyDescent="0.3">
      <c r="G750" t="s">
        <v>2203</v>
      </c>
    </row>
    <row r="751" spans="7:7" x14ac:dyDescent="0.3">
      <c r="G751" t="s">
        <v>2436</v>
      </c>
    </row>
    <row r="752" spans="7:7" x14ac:dyDescent="0.3">
      <c r="G752" t="s">
        <v>473</v>
      </c>
    </row>
    <row r="753" spans="7:7" x14ac:dyDescent="0.3">
      <c r="G753" t="s">
        <v>448</v>
      </c>
    </row>
    <row r="754" spans="7:7" x14ac:dyDescent="0.3">
      <c r="G754" t="s">
        <v>409</v>
      </c>
    </row>
    <row r="755" spans="7:7" x14ac:dyDescent="0.3">
      <c r="G755" t="s">
        <v>177</v>
      </c>
    </row>
    <row r="756" spans="7:7" x14ac:dyDescent="0.3">
      <c r="G756" t="s">
        <v>436</v>
      </c>
    </row>
    <row r="757" spans="7:7" x14ac:dyDescent="0.3">
      <c r="G757" t="s">
        <v>437</v>
      </c>
    </row>
    <row r="758" spans="7:7" x14ac:dyDescent="0.3">
      <c r="G758" t="s">
        <v>438</v>
      </c>
    </row>
    <row r="759" spans="7:7" x14ac:dyDescent="0.3">
      <c r="G759" t="s">
        <v>439</v>
      </c>
    </row>
    <row r="760" spans="7:7" x14ac:dyDescent="0.3">
      <c r="G760" t="s">
        <v>440</v>
      </c>
    </row>
    <row r="761" spans="7:7" x14ac:dyDescent="0.3">
      <c r="G761" t="s">
        <v>2179</v>
      </c>
    </row>
    <row r="762" spans="7:7" x14ac:dyDescent="0.3">
      <c r="G762" t="s">
        <v>2437</v>
      </c>
    </row>
    <row r="763" spans="7:7" x14ac:dyDescent="0.3">
      <c r="G763" t="s">
        <v>441</v>
      </c>
    </row>
    <row r="764" spans="7:7" x14ac:dyDescent="0.3">
      <c r="G764" t="s">
        <v>2252</v>
      </c>
    </row>
    <row r="765" spans="7:7" x14ac:dyDescent="0.3">
      <c r="G765" t="s">
        <v>486</v>
      </c>
    </row>
    <row r="766" spans="7:7" x14ac:dyDescent="0.3">
      <c r="G766" t="s">
        <v>2438</v>
      </c>
    </row>
    <row r="767" spans="7:7" x14ac:dyDescent="0.3">
      <c r="G767" t="s">
        <v>2183</v>
      </c>
    </row>
    <row r="768" spans="7:7" x14ac:dyDescent="0.3">
      <c r="G768" t="s">
        <v>448</v>
      </c>
    </row>
    <row r="769" spans="7:7" x14ac:dyDescent="0.3">
      <c r="G769" t="s">
        <v>393</v>
      </c>
    </row>
    <row r="770" spans="7:7" x14ac:dyDescent="0.3">
      <c r="G770" t="s">
        <v>449</v>
      </c>
    </row>
    <row r="771" spans="7:7" x14ac:dyDescent="0.3">
      <c r="G771" t="s">
        <v>488</v>
      </c>
    </row>
    <row r="772" spans="7:7" x14ac:dyDescent="0.3">
      <c r="G772" t="s">
        <v>451</v>
      </c>
    </row>
    <row r="773" spans="7:7" x14ac:dyDescent="0.3">
      <c r="G773" t="s">
        <v>452</v>
      </c>
    </row>
    <row r="774" spans="7:7" x14ac:dyDescent="0.3">
      <c r="G774" t="s">
        <v>2439</v>
      </c>
    </row>
    <row r="775" spans="7:7" x14ac:dyDescent="0.3">
      <c r="G775" t="s">
        <v>2440</v>
      </c>
    </row>
    <row r="776" spans="7:7" x14ac:dyDescent="0.3">
      <c r="G776" t="s">
        <v>2441</v>
      </c>
    </row>
    <row r="777" spans="7:7" x14ac:dyDescent="0.3">
      <c r="G777" t="s">
        <v>2442</v>
      </c>
    </row>
    <row r="778" spans="7:7" x14ac:dyDescent="0.3">
      <c r="G778" t="s">
        <v>2443</v>
      </c>
    </row>
    <row r="779" spans="7:7" x14ac:dyDescent="0.3">
      <c r="G779" t="s">
        <v>2444</v>
      </c>
    </row>
    <row r="780" spans="7:7" x14ac:dyDescent="0.3">
      <c r="G780" t="s">
        <v>2445</v>
      </c>
    </row>
    <row r="781" spans="7:7" x14ac:dyDescent="0.3">
      <c r="G781" t="s">
        <v>2446</v>
      </c>
    </row>
    <row r="782" spans="7:7" x14ac:dyDescent="0.3">
      <c r="G782" t="s">
        <v>2447</v>
      </c>
    </row>
    <row r="783" spans="7:7" x14ac:dyDescent="0.3">
      <c r="G783" t="s">
        <v>2448</v>
      </c>
    </row>
    <row r="784" spans="7:7" x14ac:dyDescent="0.3">
      <c r="G784" t="s">
        <v>448</v>
      </c>
    </row>
    <row r="785" spans="7:7" x14ac:dyDescent="0.3">
      <c r="G785" t="s">
        <v>393</v>
      </c>
    </row>
    <row r="786" spans="7:7" x14ac:dyDescent="0.3">
      <c r="G786" t="s">
        <v>463</v>
      </c>
    </row>
    <row r="787" spans="7:7" x14ac:dyDescent="0.3">
      <c r="G787" t="s">
        <v>464</v>
      </c>
    </row>
    <row r="788" spans="7:7" x14ac:dyDescent="0.3">
      <c r="G788" t="s">
        <v>2449</v>
      </c>
    </row>
    <row r="789" spans="7:7" x14ac:dyDescent="0.3">
      <c r="G789" t="s">
        <v>2450</v>
      </c>
    </row>
    <row r="790" spans="7:7" x14ac:dyDescent="0.3">
      <c r="G790" t="s">
        <v>2451</v>
      </c>
    </row>
    <row r="791" spans="7:7" x14ac:dyDescent="0.3">
      <c r="G791" t="s">
        <v>2452</v>
      </c>
    </row>
    <row r="792" spans="7:7" x14ac:dyDescent="0.3">
      <c r="G792" t="s">
        <v>2453</v>
      </c>
    </row>
    <row r="793" spans="7:7" x14ac:dyDescent="0.3">
      <c r="G793" t="s">
        <v>448</v>
      </c>
    </row>
    <row r="794" spans="7:7" x14ac:dyDescent="0.3">
      <c r="G794" t="s">
        <v>393</v>
      </c>
    </row>
    <row r="795" spans="7:7" x14ac:dyDescent="0.3">
      <c r="G795" t="s">
        <v>470</v>
      </c>
    </row>
    <row r="796" spans="7:7" x14ac:dyDescent="0.3">
      <c r="G796" t="s">
        <v>471</v>
      </c>
    </row>
    <row r="797" spans="7:7" x14ac:dyDescent="0.3">
      <c r="G797" t="s">
        <v>2454</v>
      </c>
    </row>
    <row r="798" spans="7:7" x14ac:dyDescent="0.3">
      <c r="G798" t="s">
        <v>473</v>
      </c>
    </row>
    <row r="799" spans="7:7" x14ac:dyDescent="0.3">
      <c r="G799" t="s">
        <v>474</v>
      </c>
    </row>
    <row r="800" spans="7:7" x14ac:dyDescent="0.3">
      <c r="G800" t="s">
        <v>504</v>
      </c>
    </row>
    <row r="801" spans="7:7" x14ac:dyDescent="0.3">
      <c r="G801" t="s">
        <v>2455</v>
      </c>
    </row>
    <row r="802" spans="7:7" x14ac:dyDescent="0.3">
      <c r="G802" t="s">
        <v>473</v>
      </c>
    </row>
    <row r="803" spans="7:7" x14ac:dyDescent="0.3">
      <c r="G803" t="s">
        <v>474</v>
      </c>
    </row>
    <row r="804" spans="7:7" x14ac:dyDescent="0.3">
      <c r="G804" t="s">
        <v>2199</v>
      </c>
    </row>
    <row r="805" spans="7:7" x14ac:dyDescent="0.3">
      <c r="G805" t="s">
        <v>2456</v>
      </c>
    </row>
    <row r="806" spans="7:7" x14ac:dyDescent="0.3">
      <c r="G806" t="s">
        <v>473</v>
      </c>
    </row>
    <row r="807" spans="7:7" x14ac:dyDescent="0.3">
      <c r="G807" t="s">
        <v>474</v>
      </c>
    </row>
    <row r="808" spans="7:7" x14ac:dyDescent="0.3">
      <c r="G808" t="s">
        <v>481</v>
      </c>
    </row>
    <row r="809" spans="7:7" x14ac:dyDescent="0.3">
      <c r="G809" t="s">
        <v>2457</v>
      </c>
    </row>
    <row r="810" spans="7:7" x14ac:dyDescent="0.3">
      <c r="G810" t="s">
        <v>473</v>
      </c>
    </row>
    <row r="811" spans="7:7" x14ac:dyDescent="0.3">
      <c r="G811" t="s">
        <v>474</v>
      </c>
    </row>
    <row r="812" spans="7:7" x14ac:dyDescent="0.3">
      <c r="G812" t="s">
        <v>2203</v>
      </c>
    </row>
    <row r="813" spans="7:7" x14ac:dyDescent="0.3">
      <c r="G813" t="s">
        <v>2458</v>
      </c>
    </row>
    <row r="814" spans="7:7" x14ac:dyDescent="0.3">
      <c r="G814" t="s">
        <v>473</v>
      </c>
    </row>
    <row r="815" spans="7:7" x14ac:dyDescent="0.3">
      <c r="G815" t="s">
        <v>448</v>
      </c>
    </row>
    <row r="816" spans="7:7" x14ac:dyDescent="0.3">
      <c r="G816" t="s">
        <v>409</v>
      </c>
    </row>
    <row r="817" spans="7:7" x14ac:dyDescent="0.3">
      <c r="G817" t="s">
        <v>177</v>
      </c>
    </row>
    <row r="818" spans="7:7" x14ac:dyDescent="0.3">
      <c r="G818" t="s">
        <v>436</v>
      </c>
    </row>
    <row r="819" spans="7:7" x14ac:dyDescent="0.3">
      <c r="G819" t="s">
        <v>437</v>
      </c>
    </row>
    <row r="820" spans="7:7" x14ac:dyDescent="0.3">
      <c r="G820" t="s">
        <v>438</v>
      </c>
    </row>
    <row r="821" spans="7:7" x14ac:dyDescent="0.3">
      <c r="G821" t="s">
        <v>439</v>
      </c>
    </row>
    <row r="822" spans="7:7" x14ac:dyDescent="0.3">
      <c r="G822" t="s">
        <v>440</v>
      </c>
    </row>
    <row r="823" spans="7:7" x14ac:dyDescent="0.3">
      <c r="G823" t="s">
        <v>2459</v>
      </c>
    </row>
    <row r="824" spans="7:7" x14ac:dyDescent="0.3">
      <c r="G824" t="s">
        <v>2460</v>
      </c>
    </row>
    <row r="825" spans="7:7" x14ac:dyDescent="0.3">
      <c r="G825" t="s">
        <v>2179</v>
      </c>
    </row>
    <row r="826" spans="7:7" x14ac:dyDescent="0.3">
      <c r="G826" t="s">
        <v>441</v>
      </c>
    </row>
    <row r="827" spans="7:7" x14ac:dyDescent="0.3">
      <c r="G827" t="s">
        <v>2461</v>
      </c>
    </row>
    <row r="828" spans="7:7" x14ac:dyDescent="0.3">
      <c r="G828" t="s">
        <v>445</v>
      </c>
    </row>
    <row r="829" spans="7:7" x14ac:dyDescent="0.3">
      <c r="G829" t="s">
        <v>2183</v>
      </c>
    </row>
    <row r="830" spans="7:7" x14ac:dyDescent="0.3">
      <c r="G830" t="s">
        <v>448</v>
      </c>
    </row>
    <row r="831" spans="7:7" x14ac:dyDescent="0.3">
      <c r="G831" t="s">
        <v>393</v>
      </c>
    </row>
    <row r="832" spans="7:7" x14ac:dyDescent="0.3">
      <c r="G832" t="s">
        <v>449</v>
      </c>
    </row>
    <row r="833" spans="7:7" x14ac:dyDescent="0.3">
      <c r="G833" t="s">
        <v>450</v>
      </c>
    </row>
    <row r="834" spans="7:7" x14ac:dyDescent="0.3">
      <c r="G834" t="s">
        <v>451</v>
      </c>
    </row>
    <row r="835" spans="7:7" x14ac:dyDescent="0.3">
      <c r="G835" t="s">
        <v>452</v>
      </c>
    </row>
    <row r="836" spans="7:7" x14ac:dyDescent="0.3">
      <c r="G836" t="s">
        <v>2462</v>
      </c>
    </row>
    <row r="837" spans="7:7" x14ac:dyDescent="0.3">
      <c r="G837" t="s">
        <v>2463</v>
      </c>
    </row>
    <row r="838" spans="7:7" x14ac:dyDescent="0.3">
      <c r="G838" t="s">
        <v>2464</v>
      </c>
    </row>
    <row r="839" spans="7:7" x14ac:dyDescent="0.3">
      <c r="G839" t="s">
        <v>2465</v>
      </c>
    </row>
    <row r="840" spans="7:7" x14ac:dyDescent="0.3">
      <c r="G840" t="s">
        <v>2466</v>
      </c>
    </row>
    <row r="841" spans="7:7" x14ac:dyDescent="0.3">
      <c r="G841" t="s">
        <v>2467</v>
      </c>
    </row>
    <row r="842" spans="7:7" x14ac:dyDescent="0.3">
      <c r="G842" t="s">
        <v>2468</v>
      </c>
    </row>
    <row r="843" spans="7:7" x14ac:dyDescent="0.3">
      <c r="G843" t="s">
        <v>2469</v>
      </c>
    </row>
    <row r="844" spans="7:7" x14ac:dyDescent="0.3">
      <c r="G844" t="s">
        <v>2470</v>
      </c>
    </row>
    <row r="845" spans="7:7" x14ac:dyDescent="0.3">
      <c r="G845" t="s">
        <v>2471</v>
      </c>
    </row>
    <row r="846" spans="7:7" x14ac:dyDescent="0.3">
      <c r="G846" t="s">
        <v>448</v>
      </c>
    </row>
    <row r="847" spans="7:7" x14ac:dyDescent="0.3">
      <c r="G847" t="s">
        <v>393</v>
      </c>
    </row>
    <row r="848" spans="7:7" x14ac:dyDescent="0.3">
      <c r="G848" t="s">
        <v>463</v>
      </c>
    </row>
    <row r="849" spans="7:7" x14ac:dyDescent="0.3">
      <c r="G849" t="s">
        <v>464</v>
      </c>
    </row>
    <row r="850" spans="7:7" x14ac:dyDescent="0.3">
      <c r="G850" t="s">
        <v>2472</v>
      </c>
    </row>
    <row r="851" spans="7:7" x14ac:dyDescent="0.3">
      <c r="G851" t="s">
        <v>2473</v>
      </c>
    </row>
    <row r="852" spans="7:7" x14ac:dyDescent="0.3">
      <c r="G852" t="s">
        <v>2474</v>
      </c>
    </row>
    <row r="853" spans="7:7" x14ac:dyDescent="0.3">
      <c r="G853" t="s">
        <v>2475</v>
      </c>
    </row>
    <row r="854" spans="7:7" x14ac:dyDescent="0.3">
      <c r="G854" t="s">
        <v>2476</v>
      </c>
    </row>
    <row r="855" spans="7:7" x14ac:dyDescent="0.3">
      <c r="G855" t="s">
        <v>448</v>
      </c>
    </row>
    <row r="856" spans="7:7" x14ac:dyDescent="0.3">
      <c r="G856" t="s">
        <v>393</v>
      </c>
    </row>
    <row r="857" spans="7:7" x14ac:dyDescent="0.3">
      <c r="G857" t="s">
        <v>470</v>
      </c>
    </row>
    <row r="858" spans="7:7" x14ac:dyDescent="0.3">
      <c r="G858" t="s">
        <v>471</v>
      </c>
    </row>
    <row r="859" spans="7:7" x14ac:dyDescent="0.3">
      <c r="G859" t="s">
        <v>2477</v>
      </c>
    </row>
    <row r="860" spans="7:7" x14ac:dyDescent="0.3">
      <c r="G860" t="s">
        <v>473</v>
      </c>
    </row>
    <row r="861" spans="7:7" x14ac:dyDescent="0.3">
      <c r="G861" t="s">
        <v>474</v>
      </c>
    </row>
    <row r="862" spans="7:7" x14ac:dyDescent="0.3">
      <c r="G862" t="s">
        <v>481</v>
      </c>
    </row>
    <row r="863" spans="7:7" x14ac:dyDescent="0.3">
      <c r="G863" t="s">
        <v>2478</v>
      </c>
    </row>
    <row r="864" spans="7:7" x14ac:dyDescent="0.3">
      <c r="G864" t="s">
        <v>473</v>
      </c>
    </row>
    <row r="865" spans="7:7" x14ac:dyDescent="0.3">
      <c r="G865" t="s">
        <v>474</v>
      </c>
    </row>
    <row r="866" spans="7:7" x14ac:dyDescent="0.3">
      <c r="G866" t="s">
        <v>475</v>
      </c>
    </row>
    <row r="867" spans="7:7" x14ac:dyDescent="0.3">
      <c r="G867" t="s">
        <v>2479</v>
      </c>
    </row>
    <row r="868" spans="7:7" x14ac:dyDescent="0.3">
      <c r="G868" t="s">
        <v>473</v>
      </c>
    </row>
    <row r="869" spans="7:7" x14ac:dyDescent="0.3">
      <c r="G869" t="s">
        <v>474</v>
      </c>
    </row>
    <row r="870" spans="7:7" x14ac:dyDescent="0.3">
      <c r="G870" t="s">
        <v>2203</v>
      </c>
    </row>
    <row r="871" spans="7:7" x14ac:dyDescent="0.3">
      <c r="G871" t="s">
        <v>2480</v>
      </c>
    </row>
    <row r="872" spans="7:7" x14ac:dyDescent="0.3">
      <c r="G872" t="s">
        <v>473</v>
      </c>
    </row>
    <row r="873" spans="7:7" x14ac:dyDescent="0.3">
      <c r="G873" t="s">
        <v>474</v>
      </c>
    </row>
    <row r="874" spans="7:7" x14ac:dyDescent="0.3">
      <c r="G874" t="s">
        <v>2199</v>
      </c>
    </row>
    <row r="875" spans="7:7" x14ac:dyDescent="0.3">
      <c r="G875" t="s">
        <v>2481</v>
      </c>
    </row>
    <row r="876" spans="7:7" x14ac:dyDescent="0.3">
      <c r="G876" t="s">
        <v>473</v>
      </c>
    </row>
    <row r="877" spans="7:7" x14ac:dyDescent="0.3">
      <c r="G877" t="s">
        <v>448</v>
      </c>
    </row>
    <row r="878" spans="7:7" x14ac:dyDescent="0.3">
      <c r="G878" t="s">
        <v>409</v>
      </c>
    </row>
    <row r="879" spans="7:7" x14ac:dyDescent="0.3">
      <c r="G879" t="s">
        <v>177</v>
      </c>
    </row>
    <row r="880" spans="7:7" x14ac:dyDescent="0.3">
      <c r="G880" t="s">
        <v>436</v>
      </c>
    </row>
    <row r="881" spans="7:7" x14ac:dyDescent="0.3">
      <c r="G881" t="s">
        <v>437</v>
      </c>
    </row>
    <row r="882" spans="7:7" x14ac:dyDescent="0.3">
      <c r="G882" t="s">
        <v>438</v>
      </c>
    </row>
    <row r="883" spans="7:7" x14ac:dyDescent="0.3">
      <c r="G883" t="s">
        <v>439</v>
      </c>
    </row>
    <row r="884" spans="7:7" x14ac:dyDescent="0.3">
      <c r="G884" t="s">
        <v>2482</v>
      </c>
    </row>
    <row r="885" spans="7:7" x14ac:dyDescent="0.3">
      <c r="G885" t="s">
        <v>2179</v>
      </c>
    </row>
    <row r="886" spans="7:7" x14ac:dyDescent="0.3">
      <c r="G886" t="s">
        <v>441</v>
      </c>
    </row>
    <row r="887" spans="7:7" x14ac:dyDescent="0.3">
      <c r="G887" t="s">
        <v>2483</v>
      </c>
    </row>
    <row r="888" spans="7:7" x14ac:dyDescent="0.3">
      <c r="G888" t="s">
        <v>445</v>
      </c>
    </row>
    <row r="889" spans="7:7" x14ac:dyDescent="0.3">
      <c r="G889" t="s">
        <v>936</v>
      </c>
    </row>
    <row r="890" spans="7:7" x14ac:dyDescent="0.3">
      <c r="G890" t="s">
        <v>2484</v>
      </c>
    </row>
    <row r="891" spans="7:7" x14ac:dyDescent="0.3">
      <c r="G891" t="s">
        <v>2183</v>
      </c>
    </row>
    <row r="892" spans="7:7" x14ac:dyDescent="0.3">
      <c r="G892" t="s">
        <v>448</v>
      </c>
    </row>
    <row r="893" spans="7:7" x14ac:dyDescent="0.3">
      <c r="G893" t="s">
        <v>393</v>
      </c>
    </row>
    <row r="894" spans="7:7" x14ac:dyDescent="0.3">
      <c r="G894" t="s">
        <v>449</v>
      </c>
    </row>
    <row r="895" spans="7:7" x14ac:dyDescent="0.3">
      <c r="G895" t="s">
        <v>450</v>
      </c>
    </row>
    <row r="896" spans="7:7" x14ac:dyDescent="0.3">
      <c r="G896" t="s">
        <v>451</v>
      </c>
    </row>
    <row r="897" spans="7:7" x14ac:dyDescent="0.3">
      <c r="G897" t="s">
        <v>452</v>
      </c>
    </row>
    <row r="898" spans="7:7" x14ac:dyDescent="0.3">
      <c r="G898" t="s">
        <v>2485</v>
      </c>
    </row>
    <row r="899" spans="7:7" x14ac:dyDescent="0.3">
      <c r="G899" t="s">
        <v>2486</v>
      </c>
    </row>
    <row r="900" spans="7:7" x14ac:dyDescent="0.3">
      <c r="G900" t="s">
        <v>2487</v>
      </c>
    </row>
    <row r="901" spans="7:7" x14ac:dyDescent="0.3">
      <c r="G901" t="s">
        <v>2488</v>
      </c>
    </row>
    <row r="902" spans="7:7" x14ac:dyDescent="0.3">
      <c r="G902" t="s">
        <v>2489</v>
      </c>
    </row>
    <row r="903" spans="7:7" x14ac:dyDescent="0.3">
      <c r="G903" t="s">
        <v>2490</v>
      </c>
    </row>
    <row r="904" spans="7:7" x14ac:dyDescent="0.3">
      <c r="G904" t="s">
        <v>2491</v>
      </c>
    </row>
    <row r="905" spans="7:7" x14ac:dyDescent="0.3">
      <c r="G905" t="s">
        <v>2492</v>
      </c>
    </row>
    <row r="906" spans="7:7" x14ac:dyDescent="0.3">
      <c r="G906" t="s">
        <v>2493</v>
      </c>
    </row>
    <row r="907" spans="7:7" x14ac:dyDescent="0.3">
      <c r="G907" t="s">
        <v>2494</v>
      </c>
    </row>
    <row r="908" spans="7:7" x14ac:dyDescent="0.3">
      <c r="G908" t="s">
        <v>448</v>
      </c>
    </row>
    <row r="909" spans="7:7" x14ac:dyDescent="0.3">
      <c r="G909" t="s">
        <v>393</v>
      </c>
    </row>
    <row r="910" spans="7:7" x14ac:dyDescent="0.3">
      <c r="G910" t="s">
        <v>463</v>
      </c>
    </row>
    <row r="911" spans="7:7" x14ac:dyDescent="0.3">
      <c r="G911" t="s">
        <v>464</v>
      </c>
    </row>
    <row r="912" spans="7:7" x14ac:dyDescent="0.3">
      <c r="G912" t="s">
        <v>2495</v>
      </c>
    </row>
    <row r="913" spans="7:7" x14ac:dyDescent="0.3">
      <c r="G913" t="s">
        <v>2496</v>
      </c>
    </row>
    <row r="914" spans="7:7" x14ac:dyDescent="0.3">
      <c r="G914" t="s">
        <v>2497</v>
      </c>
    </row>
    <row r="915" spans="7:7" x14ac:dyDescent="0.3">
      <c r="G915" t="s">
        <v>2498</v>
      </c>
    </row>
    <row r="916" spans="7:7" x14ac:dyDescent="0.3">
      <c r="G916" t="s">
        <v>2499</v>
      </c>
    </row>
    <row r="917" spans="7:7" x14ac:dyDescent="0.3">
      <c r="G917" t="s">
        <v>448</v>
      </c>
    </row>
    <row r="918" spans="7:7" x14ac:dyDescent="0.3">
      <c r="G918" t="s">
        <v>393</v>
      </c>
    </row>
    <row r="919" spans="7:7" x14ac:dyDescent="0.3">
      <c r="G919" t="s">
        <v>470</v>
      </c>
    </row>
    <row r="920" spans="7:7" x14ac:dyDescent="0.3">
      <c r="G920" t="s">
        <v>721</v>
      </c>
    </row>
    <row r="921" spans="7:7" x14ac:dyDescent="0.3">
      <c r="G921" t="s">
        <v>2500</v>
      </c>
    </row>
    <row r="922" spans="7:7" x14ac:dyDescent="0.3">
      <c r="G922" t="s">
        <v>473</v>
      </c>
    </row>
    <row r="923" spans="7:7" x14ac:dyDescent="0.3">
      <c r="G923" t="s">
        <v>474</v>
      </c>
    </row>
    <row r="924" spans="7:7" x14ac:dyDescent="0.3">
      <c r="G924" t="s">
        <v>2199</v>
      </c>
    </row>
    <row r="925" spans="7:7" x14ac:dyDescent="0.3">
      <c r="G925" t="s">
        <v>2501</v>
      </c>
    </row>
    <row r="926" spans="7:7" x14ac:dyDescent="0.3">
      <c r="G926" t="s">
        <v>473</v>
      </c>
    </row>
    <row r="927" spans="7:7" x14ac:dyDescent="0.3">
      <c r="G927" t="s">
        <v>474</v>
      </c>
    </row>
    <row r="928" spans="7:7" x14ac:dyDescent="0.3">
      <c r="G928" t="s">
        <v>475</v>
      </c>
    </row>
    <row r="929" spans="7:7" x14ac:dyDescent="0.3">
      <c r="G929" t="s">
        <v>2502</v>
      </c>
    </row>
    <row r="930" spans="7:7" x14ac:dyDescent="0.3">
      <c r="G930" t="s">
        <v>473</v>
      </c>
    </row>
    <row r="931" spans="7:7" x14ac:dyDescent="0.3">
      <c r="G931" t="s">
        <v>474</v>
      </c>
    </row>
    <row r="932" spans="7:7" x14ac:dyDescent="0.3">
      <c r="G932" t="s">
        <v>481</v>
      </c>
    </row>
    <row r="933" spans="7:7" x14ac:dyDescent="0.3">
      <c r="G933" t="s">
        <v>2503</v>
      </c>
    </row>
    <row r="934" spans="7:7" x14ac:dyDescent="0.3">
      <c r="G934" t="s">
        <v>473</v>
      </c>
    </row>
    <row r="935" spans="7:7" x14ac:dyDescent="0.3">
      <c r="G935" t="s">
        <v>474</v>
      </c>
    </row>
    <row r="936" spans="7:7" x14ac:dyDescent="0.3">
      <c r="G936" t="s">
        <v>2203</v>
      </c>
    </row>
    <row r="937" spans="7:7" x14ac:dyDescent="0.3">
      <c r="G937" t="s">
        <v>2504</v>
      </c>
    </row>
    <row r="938" spans="7:7" x14ac:dyDescent="0.3">
      <c r="G938" t="s">
        <v>473</v>
      </c>
    </row>
    <row r="939" spans="7:7" x14ac:dyDescent="0.3">
      <c r="G939" t="s">
        <v>448</v>
      </c>
    </row>
    <row r="940" spans="7:7" x14ac:dyDescent="0.3">
      <c r="G940" t="s">
        <v>409</v>
      </c>
    </row>
    <row r="941" spans="7:7" x14ac:dyDescent="0.3">
      <c r="G941" t="s">
        <v>177</v>
      </c>
    </row>
    <row r="942" spans="7:7" x14ac:dyDescent="0.3">
      <c r="G942" t="s">
        <v>436</v>
      </c>
    </row>
    <row r="943" spans="7:7" x14ac:dyDescent="0.3">
      <c r="G943" t="s">
        <v>437</v>
      </c>
    </row>
    <row r="944" spans="7:7" x14ac:dyDescent="0.3">
      <c r="G944" t="s">
        <v>438</v>
      </c>
    </row>
    <row r="945" spans="7:7" x14ac:dyDescent="0.3">
      <c r="G945" t="s">
        <v>439</v>
      </c>
    </row>
    <row r="946" spans="7:7" x14ac:dyDescent="0.3">
      <c r="G946" t="s">
        <v>440</v>
      </c>
    </row>
    <row r="947" spans="7:7" x14ac:dyDescent="0.3">
      <c r="G947" t="s">
        <v>2505</v>
      </c>
    </row>
    <row r="948" spans="7:7" x14ac:dyDescent="0.3">
      <c r="G948" t="s">
        <v>2179</v>
      </c>
    </row>
    <row r="949" spans="7:7" x14ac:dyDescent="0.3">
      <c r="G949" t="s">
        <v>441</v>
      </c>
    </row>
    <row r="950" spans="7:7" x14ac:dyDescent="0.3">
      <c r="G950" t="s">
        <v>445</v>
      </c>
    </row>
    <row r="951" spans="7:7" x14ac:dyDescent="0.3">
      <c r="G951" t="s">
        <v>2506</v>
      </c>
    </row>
    <row r="952" spans="7:7" x14ac:dyDescent="0.3">
      <c r="G952" t="s">
        <v>2392</v>
      </c>
    </row>
    <row r="953" spans="7:7" x14ac:dyDescent="0.3">
      <c r="G953" t="s">
        <v>2183</v>
      </c>
    </row>
    <row r="954" spans="7:7" x14ac:dyDescent="0.3">
      <c r="G954" t="s">
        <v>448</v>
      </c>
    </row>
    <row r="955" spans="7:7" x14ac:dyDescent="0.3">
      <c r="G955" t="s">
        <v>393</v>
      </c>
    </row>
    <row r="956" spans="7:7" x14ac:dyDescent="0.3">
      <c r="G956" t="s">
        <v>449</v>
      </c>
    </row>
    <row r="957" spans="7:7" x14ac:dyDescent="0.3">
      <c r="G957" t="s">
        <v>450</v>
      </c>
    </row>
    <row r="958" spans="7:7" x14ac:dyDescent="0.3">
      <c r="G958" t="s">
        <v>451</v>
      </c>
    </row>
    <row r="959" spans="7:7" x14ac:dyDescent="0.3">
      <c r="G959" t="s">
        <v>452</v>
      </c>
    </row>
    <row r="960" spans="7:7" x14ac:dyDescent="0.3">
      <c r="G960" t="s">
        <v>2507</v>
      </c>
    </row>
    <row r="961" spans="7:7" x14ac:dyDescent="0.3">
      <c r="G961" t="s">
        <v>2508</v>
      </c>
    </row>
    <row r="962" spans="7:7" x14ac:dyDescent="0.3">
      <c r="G962" t="s">
        <v>2509</v>
      </c>
    </row>
    <row r="963" spans="7:7" x14ac:dyDescent="0.3">
      <c r="G963" t="s">
        <v>2510</v>
      </c>
    </row>
    <row r="964" spans="7:7" x14ac:dyDescent="0.3">
      <c r="G964" t="s">
        <v>2511</v>
      </c>
    </row>
    <row r="965" spans="7:7" x14ac:dyDescent="0.3">
      <c r="G965" t="s">
        <v>2512</v>
      </c>
    </row>
    <row r="966" spans="7:7" x14ac:dyDescent="0.3">
      <c r="G966" t="s">
        <v>2513</v>
      </c>
    </row>
    <row r="967" spans="7:7" x14ac:dyDescent="0.3">
      <c r="G967" t="s">
        <v>2514</v>
      </c>
    </row>
    <row r="968" spans="7:7" x14ac:dyDescent="0.3">
      <c r="G968" t="s">
        <v>2515</v>
      </c>
    </row>
    <row r="969" spans="7:7" x14ac:dyDescent="0.3">
      <c r="G969" t="s">
        <v>2516</v>
      </c>
    </row>
    <row r="970" spans="7:7" x14ac:dyDescent="0.3">
      <c r="G970" t="s">
        <v>448</v>
      </c>
    </row>
    <row r="971" spans="7:7" x14ac:dyDescent="0.3">
      <c r="G971" t="s">
        <v>393</v>
      </c>
    </row>
    <row r="972" spans="7:7" x14ac:dyDescent="0.3">
      <c r="G972" t="s">
        <v>463</v>
      </c>
    </row>
    <row r="973" spans="7:7" x14ac:dyDescent="0.3">
      <c r="G973" t="s">
        <v>464</v>
      </c>
    </row>
    <row r="974" spans="7:7" x14ac:dyDescent="0.3">
      <c r="G974" t="s">
        <v>2517</v>
      </c>
    </row>
    <row r="975" spans="7:7" x14ac:dyDescent="0.3">
      <c r="G975" t="s">
        <v>2518</v>
      </c>
    </row>
    <row r="976" spans="7:7" x14ac:dyDescent="0.3">
      <c r="G976" t="s">
        <v>2519</v>
      </c>
    </row>
    <row r="977" spans="7:7" x14ac:dyDescent="0.3">
      <c r="G977" t="s">
        <v>2520</v>
      </c>
    </row>
    <row r="978" spans="7:7" x14ac:dyDescent="0.3">
      <c r="G978" t="s">
        <v>2521</v>
      </c>
    </row>
    <row r="979" spans="7:7" x14ac:dyDescent="0.3">
      <c r="G979" t="s">
        <v>448</v>
      </c>
    </row>
    <row r="980" spans="7:7" x14ac:dyDescent="0.3">
      <c r="G980" t="s">
        <v>393</v>
      </c>
    </row>
    <row r="981" spans="7:7" x14ac:dyDescent="0.3">
      <c r="G981" t="s">
        <v>470</v>
      </c>
    </row>
    <row r="982" spans="7:7" x14ac:dyDescent="0.3">
      <c r="G982" t="s">
        <v>471</v>
      </c>
    </row>
    <row r="983" spans="7:7" x14ac:dyDescent="0.3">
      <c r="G983" t="s">
        <v>2522</v>
      </c>
    </row>
    <row r="984" spans="7:7" x14ac:dyDescent="0.3">
      <c r="G984" t="s">
        <v>473</v>
      </c>
    </row>
    <row r="985" spans="7:7" x14ac:dyDescent="0.3">
      <c r="G985" t="s">
        <v>474</v>
      </c>
    </row>
    <row r="986" spans="7:7" x14ac:dyDescent="0.3">
      <c r="G986" t="s">
        <v>475</v>
      </c>
    </row>
    <row r="987" spans="7:7" x14ac:dyDescent="0.3">
      <c r="G987" t="s">
        <v>2523</v>
      </c>
    </row>
    <row r="988" spans="7:7" x14ac:dyDescent="0.3">
      <c r="G988" t="s">
        <v>473</v>
      </c>
    </row>
    <row r="989" spans="7:7" x14ac:dyDescent="0.3">
      <c r="G989" t="s">
        <v>474</v>
      </c>
    </row>
    <row r="990" spans="7:7" x14ac:dyDescent="0.3">
      <c r="G990" t="s">
        <v>2199</v>
      </c>
    </row>
    <row r="991" spans="7:7" x14ac:dyDescent="0.3">
      <c r="G991" t="s">
        <v>2524</v>
      </c>
    </row>
    <row r="992" spans="7:7" x14ac:dyDescent="0.3">
      <c r="G992" t="s">
        <v>473</v>
      </c>
    </row>
    <row r="993" spans="7:7" x14ac:dyDescent="0.3">
      <c r="G993" t="s">
        <v>474</v>
      </c>
    </row>
    <row r="994" spans="7:7" x14ac:dyDescent="0.3">
      <c r="G994" t="s">
        <v>2203</v>
      </c>
    </row>
    <row r="995" spans="7:7" x14ac:dyDescent="0.3">
      <c r="G995" t="s">
        <v>2525</v>
      </c>
    </row>
    <row r="996" spans="7:7" x14ac:dyDescent="0.3">
      <c r="G996" t="s">
        <v>473</v>
      </c>
    </row>
    <row r="997" spans="7:7" x14ac:dyDescent="0.3">
      <c r="G997" t="s">
        <v>474</v>
      </c>
    </row>
    <row r="998" spans="7:7" x14ac:dyDescent="0.3">
      <c r="G998" t="s">
        <v>481</v>
      </c>
    </row>
    <row r="999" spans="7:7" x14ac:dyDescent="0.3">
      <c r="G999" t="s">
        <v>2526</v>
      </c>
    </row>
    <row r="1000" spans="7:7" x14ac:dyDescent="0.3">
      <c r="G1000" t="s">
        <v>473</v>
      </c>
    </row>
    <row r="1001" spans="7:7" x14ac:dyDescent="0.3">
      <c r="G1001" t="s">
        <v>448</v>
      </c>
    </row>
    <row r="1002" spans="7:7" x14ac:dyDescent="0.3">
      <c r="G1002" t="s">
        <v>409</v>
      </c>
    </row>
    <row r="1003" spans="7:7" x14ac:dyDescent="0.3">
      <c r="G1003" t="s">
        <v>177</v>
      </c>
    </row>
    <row r="1004" spans="7:7" x14ac:dyDescent="0.3">
      <c r="G1004" t="s">
        <v>436</v>
      </c>
    </row>
    <row r="1005" spans="7:7" x14ac:dyDescent="0.3">
      <c r="G1005" t="s">
        <v>437</v>
      </c>
    </row>
    <row r="1006" spans="7:7" x14ac:dyDescent="0.3">
      <c r="G1006" t="s">
        <v>438</v>
      </c>
    </row>
    <row r="1007" spans="7:7" x14ac:dyDescent="0.3">
      <c r="G1007" t="s">
        <v>439</v>
      </c>
    </row>
    <row r="1008" spans="7:7" x14ac:dyDescent="0.3">
      <c r="G1008" t="s">
        <v>440</v>
      </c>
    </row>
    <row r="1009" spans="7:7" x14ac:dyDescent="0.3">
      <c r="G1009" t="s">
        <v>2527</v>
      </c>
    </row>
    <row r="1010" spans="7:7" x14ac:dyDescent="0.3">
      <c r="G1010" t="s">
        <v>2179</v>
      </c>
    </row>
    <row r="1011" spans="7:7" x14ac:dyDescent="0.3">
      <c r="G1011" t="s">
        <v>441</v>
      </c>
    </row>
    <row r="1012" spans="7:7" x14ac:dyDescent="0.3">
      <c r="G1012" t="s">
        <v>2528</v>
      </c>
    </row>
    <row r="1013" spans="7:7" x14ac:dyDescent="0.3">
      <c r="G1013" t="s">
        <v>445</v>
      </c>
    </row>
    <row r="1014" spans="7:7" x14ac:dyDescent="0.3">
      <c r="G1014" t="s">
        <v>2529</v>
      </c>
    </row>
    <row r="1015" spans="7:7" x14ac:dyDescent="0.3">
      <c r="G1015" t="s">
        <v>2183</v>
      </c>
    </row>
    <row r="1016" spans="7:7" x14ac:dyDescent="0.3">
      <c r="G1016" t="s">
        <v>448</v>
      </c>
    </row>
    <row r="1017" spans="7:7" x14ac:dyDescent="0.3">
      <c r="G1017" t="s">
        <v>393</v>
      </c>
    </row>
    <row r="1018" spans="7:7" x14ac:dyDescent="0.3">
      <c r="G1018" t="s">
        <v>449</v>
      </c>
    </row>
    <row r="1019" spans="7:7" x14ac:dyDescent="0.3">
      <c r="G1019" t="s">
        <v>450</v>
      </c>
    </row>
    <row r="1020" spans="7:7" x14ac:dyDescent="0.3">
      <c r="G1020" t="s">
        <v>451</v>
      </c>
    </row>
    <row r="1021" spans="7:7" x14ac:dyDescent="0.3">
      <c r="G1021" t="s">
        <v>452</v>
      </c>
    </row>
    <row r="1022" spans="7:7" x14ac:dyDescent="0.3">
      <c r="G1022" t="s">
        <v>2530</v>
      </c>
    </row>
    <row r="1023" spans="7:7" x14ac:dyDescent="0.3">
      <c r="G1023" t="s">
        <v>2531</v>
      </c>
    </row>
    <row r="1024" spans="7:7" x14ac:dyDescent="0.3">
      <c r="G1024" t="s">
        <v>2532</v>
      </c>
    </row>
    <row r="1025" spans="7:7" x14ac:dyDescent="0.3">
      <c r="G1025" t="s">
        <v>2533</v>
      </c>
    </row>
    <row r="1026" spans="7:7" x14ac:dyDescent="0.3">
      <c r="G1026" t="s">
        <v>2534</v>
      </c>
    </row>
    <row r="1027" spans="7:7" x14ac:dyDescent="0.3">
      <c r="G1027" t="s">
        <v>2535</v>
      </c>
    </row>
    <row r="1028" spans="7:7" x14ac:dyDescent="0.3">
      <c r="G1028" t="s">
        <v>2536</v>
      </c>
    </row>
    <row r="1029" spans="7:7" x14ac:dyDescent="0.3">
      <c r="G1029" t="s">
        <v>2537</v>
      </c>
    </row>
    <row r="1030" spans="7:7" x14ac:dyDescent="0.3">
      <c r="G1030" t="s">
        <v>2538</v>
      </c>
    </row>
    <row r="1031" spans="7:7" x14ac:dyDescent="0.3">
      <c r="G1031" t="s">
        <v>2539</v>
      </c>
    </row>
    <row r="1032" spans="7:7" x14ac:dyDescent="0.3">
      <c r="G1032" t="s">
        <v>448</v>
      </c>
    </row>
    <row r="1033" spans="7:7" x14ac:dyDescent="0.3">
      <c r="G1033" t="s">
        <v>393</v>
      </c>
    </row>
    <row r="1034" spans="7:7" x14ac:dyDescent="0.3">
      <c r="G1034" t="s">
        <v>463</v>
      </c>
    </row>
    <row r="1035" spans="7:7" x14ac:dyDescent="0.3">
      <c r="G1035" t="s">
        <v>464</v>
      </c>
    </row>
    <row r="1036" spans="7:7" x14ac:dyDescent="0.3">
      <c r="G1036" t="s">
        <v>2540</v>
      </c>
    </row>
    <row r="1037" spans="7:7" x14ac:dyDescent="0.3">
      <c r="G1037" t="s">
        <v>2541</v>
      </c>
    </row>
    <row r="1038" spans="7:7" x14ac:dyDescent="0.3">
      <c r="G1038" t="s">
        <v>2542</v>
      </c>
    </row>
    <row r="1039" spans="7:7" x14ac:dyDescent="0.3">
      <c r="G1039" t="s">
        <v>2543</v>
      </c>
    </row>
    <row r="1040" spans="7:7" x14ac:dyDescent="0.3">
      <c r="G1040" t="s">
        <v>2544</v>
      </c>
    </row>
    <row r="1041" spans="7:7" x14ac:dyDescent="0.3">
      <c r="G1041" t="s">
        <v>448</v>
      </c>
    </row>
    <row r="1042" spans="7:7" x14ac:dyDescent="0.3">
      <c r="G1042" t="s">
        <v>393</v>
      </c>
    </row>
    <row r="1043" spans="7:7" x14ac:dyDescent="0.3">
      <c r="G1043" t="s">
        <v>470</v>
      </c>
    </row>
    <row r="1044" spans="7:7" x14ac:dyDescent="0.3">
      <c r="G1044" t="s">
        <v>471</v>
      </c>
    </row>
    <row r="1045" spans="7:7" x14ac:dyDescent="0.3">
      <c r="G1045" t="s">
        <v>2545</v>
      </c>
    </row>
    <row r="1046" spans="7:7" x14ac:dyDescent="0.3">
      <c r="G1046" t="s">
        <v>473</v>
      </c>
    </row>
    <row r="1047" spans="7:7" x14ac:dyDescent="0.3">
      <c r="G1047" t="s">
        <v>474</v>
      </c>
    </row>
    <row r="1048" spans="7:7" x14ac:dyDescent="0.3">
      <c r="G1048" t="s">
        <v>2199</v>
      </c>
    </row>
    <row r="1049" spans="7:7" x14ac:dyDescent="0.3">
      <c r="G1049" t="s">
        <v>2546</v>
      </c>
    </row>
    <row r="1050" spans="7:7" x14ac:dyDescent="0.3">
      <c r="G1050" t="s">
        <v>473</v>
      </c>
    </row>
    <row r="1051" spans="7:7" x14ac:dyDescent="0.3">
      <c r="G1051" t="s">
        <v>474</v>
      </c>
    </row>
    <row r="1052" spans="7:7" x14ac:dyDescent="0.3">
      <c r="G1052" t="s">
        <v>475</v>
      </c>
    </row>
    <row r="1053" spans="7:7" x14ac:dyDescent="0.3">
      <c r="G1053" t="s">
        <v>2547</v>
      </c>
    </row>
    <row r="1054" spans="7:7" x14ac:dyDescent="0.3">
      <c r="G1054" t="s">
        <v>473</v>
      </c>
    </row>
    <row r="1055" spans="7:7" x14ac:dyDescent="0.3">
      <c r="G1055" t="s">
        <v>474</v>
      </c>
    </row>
    <row r="1056" spans="7:7" x14ac:dyDescent="0.3">
      <c r="G1056" t="s">
        <v>2203</v>
      </c>
    </row>
    <row r="1057" spans="7:7" x14ac:dyDescent="0.3">
      <c r="G1057" t="s">
        <v>2548</v>
      </c>
    </row>
    <row r="1058" spans="7:7" x14ac:dyDescent="0.3">
      <c r="G1058" t="s">
        <v>473</v>
      </c>
    </row>
    <row r="1059" spans="7:7" x14ac:dyDescent="0.3">
      <c r="G1059" t="s">
        <v>474</v>
      </c>
    </row>
    <row r="1060" spans="7:7" x14ac:dyDescent="0.3">
      <c r="G1060" t="s">
        <v>481</v>
      </c>
    </row>
    <row r="1061" spans="7:7" x14ac:dyDescent="0.3">
      <c r="G1061" t="s">
        <v>2549</v>
      </c>
    </row>
    <row r="1062" spans="7:7" x14ac:dyDescent="0.3">
      <c r="G1062" t="s">
        <v>473</v>
      </c>
    </row>
    <row r="1063" spans="7:7" x14ac:dyDescent="0.3">
      <c r="G1063" t="s">
        <v>448</v>
      </c>
    </row>
    <row r="1064" spans="7:7" x14ac:dyDescent="0.3">
      <c r="G1064" t="s">
        <v>409</v>
      </c>
    </row>
    <row r="1065" spans="7:7" x14ac:dyDescent="0.3">
      <c r="G1065" t="s">
        <v>177</v>
      </c>
    </row>
    <row r="1066" spans="7:7" x14ac:dyDescent="0.3">
      <c r="G1066" t="s">
        <v>436</v>
      </c>
    </row>
    <row r="1067" spans="7:7" x14ac:dyDescent="0.3">
      <c r="G1067" t="s">
        <v>437</v>
      </c>
    </row>
    <row r="1068" spans="7:7" x14ac:dyDescent="0.3">
      <c r="G1068" t="s">
        <v>438</v>
      </c>
    </row>
    <row r="1069" spans="7:7" x14ac:dyDescent="0.3">
      <c r="G1069" t="s">
        <v>439</v>
      </c>
    </row>
    <row r="1070" spans="7:7" x14ac:dyDescent="0.3">
      <c r="G1070" t="s">
        <v>440</v>
      </c>
    </row>
    <row r="1071" spans="7:7" x14ac:dyDescent="0.3">
      <c r="G1071" t="s">
        <v>2550</v>
      </c>
    </row>
    <row r="1072" spans="7:7" x14ac:dyDescent="0.3">
      <c r="G1072" t="s">
        <v>2179</v>
      </c>
    </row>
    <row r="1073" spans="7:7" x14ac:dyDescent="0.3">
      <c r="G1073" t="s">
        <v>441</v>
      </c>
    </row>
    <row r="1074" spans="7:7" x14ac:dyDescent="0.3">
      <c r="G1074" t="s">
        <v>2551</v>
      </c>
    </row>
    <row r="1075" spans="7:7" x14ac:dyDescent="0.3">
      <c r="G1075" t="s">
        <v>445</v>
      </c>
    </row>
    <row r="1076" spans="7:7" x14ac:dyDescent="0.3">
      <c r="G1076" t="s">
        <v>2552</v>
      </c>
    </row>
    <row r="1077" spans="7:7" x14ac:dyDescent="0.3">
      <c r="G1077" t="s">
        <v>2183</v>
      </c>
    </row>
    <row r="1078" spans="7:7" x14ac:dyDescent="0.3">
      <c r="G1078" t="s">
        <v>448</v>
      </c>
    </row>
    <row r="1079" spans="7:7" x14ac:dyDescent="0.3">
      <c r="G1079" t="s">
        <v>393</v>
      </c>
    </row>
    <row r="1080" spans="7:7" x14ac:dyDescent="0.3">
      <c r="G1080" t="s">
        <v>449</v>
      </c>
    </row>
    <row r="1081" spans="7:7" x14ac:dyDescent="0.3">
      <c r="G1081" t="s">
        <v>450</v>
      </c>
    </row>
    <row r="1082" spans="7:7" x14ac:dyDescent="0.3">
      <c r="G1082" t="s">
        <v>451</v>
      </c>
    </row>
    <row r="1083" spans="7:7" x14ac:dyDescent="0.3">
      <c r="G1083" t="s">
        <v>452</v>
      </c>
    </row>
    <row r="1084" spans="7:7" x14ac:dyDescent="0.3">
      <c r="G1084" t="s">
        <v>2553</v>
      </c>
    </row>
    <row r="1085" spans="7:7" x14ac:dyDescent="0.3">
      <c r="G1085" t="s">
        <v>2554</v>
      </c>
    </row>
    <row r="1086" spans="7:7" x14ac:dyDescent="0.3">
      <c r="G1086" t="s">
        <v>2555</v>
      </c>
    </row>
    <row r="1087" spans="7:7" x14ac:dyDescent="0.3">
      <c r="G1087" t="s">
        <v>2556</v>
      </c>
    </row>
    <row r="1088" spans="7:7" x14ac:dyDescent="0.3">
      <c r="G1088" t="s">
        <v>2557</v>
      </c>
    </row>
    <row r="1089" spans="7:7" x14ac:dyDescent="0.3">
      <c r="G1089" t="s">
        <v>2558</v>
      </c>
    </row>
    <row r="1090" spans="7:7" x14ac:dyDescent="0.3">
      <c r="G1090" t="s">
        <v>2559</v>
      </c>
    </row>
    <row r="1091" spans="7:7" x14ac:dyDescent="0.3">
      <c r="G1091" t="s">
        <v>2560</v>
      </c>
    </row>
    <row r="1092" spans="7:7" x14ac:dyDescent="0.3">
      <c r="G1092" t="s">
        <v>2561</v>
      </c>
    </row>
    <row r="1093" spans="7:7" x14ac:dyDescent="0.3">
      <c r="G1093" t="s">
        <v>2562</v>
      </c>
    </row>
    <row r="1094" spans="7:7" x14ac:dyDescent="0.3">
      <c r="G1094" t="s">
        <v>448</v>
      </c>
    </row>
    <row r="1095" spans="7:7" x14ac:dyDescent="0.3">
      <c r="G1095" t="s">
        <v>393</v>
      </c>
    </row>
    <row r="1096" spans="7:7" x14ac:dyDescent="0.3">
      <c r="G1096" t="s">
        <v>463</v>
      </c>
    </row>
    <row r="1097" spans="7:7" x14ac:dyDescent="0.3">
      <c r="G1097" t="s">
        <v>464</v>
      </c>
    </row>
    <row r="1098" spans="7:7" x14ac:dyDescent="0.3">
      <c r="G1098" t="s">
        <v>2563</v>
      </c>
    </row>
    <row r="1099" spans="7:7" x14ac:dyDescent="0.3">
      <c r="G1099" t="s">
        <v>2564</v>
      </c>
    </row>
    <row r="1100" spans="7:7" x14ac:dyDescent="0.3">
      <c r="G1100" t="s">
        <v>2565</v>
      </c>
    </row>
    <row r="1101" spans="7:7" x14ac:dyDescent="0.3">
      <c r="G1101" t="s">
        <v>2566</v>
      </c>
    </row>
    <row r="1102" spans="7:7" x14ac:dyDescent="0.3">
      <c r="G1102" t="s">
        <v>2567</v>
      </c>
    </row>
    <row r="1103" spans="7:7" x14ac:dyDescent="0.3">
      <c r="G1103" t="s">
        <v>448</v>
      </c>
    </row>
    <row r="1104" spans="7:7" x14ac:dyDescent="0.3">
      <c r="G1104" t="s">
        <v>393</v>
      </c>
    </row>
    <row r="1105" spans="7:7" x14ac:dyDescent="0.3">
      <c r="G1105" t="s">
        <v>470</v>
      </c>
    </row>
    <row r="1106" spans="7:7" x14ac:dyDescent="0.3">
      <c r="G1106" t="s">
        <v>471</v>
      </c>
    </row>
    <row r="1107" spans="7:7" x14ac:dyDescent="0.3">
      <c r="G1107" t="s">
        <v>2568</v>
      </c>
    </row>
    <row r="1108" spans="7:7" x14ac:dyDescent="0.3">
      <c r="G1108" t="s">
        <v>473</v>
      </c>
    </row>
    <row r="1109" spans="7:7" x14ac:dyDescent="0.3">
      <c r="G1109" t="s">
        <v>474</v>
      </c>
    </row>
    <row r="1110" spans="7:7" x14ac:dyDescent="0.3">
      <c r="G1110" t="s">
        <v>2199</v>
      </c>
    </row>
    <row r="1111" spans="7:7" x14ac:dyDescent="0.3">
      <c r="G1111" t="s">
        <v>2569</v>
      </c>
    </row>
    <row r="1112" spans="7:7" x14ac:dyDescent="0.3">
      <c r="G1112" t="s">
        <v>473</v>
      </c>
    </row>
    <row r="1113" spans="7:7" x14ac:dyDescent="0.3">
      <c r="G1113" t="s">
        <v>474</v>
      </c>
    </row>
    <row r="1114" spans="7:7" x14ac:dyDescent="0.3">
      <c r="G1114" t="s">
        <v>475</v>
      </c>
    </row>
    <row r="1115" spans="7:7" x14ac:dyDescent="0.3">
      <c r="G1115" t="s">
        <v>2570</v>
      </c>
    </row>
    <row r="1116" spans="7:7" x14ac:dyDescent="0.3">
      <c r="G1116" t="s">
        <v>473</v>
      </c>
    </row>
    <row r="1117" spans="7:7" x14ac:dyDescent="0.3">
      <c r="G1117" t="s">
        <v>474</v>
      </c>
    </row>
    <row r="1118" spans="7:7" x14ac:dyDescent="0.3">
      <c r="G1118" t="s">
        <v>2203</v>
      </c>
    </row>
    <row r="1119" spans="7:7" x14ac:dyDescent="0.3">
      <c r="G1119" t="s">
        <v>2571</v>
      </c>
    </row>
    <row r="1120" spans="7:7" x14ac:dyDescent="0.3">
      <c r="G1120" t="s">
        <v>473</v>
      </c>
    </row>
    <row r="1121" spans="7:7" x14ac:dyDescent="0.3">
      <c r="G1121" t="s">
        <v>474</v>
      </c>
    </row>
    <row r="1122" spans="7:7" x14ac:dyDescent="0.3">
      <c r="G1122" t="s">
        <v>481</v>
      </c>
    </row>
    <row r="1123" spans="7:7" x14ac:dyDescent="0.3">
      <c r="G1123" t="s">
        <v>2572</v>
      </c>
    </row>
    <row r="1124" spans="7:7" x14ac:dyDescent="0.3">
      <c r="G1124" t="s">
        <v>473</v>
      </c>
    </row>
    <row r="1125" spans="7:7" x14ac:dyDescent="0.3">
      <c r="G1125" t="s">
        <v>448</v>
      </c>
    </row>
    <row r="1126" spans="7:7" x14ac:dyDescent="0.3">
      <c r="G1126" t="s">
        <v>409</v>
      </c>
    </row>
    <row r="1127" spans="7:7" x14ac:dyDescent="0.3">
      <c r="G1127" t="s">
        <v>177</v>
      </c>
    </row>
    <row r="1128" spans="7:7" x14ac:dyDescent="0.3">
      <c r="G1128" t="s">
        <v>436</v>
      </c>
    </row>
    <row r="1129" spans="7:7" x14ac:dyDescent="0.3">
      <c r="G1129" t="s">
        <v>437</v>
      </c>
    </row>
    <row r="1130" spans="7:7" x14ac:dyDescent="0.3">
      <c r="G1130" t="s">
        <v>438</v>
      </c>
    </row>
    <row r="1131" spans="7:7" x14ac:dyDescent="0.3">
      <c r="G1131" t="s">
        <v>439</v>
      </c>
    </row>
    <row r="1132" spans="7:7" x14ac:dyDescent="0.3">
      <c r="G1132" t="s">
        <v>440</v>
      </c>
    </row>
    <row r="1133" spans="7:7" x14ac:dyDescent="0.3">
      <c r="G1133" t="s">
        <v>2179</v>
      </c>
    </row>
    <row r="1134" spans="7:7" x14ac:dyDescent="0.3">
      <c r="G1134" t="s">
        <v>2573</v>
      </c>
    </row>
    <row r="1135" spans="7:7" x14ac:dyDescent="0.3">
      <c r="G1135" t="s">
        <v>441</v>
      </c>
    </row>
    <row r="1136" spans="7:7" x14ac:dyDescent="0.3">
      <c r="G1136" t="s">
        <v>2574</v>
      </c>
    </row>
    <row r="1137" spans="7:7" x14ac:dyDescent="0.3">
      <c r="G1137" t="s">
        <v>2575</v>
      </c>
    </row>
    <row r="1138" spans="7:7" x14ac:dyDescent="0.3">
      <c r="G1138" t="s">
        <v>703</v>
      </c>
    </row>
    <row r="1139" spans="7:7" x14ac:dyDescent="0.3">
      <c r="G1139" t="s">
        <v>2183</v>
      </c>
    </row>
    <row r="1140" spans="7:7" x14ac:dyDescent="0.3">
      <c r="G1140" t="s">
        <v>448</v>
      </c>
    </row>
    <row r="1141" spans="7:7" x14ac:dyDescent="0.3">
      <c r="G1141" t="s">
        <v>393</v>
      </c>
    </row>
    <row r="1142" spans="7:7" x14ac:dyDescent="0.3">
      <c r="G1142" t="s">
        <v>449</v>
      </c>
    </row>
    <row r="1143" spans="7:7" x14ac:dyDescent="0.3">
      <c r="G1143" t="s">
        <v>450</v>
      </c>
    </row>
    <row r="1144" spans="7:7" x14ac:dyDescent="0.3">
      <c r="G1144" t="s">
        <v>451</v>
      </c>
    </row>
    <row r="1145" spans="7:7" x14ac:dyDescent="0.3">
      <c r="G1145" t="s">
        <v>452</v>
      </c>
    </row>
    <row r="1146" spans="7:7" x14ac:dyDescent="0.3">
      <c r="G1146" t="s">
        <v>2576</v>
      </c>
    </row>
    <row r="1147" spans="7:7" x14ac:dyDescent="0.3">
      <c r="G1147" t="s">
        <v>2577</v>
      </c>
    </row>
    <row r="1148" spans="7:7" x14ac:dyDescent="0.3">
      <c r="G1148" t="s">
        <v>2578</v>
      </c>
    </row>
    <row r="1149" spans="7:7" x14ac:dyDescent="0.3">
      <c r="G1149" t="s">
        <v>2579</v>
      </c>
    </row>
    <row r="1150" spans="7:7" x14ac:dyDescent="0.3">
      <c r="G1150" t="s">
        <v>2580</v>
      </c>
    </row>
    <row r="1151" spans="7:7" x14ac:dyDescent="0.3">
      <c r="G1151" t="s">
        <v>2581</v>
      </c>
    </row>
    <row r="1152" spans="7:7" x14ac:dyDescent="0.3">
      <c r="G1152" t="s">
        <v>2582</v>
      </c>
    </row>
    <row r="1153" spans="7:7" x14ac:dyDescent="0.3">
      <c r="G1153" t="s">
        <v>2583</v>
      </c>
    </row>
    <row r="1154" spans="7:7" x14ac:dyDescent="0.3">
      <c r="G1154" t="s">
        <v>2584</v>
      </c>
    </row>
    <row r="1155" spans="7:7" x14ac:dyDescent="0.3">
      <c r="G1155" t="s">
        <v>2585</v>
      </c>
    </row>
    <row r="1156" spans="7:7" x14ac:dyDescent="0.3">
      <c r="G1156" t="s">
        <v>448</v>
      </c>
    </row>
    <row r="1157" spans="7:7" x14ac:dyDescent="0.3">
      <c r="G1157" t="s">
        <v>393</v>
      </c>
    </row>
    <row r="1158" spans="7:7" x14ac:dyDescent="0.3">
      <c r="G1158" t="s">
        <v>463</v>
      </c>
    </row>
    <row r="1159" spans="7:7" x14ac:dyDescent="0.3">
      <c r="G1159" t="s">
        <v>464</v>
      </c>
    </row>
    <row r="1160" spans="7:7" x14ac:dyDescent="0.3">
      <c r="G1160" t="s">
        <v>2586</v>
      </c>
    </row>
    <row r="1161" spans="7:7" x14ac:dyDescent="0.3">
      <c r="G1161" t="s">
        <v>2587</v>
      </c>
    </row>
    <row r="1162" spans="7:7" x14ac:dyDescent="0.3">
      <c r="G1162" t="s">
        <v>2588</v>
      </c>
    </row>
    <row r="1163" spans="7:7" x14ac:dyDescent="0.3">
      <c r="G1163" t="s">
        <v>2589</v>
      </c>
    </row>
    <row r="1164" spans="7:7" x14ac:dyDescent="0.3">
      <c r="G1164" t="s">
        <v>2590</v>
      </c>
    </row>
    <row r="1165" spans="7:7" x14ac:dyDescent="0.3">
      <c r="G1165" t="s">
        <v>448</v>
      </c>
    </row>
    <row r="1166" spans="7:7" x14ac:dyDescent="0.3">
      <c r="G1166" t="s">
        <v>393</v>
      </c>
    </row>
    <row r="1167" spans="7:7" x14ac:dyDescent="0.3">
      <c r="G1167" t="s">
        <v>470</v>
      </c>
    </row>
    <row r="1168" spans="7:7" x14ac:dyDescent="0.3">
      <c r="G1168" t="s">
        <v>671</v>
      </c>
    </row>
    <row r="1169" spans="7:7" x14ac:dyDescent="0.3">
      <c r="G1169" t="s">
        <v>2591</v>
      </c>
    </row>
    <row r="1170" spans="7:7" x14ac:dyDescent="0.3">
      <c r="G1170" t="s">
        <v>473</v>
      </c>
    </row>
    <row r="1171" spans="7:7" x14ac:dyDescent="0.3">
      <c r="G1171" t="s">
        <v>474</v>
      </c>
    </row>
    <row r="1172" spans="7:7" x14ac:dyDescent="0.3">
      <c r="G1172" t="s">
        <v>481</v>
      </c>
    </row>
    <row r="1173" spans="7:7" x14ac:dyDescent="0.3">
      <c r="G1173" t="s">
        <v>2592</v>
      </c>
    </row>
    <row r="1174" spans="7:7" x14ac:dyDescent="0.3">
      <c r="G1174" t="s">
        <v>473</v>
      </c>
    </row>
    <row r="1175" spans="7:7" x14ac:dyDescent="0.3">
      <c r="G1175" t="s">
        <v>474</v>
      </c>
    </row>
    <row r="1176" spans="7:7" x14ac:dyDescent="0.3">
      <c r="G1176" t="s">
        <v>2203</v>
      </c>
    </row>
    <row r="1177" spans="7:7" x14ac:dyDescent="0.3">
      <c r="G1177" t="s">
        <v>2593</v>
      </c>
    </row>
    <row r="1178" spans="7:7" x14ac:dyDescent="0.3">
      <c r="G1178" t="s">
        <v>473</v>
      </c>
    </row>
    <row r="1179" spans="7:7" x14ac:dyDescent="0.3">
      <c r="G1179" t="s">
        <v>474</v>
      </c>
    </row>
    <row r="1180" spans="7:7" x14ac:dyDescent="0.3">
      <c r="G1180" t="s">
        <v>471</v>
      </c>
    </row>
    <row r="1181" spans="7:7" x14ac:dyDescent="0.3">
      <c r="G1181" t="s">
        <v>2594</v>
      </c>
    </row>
    <row r="1182" spans="7:7" x14ac:dyDescent="0.3">
      <c r="G1182" t="s">
        <v>473</v>
      </c>
    </row>
    <row r="1183" spans="7:7" x14ac:dyDescent="0.3">
      <c r="G1183" t="s">
        <v>474</v>
      </c>
    </row>
    <row r="1184" spans="7:7" x14ac:dyDescent="0.3">
      <c r="G1184" t="s">
        <v>2199</v>
      </c>
    </row>
    <row r="1185" spans="7:7" x14ac:dyDescent="0.3">
      <c r="G1185" t="s">
        <v>2595</v>
      </c>
    </row>
    <row r="1186" spans="7:7" x14ac:dyDescent="0.3">
      <c r="G1186" t="s">
        <v>473</v>
      </c>
    </row>
    <row r="1187" spans="7:7" x14ac:dyDescent="0.3">
      <c r="G1187" t="s">
        <v>448</v>
      </c>
    </row>
    <row r="1188" spans="7:7" x14ac:dyDescent="0.3">
      <c r="G1188" t="s">
        <v>409</v>
      </c>
    </row>
    <row r="1189" spans="7:7" x14ac:dyDescent="0.3">
      <c r="G1189" t="s">
        <v>177</v>
      </c>
    </row>
    <row r="1190" spans="7:7" x14ac:dyDescent="0.3">
      <c r="G1190" t="s">
        <v>436</v>
      </c>
    </row>
    <row r="1191" spans="7:7" x14ac:dyDescent="0.3">
      <c r="G1191" t="s">
        <v>437</v>
      </c>
    </row>
    <row r="1192" spans="7:7" x14ac:dyDescent="0.3">
      <c r="G1192" t="s">
        <v>438</v>
      </c>
    </row>
    <row r="1193" spans="7:7" x14ac:dyDescent="0.3">
      <c r="G1193" t="s">
        <v>439</v>
      </c>
    </row>
    <row r="1194" spans="7:7" x14ac:dyDescent="0.3">
      <c r="G1194" t="s">
        <v>440</v>
      </c>
    </row>
    <row r="1195" spans="7:7" x14ac:dyDescent="0.3">
      <c r="G1195" t="s">
        <v>2596</v>
      </c>
    </row>
    <row r="1196" spans="7:7" x14ac:dyDescent="0.3">
      <c r="G1196" t="s">
        <v>2597</v>
      </c>
    </row>
    <row r="1197" spans="7:7" x14ac:dyDescent="0.3">
      <c r="G1197" t="s">
        <v>2179</v>
      </c>
    </row>
    <row r="1198" spans="7:7" x14ac:dyDescent="0.3">
      <c r="G1198" t="s">
        <v>441</v>
      </c>
    </row>
    <row r="1199" spans="7:7" x14ac:dyDescent="0.3">
      <c r="G1199" t="s">
        <v>2598</v>
      </c>
    </row>
    <row r="1200" spans="7:7" x14ac:dyDescent="0.3">
      <c r="G1200" t="s">
        <v>486</v>
      </c>
    </row>
    <row r="1201" spans="7:7" x14ac:dyDescent="0.3">
      <c r="G1201" t="s">
        <v>2183</v>
      </c>
    </row>
    <row r="1202" spans="7:7" x14ac:dyDescent="0.3">
      <c r="G1202" t="s">
        <v>448</v>
      </c>
    </row>
    <row r="1203" spans="7:7" x14ac:dyDescent="0.3">
      <c r="G1203" t="s">
        <v>393</v>
      </c>
    </row>
    <row r="1204" spans="7:7" x14ac:dyDescent="0.3">
      <c r="G1204" t="s">
        <v>449</v>
      </c>
    </row>
    <row r="1205" spans="7:7" x14ac:dyDescent="0.3">
      <c r="G1205" t="s">
        <v>450</v>
      </c>
    </row>
    <row r="1206" spans="7:7" x14ac:dyDescent="0.3">
      <c r="G1206" t="s">
        <v>451</v>
      </c>
    </row>
    <row r="1207" spans="7:7" x14ac:dyDescent="0.3">
      <c r="G1207" t="s">
        <v>452</v>
      </c>
    </row>
    <row r="1208" spans="7:7" x14ac:dyDescent="0.3">
      <c r="G1208" t="s">
        <v>2599</v>
      </c>
    </row>
    <row r="1209" spans="7:7" x14ac:dyDescent="0.3">
      <c r="G1209" t="s">
        <v>2600</v>
      </c>
    </row>
    <row r="1210" spans="7:7" x14ac:dyDescent="0.3">
      <c r="G1210" t="s">
        <v>2601</v>
      </c>
    </row>
    <row r="1211" spans="7:7" x14ac:dyDescent="0.3">
      <c r="G1211" t="s">
        <v>2602</v>
      </c>
    </row>
    <row r="1212" spans="7:7" x14ac:dyDescent="0.3">
      <c r="G1212" t="s">
        <v>2603</v>
      </c>
    </row>
    <row r="1213" spans="7:7" x14ac:dyDescent="0.3">
      <c r="G1213" t="s">
        <v>2604</v>
      </c>
    </row>
    <row r="1214" spans="7:7" x14ac:dyDescent="0.3">
      <c r="G1214" t="s">
        <v>2605</v>
      </c>
    </row>
    <row r="1215" spans="7:7" x14ac:dyDescent="0.3">
      <c r="G1215" t="s">
        <v>2606</v>
      </c>
    </row>
    <row r="1216" spans="7:7" x14ac:dyDescent="0.3">
      <c r="G1216" t="s">
        <v>2607</v>
      </c>
    </row>
    <row r="1217" spans="7:7" x14ac:dyDescent="0.3">
      <c r="G1217" t="s">
        <v>2608</v>
      </c>
    </row>
    <row r="1218" spans="7:7" x14ac:dyDescent="0.3">
      <c r="G1218" t="s">
        <v>448</v>
      </c>
    </row>
    <row r="1219" spans="7:7" x14ac:dyDescent="0.3">
      <c r="G1219" t="s">
        <v>393</v>
      </c>
    </row>
    <row r="1220" spans="7:7" x14ac:dyDescent="0.3">
      <c r="G1220" t="s">
        <v>463</v>
      </c>
    </row>
    <row r="1221" spans="7:7" x14ac:dyDescent="0.3">
      <c r="G1221" t="s">
        <v>464</v>
      </c>
    </row>
    <row r="1222" spans="7:7" x14ac:dyDescent="0.3">
      <c r="G1222" t="s">
        <v>2609</v>
      </c>
    </row>
    <row r="1223" spans="7:7" x14ac:dyDescent="0.3">
      <c r="G1223" t="s">
        <v>2610</v>
      </c>
    </row>
    <row r="1224" spans="7:7" x14ac:dyDescent="0.3">
      <c r="G1224" t="s">
        <v>2611</v>
      </c>
    </row>
    <row r="1225" spans="7:7" x14ac:dyDescent="0.3">
      <c r="G1225" t="s">
        <v>2612</v>
      </c>
    </row>
    <row r="1226" spans="7:7" x14ac:dyDescent="0.3">
      <c r="G1226" t="s">
        <v>2613</v>
      </c>
    </row>
    <row r="1227" spans="7:7" x14ac:dyDescent="0.3">
      <c r="G1227" t="s">
        <v>448</v>
      </c>
    </row>
    <row r="1228" spans="7:7" x14ac:dyDescent="0.3">
      <c r="G1228" t="s">
        <v>393</v>
      </c>
    </row>
    <row r="1229" spans="7:7" x14ac:dyDescent="0.3">
      <c r="G1229" t="s">
        <v>470</v>
      </c>
    </row>
    <row r="1230" spans="7:7" x14ac:dyDescent="0.3">
      <c r="G1230" t="s">
        <v>504</v>
      </c>
    </row>
    <row r="1231" spans="7:7" x14ac:dyDescent="0.3">
      <c r="G1231" t="s">
        <v>2614</v>
      </c>
    </row>
    <row r="1232" spans="7:7" x14ac:dyDescent="0.3">
      <c r="G1232" t="s">
        <v>473</v>
      </c>
    </row>
    <row r="1233" spans="7:7" x14ac:dyDescent="0.3">
      <c r="G1233" t="s">
        <v>474</v>
      </c>
    </row>
    <row r="1234" spans="7:7" x14ac:dyDescent="0.3">
      <c r="G1234" t="s">
        <v>471</v>
      </c>
    </row>
    <row r="1235" spans="7:7" x14ac:dyDescent="0.3">
      <c r="G1235" t="s">
        <v>2615</v>
      </c>
    </row>
    <row r="1236" spans="7:7" x14ac:dyDescent="0.3">
      <c r="G1236" t="s">
        <v>473</v>
      </c>
    </row>
    <row r="1237" spans="7:7" x14ac:dyDescent="0.3">
      <c r="G1237" t="s">
        <v>474</v>
      </c>
    </row>
    <row r="1238" spans="7:7" x14ac:dyDescent="0.3">
      <c r="G1238" t="s">
        <v>2199</v>
      </c>
    </row>
    <row r="1239" spans="7:7" x14ac:dyDescent="0.3">
      <c r="G1239" t="s">
        <v>2616</v>
      </c>
    </row>
    <row r="1240" spans="7:7" x14ac:dyDescent="0.3">
      <c r="G1240" t="s">
        <v>473</v>
      </c>
    </row>
    <row r="1241" spans="7:7" x14ac:dyDescent="0.3">
      <c r="G1241" t="s">
        <v>474</v>
      </c>
    </row>
    <row r="1242" spans="7:7" x14ac:dyDescent="0.3">
      <c r="G1242" t="s">
        <v>481</v>
      </c>
    </row>
    <row r="1243" spans="7:7" x14ac:dyDescent="0.3">
      <c r="G1243" t="s">
        <v>2617</v>
      </c>
    </row>
    <row r="1244" spans="7:7" x14ac:dyDescent="0.3">
      <c r="G1244" t="s">
        <v>473</v>
      </c>
    </row>
    <row r="1245" spans="7:7" x14ac:dyDescent="0.3">
      <c r="G1245" t="s">
        <v>474</v>
      </c>
    </row>
    <row r="1246" spans="7:7" x14ac:dyDescent="0.3">
      <c r="G1246" t="s">
        <v>2203</v>
      </c>
    </row>
    <row r="1247" spans="7:7" x14ac:dyDescent="0.3">
      <c r="G1247" t="s">
        <v>2618</v>
      </c>
    </row>
    <row r="1248" spans="7:7" x14ac:dyDescent="0.3">
      <c r="G1248" t="s">
        <v>473</v>
      </c>
    </row>
    <row r="1249" spans="7:7" x14ac:dyDescent="0.3">
      <c r="G1249" t="s">
        <v>448</v>
      </c>
    </row>
    <row r="1250" spans="7:7" x14ac:dyDescent="0.3">
      <c r="G1250" t="s">
        <v>409</v>
      </c>
    </row>
    <row r="1251" spans="7:7" x14ac:dyDescent="0.3">
      <c r="G1251" t="s">
        <v>177</v>
      </c>
    </row>
    <row r="1252" spans="7:7" x14ac:dyDescent="0.3">
      <c r="G1252" t="s">
        <v>436</v>
      </c>
    </row>
    <row r="1253" spans="7:7" x14ac:dyDescent="0.3">
      <c r="G1253" t="s">
        <v>437</v>
      </c>
    </row>
    <row r="1254" spans="7:7" x14ac:dyDescent="0.3">
      <c r="G1254" t="s">
        <v>438</v>
      </c>
    </row>
    <row r="1255" spans="7:7" x14ac:dyDescent="0.3">
      <c r="G1255" t="s">
        <v>439</v>
      </c>
    </row>
    <row r="1256" spans="7:7" x14ac:dyDescent="0.3">
      <c r="G1256" t="s">
        <v>440</v>
      </c>
    </row>
    <row r="1257" spans="7:7" x14ac:dyDescent="0.3">
      <c r="G1257" t="s">
        <v>2619</v>
      </c>
    </row>
    <row r="1258" spans="7:7" x14ac:dyDescent="0.3">
      <c r="G1258" t="s">
        <v>441</v>
      </c>
    </row>
    <row r="1259" spans="7:7" x14ac:dyDescent="0.3">
      <c r="G1259" t="s">
        <v>2620</v>
      </c>
    </row>
    <row r="1260" spans="7:7" x14ac:dyDescent="0.3">
      <c r="G1260" t="s">
        <v>445</v>
      </c>
    </row>
    <row r="1261" spans="7:7" x14ac:dyDescent="0.3">
      <c r="G1261" t="s">
        <v>2621</v>
      </c>
    </row>
    <row r="1262" spans="7:7" x14ac:dyDescent="0.3">
      <c r="G1262" t="s">
        <v>2322</v>
      </c>
    </row>
    <row r="1263" spans="7:7" x14ac:dyDescent="0.3">
      <c r="G1263" t="s">
        <v>2183</v>
      </c>
    </row>
    <row r="1264" spans="7:7" x14ac:dyDescent="0.3">
      <c r="G1264" t="s">
        <v>448</v>
      </c>
    </row>
    <row r="1265" spans="7:7" x14ac:dyDescent="0.3">
      <c r="G1265" t="s">
        <v>393</v>
      </c>
    </row>
    <row r="1266" spans="7:7" x14ac:dyDescent="0.3">
      <c r="G1266" t="s">
        <v>449</v>
      </c>
    </row>
    <row r="1267" spans="7:7" x14ac:dyDescent="0.3">
      <c r="G1267" t="s">
        <v>450</v>
      </c>
    </row>
    <row r="1268" spans="7:7" x14ac:dyDescent="0.3">
      <c r="G1268" t="s">
        <v>451</v>
      </c>
    </row>
    <row r="1269" spans="7:7" x14ac:dyDescent="0.3">
      <c r="G1269" t="s">
        <v>452</v>
      </c>
    </row>
    <row r="1270" spans="7:7" x14ac:dyDescent="0.3">
      <c r="G1270" t="s">
        <v>2622</v>
      </c>
    </row>
    <row r="1271" spans="7:7" x14ac:dyDescent="0.3">
      <c r="G1271" t="s">
        <v>2623</v>
      </c>
    </row>
    <row r="1272" spans="7:7" x14ac:dyDescent="0.3">
      <c r="G1272" t="s">
        <v>2624</v>
      </c>
    </row>
    <row r="1273" spans="7:7" x14ac:dyDescent="0.3">
      <c r="G1273" t="s">
        <v>2625</v>
      </c>
    </row>
    <row r="1274" spans="7:7" x14ac:dyDescent="0.3">
      <c r="G1274" t="s">
        <v>2626</v>
      </c>
    </row>
    <row r="1275" spans="7:7" x14ac:dyDescent="0.3">
      <c r="G1275" t="s">
        <v>2627</v>
      </c>
    </row>
    <row r="1276" spans="7:7" x14ac:dyDescent="0.3">
      <c r="G1276" t="s">
        <v>2628</v>
      </c>
    </row>
    <row r="1277" spans="7:7" x14ac:dyDescent="0.3">
      <c r="G1277" t="s">
        <v>2629</v>
      </c>
    </row>
    <row r="1278" spans="7:7" x14ac:dyDescent="0.3">
      <c r="G1278" t="s">
        <v>2630</v>
      </c>
    </row>
    <row r="1279" spans="7:7" x14ac:dyDescent="0.3">
      <c r="G1279" t="s">
        <v>2631</v>
      </c>
    </row>
    <row r="1280" spans="7:7" x14ac:dyDescent="0.3">
      <c r="G1280" t="s">
        <v>448</v>
      </c>
    </row>
    <row r="1281" spans="7:7" x14ac:dyDescent="0.3">
      <c r="G1281" t="s">
        <v>393</v>
      </c>
    </row>
    <row r="1282" spans="7:7" x14ac:dyDescent="0.3">
      <c r="G1282" t="s">
        <v>463</v>
      </c>
    </row>
    <row r="1283" spans="7:7" x14ac:dyDescent="0.3">
      <c r="G1283" t="s">
        <v>464</v>
      </c>
    </row>
    <row r="1284" spans="7:7" x14ac:dyDescent="0.3">
      <c r="G1284" t="s">
        <v>2632</v>
      </c>
    </row>
    <row r="1285" spans="7:7" x14ac:dyDescent="0.3">
      <c r="G1285" t="s">
        <v>2633</v>
      </c>
    </row>
    <row r="1286" spans="7:7" x14ac:dyDescent="0.3">
      <c r="G1286" t="s">
        <v>2634</v>
      </c>
    </row>
    <row r="1287" spans="7:7" x14ac:dyDescent="0.3">
      <c r="G1287" t="s">
        <v>2635</v>
      </c>
    </row>
    <row r="1288" spans="7:7" x14ac:dyDescent="0.3">
      <c r="G1288" t="s">
        <v>2636</v>
      </c>
    </row>
    <row r="1289" spans="7:7" x14ac:dyDescent="0.3">
      <c r="G1289" t="s">
        <v>448</v>
      </c>
    </row>
    <row r="1290" spans="7:7" x14ac:dyDescent="0.3">
      <c r="G1290" t="s">
        <v>393</v>
      </c>
    </row>
    <row r="1291" spans="7:7" x14ac:dyDescent="0.3">
      <c r="G1291" t="s">
        <v>470</v>
      </c>
    </row>
    <row r="1292" spans="7:7" x14ac:dyDescent="0.3">
      <c r="G1292" t="s">
        <v>471</v>
      </c>
    </row>
    <row r="1293" spans="7:7" x14ac:dyDescent="0.3">
      <c r="G1293" t="s">
        <v>2637</v>
      </c>
    </row>
    <row r="1294" spans="7:7" x14ac:dyDescent="0.3">
      <c r="G1294" t="s">
        <v>473</v>
      </c>
    </row>
    <row r="1295" spans="7:7" x14ac:dyDescent="0.3">
      <c r="G1295" t="s">
        <v>474</v>
      </c>
    </row>
    <row r="1296" spans="7:7" x14ac:dyDescent="0.3">
      <c r="G1296" t="s">
        <v>475</v>
      </c>
    </row>
    <row r="1297" spans="7:7" x14ac:dyDescent="0.3">
      <c r="G1297" t="s">
        <v>2638</v>
      </c>
    </row>
    <row r="1298" spans="7:7" x14ac:dyDescent="0.3">
      <c r="G1298" t="s">
        <v>473</v>
      </c>
    </row>
    <row r="1299" spans="7:7" x14ac:dyDescent="0.3">
      <c r="G1299" t="s">
        <v>474</v>
      </c>
    </row>
    <row r="1300" spans="7:7" x14ac:dyDescent="0.3">
      <c r="G1300" t="s">
        <v>2341</v>
      </c>
    </row>
    <row r="1301" spans="7:7" x14ac:dyDescent="0.3">
      <c r="G1301" t="s">
        <v>2639</v>
      </c>
    </row>
    <row r="1302" spans="7:7" x14ac:dyDescent="0.3">
      <c r="G1302" t="s">
        <v>473</v>
      </c>
    </row>
    <row r="1303" spans="7:7" x14ac:dyDescent="0.3">
      <c r="G1303" t="s">
        <v>474</v>
      </c>
    </row>
    <row r="1304" spans="7:7" x14ac:dyDescent="0.3">
      <c r="G1304" t="s">
        <v>2203</v>
      </c>
    </row>
    <row r="1305" spans="7:7" x14ac:dyDescent="0.3">
      <c r="G1305" t="s">
        <v>2640</v>
      </c>
    </row>
    <row r="1306" spans="7:7" x14ac:dyDescent="0.3">
      <c r="G1306" t="s">
        <v>473</v>
      </c>
    </row>
    <row r="1307" spans="7:7" x14ac:dyDescent="0.3">
      <c r="G1307" t="s">
        <v>474</v>
      </c>
    </row>
    <row r="1308" spans="7:7" x14ac:dyDescent="0.3">
      <c r="G1308" t="s">
        <v>481</v>
      </c>
    </row>
    <row r="1309" spans="7:7" x14ac:dyDescent="0.3">
      <c r="G1309" t="s">
        <v>2641</v>
      </c>
    </row>
    <row r="1310" spans="7:7" x14ac:dyDescent="0.3">
      <c r="G1310" t="s">
        <v>473</v>
      </c>
    </row>
    <row r="1311" spans="7:7" x14ac:dyDescent="0.3">
      <c r="G1311" t="s">
        <v>448</v>
      </c>
    </row>
    <row r="1312" spans="7:7" x14ac:dyDescent="0.3">
      <c r="G1312" t="s">
        <v>409</v>
      </c>
    </row>
    <row r="1313" spans="7:7" x14ac:dyDescent="0.3">
      <c r="G1313" t="s">
        <v>177</v>
      </c>
    </row>
    <row r="1314" spans="7:7" x14ac:dyDescent="0.3">
      <c r="G1314" t="s">
        <v>436</v>
      </c>
    </row>
    <row r="1315" spans="7:7" x14ac:dyDescent="0.3">
      <c r="G1315" t="s">
        <v>437</v>
      </c>
    </row>
    <row r="1316" spans="7:7" x14ac:dyDescent="0.3">
      <c r="G1316" t="s">
        <v>438</v>
      </c>
    </row>
    <row r="1317" spans="7:7" x14ac:dyDescent="0.3">
      <c r="G1317" t="s">
        <v>439</v>
      </c>
    </row>
    <row r="1318" spans="7:7" x14ac:dyDescent="0.3">
      <c r="G1318" t="s">
        <v>440</v>
      </c>
    </row>
    <row r="1319" spans="7:7" x14ac:dyDescent="0.3">
      <c r="G1319" t="s">
        <v>2179</v>
      </c>
    </row>
    <row r="1320" spans="7:7" x14ac:dyDescent="0.3">
      <c r="G1320" t="s">
        <v>2642</v>
      </c>
    </row>
    <row r="1321" spans="7:7" x14ac:dyDescent="0.3">
      <c r="G1321" t="s">
        <v>441</v>
      </c>
    </row>
    <row r="1322" spans="7:7" x14ac:dyDescent="0.3">
      <c r="G1322" t="s">
        <v>445</v>
      </c>
    </row>
    <row r="1323" spans="7:7" x14ac:dyDescent="0.3">
      <c r="G1323" t="s">
        <v>2643</v>
      </c>
    </row>
    <row r="1324" spans="7:7" x14ac:dyDescent="0.3">
      <c r="G1324" t="s">
        <v>2644</v>
      </c>
    </row>
    <row r="1325" spans="7:7" x14ac:dyDescent="0.3">
      <c r="G1325" t="s">
        <v>2183</v>
      </c>
    </row>
    <row r="1326" spans="7:7" x14ac:dyDescent="0.3">
      <c r="G1326" t="s">
        <v>448</v>
      </c>
    </row>
    <row r="1327" spans="7:7" x14ac:dyDescent="0.3">
      <c r="G1327" t="s">
        <v>393</v>
      </c>
    </row>
    <row r="1328" spans="7:7" x14ac:dyDescent="0.3">
      <c r="G1328" t="s">
        <v>449</v>
      </c>
    </row>
    <row r="1329" spans="7:7" x14ac:dyDescent="0.3">
      <c r="G1329" t="s">
        <v>450</v>
      </c>
    </row>
    <row r="1330" spans="7:7" x14ac:dyDescent="0.3">
      <c r="G1330" t="s">
        <v>451</v>
      </c>
    </row>
    <row r="1331" spans="7:7" x14ac:dyDescent="0.3">
      <c r="G1331" t="s">
        <v>452</v>
      </c>
    </row>
    <row r="1332" spans="7:7" x14ac:dyDescent="0.3">
      <c r="G1332" t="s">
        <v>2645</v>
      </c>
    </row>
    <row r="1333" spans="7:7" x14ac:dyDescent="0.3">
      <c r="G1333" t="s">
        <v>2646</v>
      </c>
    </row>
    <row r="1334" spans="7:7" x14ac:dyDescent="0.3">
      <c r="G1334" t="s">
        <v>2647</v>
      </c>
    </row>
    <row r="1335" spans="7:7" x14ac:dyDescent="0.3">
      <c r="G1335" t="s">
        <v>2648</v>
      </c>
    </row>
    <row r="1336" spans="7:7" x14ac:dyDescent="0.3">
      <c r="G1336" t="s">
        <v>2649</v>
      </c>
    </row>
    <row r="1337" spans="7:7" x14ac:dyDescent="0.3">
      <c r="G1337" t="s">
        <v>2650</v>
      </c>
    </row>
    <row r="1338" spans="7:7" x14ac:dyDescent="0.3">
      <c r="G1338" t="s">
        <v>2651</v>
      </c>
    </row>
    <row r="1339" spans="7:7" x14ac:dyDescent="0.3">
      <c r="G1339" t="s">
        <v>2652</v>
      </c>
    </row>
    <row r="1340" spans="7:7" x14ac:dyDescent="0.3">
      <c r="G1340" t="s">
        <v>2653</v>
      </c>
    </row>
    <row r="1341" spans="7:7" x14ac:dyDescent="0.3">
      <c r="G1341" t="s">
        <v>2654</v>
      </c>
    </row>
    <row r="1342" spans="7:7" x14ac:dyDescent="0.3">
      <c r="G1342" t="s">
        <v>448</v>
      </c>
    </row>
    <row r="1343" spans="7:7" x14ac:dyDescent="0.3">
      <c r="G1343" t="s">
        <v>393</v>
      </c>
    </row>
    <row r="1344" spans="7:7" x14ac:dyDescent="0.3">
      <c r="G1344" t="s">
        <v>463</v>
      </c>
    </row>
    <row r="1345" spans="7:7" x14ac:dyDescent="0.3">
      <c r="G1345" t="s">
        <v>464</v>
      </c>
    </row>
    <row r="1346" spans="7:7" x14ac:dyDescent="0.3">
      <c r="G1346" t="s">
        <v>2655</v>
      </c>
    </row>
    <row r="1347" spans="7:7" x14ac:dyDescent="0.3">
      <c r="G1347" t="s">
        <v>2656</v>
      </c>
    </row>
    <row r="1348" spans="7:7" x14ac:dyDescent="0.3">
      <c r="G1348" t="s">
        <v>2657</v>
      </c>
    </row>
    <row r="1349" spans="7:7" x14ac:dyDescent="0.3">
      <c r="G1349" t="s">
        <v>2658</v>
      </c>
    </row>
    <row r="1350" spans="7:7" x14ac:dyDescent="0.3">
      <c r="G1350" t="s">
        <v>2659</v>
      </c>
    </row>
    <row r="1351" spans="7:7" x14ac:dyDescent="0.3">
      <c r="G1351" t="s">
        <v>448</v>
      </c>
    </row>
    <row r="1352" spans="7:7" x14ac:dyDescent="0.3">
      <c r="G1352" t="s">
        <v>393</v>
      </c>
    </row>
    <row r="1353" spans="7:7" x14ac:dyDescent="0.3">
      <c r="G1353" t="s">
        <v>470</v>
      </c>
    </row>
    <row r="1354" spans="7:7" x14ac:dyDescent="0.3">
      <c r="G1354" t="s">
        <v>471</v>
      </c>
    </row>
    <row r="1355" spans="7:7" x14ac:dyDescent="0.3">
      <c r="G1355" t="s">
        <v>2660</v>
      </c>
    </row>
    <row r="1356" spans="7:7" x14ac:dyDescent="0.3">
      <c r="G1356" t="s">
        <v>473</v>
      </c>
    </row>
    <row r="1357" spans="7:7" x14ac:dyDescent="0.3">
      <c r="G1357" t="s">
        <v>474</v>
      </c>
    </row>
    <row r="1358" spans="7:7" x14ac:dyDescent="0.3">
      <c r="G1358" t="s">
        <v>475</v>
      </c>
    </row>
    <row r="1359" spans="7:7" x14ac:dyDescent="0.3">
      <c r="G1359" t="s">
        <v>2661</v>
      </c>
    </row>
    <row r="1360" spans="7:7" x14ac:dyDescent="0.3">
      <c r="G1360" t="s">
        <v>473</v>
      </c>
    </row>
    <row r="1361" spans="7:7" x14ac:dyDescent="0.3">
      <c r="G1361" t="s">
        <v>474</v>
      </c>
    </row>
    <row r="1362" spans="7:7" x14ac:dyDescent="0.3">
      <c r="G1362" t="s">
        <v>2199</v>
      </c>
    </row>
    <row r="1363" spans="7:7" x14ac:dyDescent="0.3">
      <c r="G1363" t="s">
        <v>2662</v>
      </c>
    </row>
    <row r="1364" spans="7:7" x14ac:dyDescent="0.3">
      <c r="G1364" t="s">
        <v>473</v>
      </c>
    </row>
    <row r="1365" spans="7:7" x14ac:dyDescent="0.3">
      <c r="G1365" t="s">
        <v>474</v>
      </c>
    </row>
    <row r="1366" spans="7:7" x14ac:dyDescent="0.3">
      <c r="G1366" t="s">
        <v>2203</v>
      </c>
    </row>
    <row r="1367" spans="7:7" x14ac:dyDescent="0.3">
      <c r="G1367" t="s">
        <v>2663</v>
      </c>
    </row>
    <row r="1368" spans="7:7" x14ac:dyDescent="0.3">
      <c r="G1368" t="s">
        <v>473</v>
      </c>
    </row>
    <row r="1369" spans="7:7" x14ac:dyDescent="0.3">
      <c r="G1369" t="s">
        <v>474</v>
      </c>
    </row>
    <row r="1370" spans="7:7" x14ac:dyDescent="0.3">
      <c r="G1370" t="s">
        <v>481</v>
      </c>
    </row>
    <row r="1371" spans="7:7" x14ac:dyDescent="0.3">
      <c r="G1371" t="s">
        <v>2664</v>
      </c>
    </row>
    <row r="1372" spans="7:7" x14ac:dyDescent="0.3">
      <c r="G1372" t="s">
        <v>473</v>
      </c>
    </row>
    <row r="1373" spans="7:7" x14ac:dyDescent="0.3">
      <c r="G1373" t="s">
        <v>448</v>
      </c>
    </row>
    <row r="1374" spans="7:7" x14ac:dyDescent="0.3">
      <c r="G1374" t="s">
        <v>409</v>
      </c>
    </row>
    <row r="1375" spans="7:7" x14ac:dyDescent="0.3">
      <c r="G1375" t="s">
        <v>177</v>
      </c>
    </row>
    <row r="1376" spans="7:7" x14ac:dyDescent="0.3">
      <c r="G1376" t="s">
        <v>436</v>
      </c>
    </row>
    <row r="1377" spans="7:7" x14ac:dyDescent="0.3">
      <c r="G1377" t="s">
        <v>437</v>
      </c>
    </row>
    <row r="1378" spans="7:7" x14ac:dyDescent="0.3">
      <c r="G1378" t="s">
        <v>438</v>
      </c>
    </row>
    <row r="1379" spans="7:7" x14ac:dyDescent="0.3">
      <c r="G1379" t="s">
        <v>439</v>
      </c>
    </row>
    <row r="1380" spans="7:7" x14ac:dyDescent="0.3">
      <c r="G1380" t="s">
        <v>440</v>
      </c>
    </row>
    <row r="1381" spans="7:7" x14ac:dyDescent="0.3">
      <c r="G1381" t="s">
        <v>2179</v>
      </c>
    </row>
    <row r="1382" spans="7:7" x14ac:dyDescent="0.3">
      <c r="G1382" t="s">
        <v>441</v>
      </c>
    </row>
    <row r="1383" spans="7:7" x14ac:dyDescent="0.3">
      <c r="G1383" t="s">
        <v>2665</v>
      </c>
    </row>
    <row r="1384" spans="7:7" x14ac:dyDescent="0.3">
      <c r="G1384" t="s">
        <v>445</v>
      </c>
    </row>
    <row r="1385" spans="7:7" x14ac:dyDescent="0.3">
      <c r="G1385" t="s">
        <v>2666</v>
      </c>
    </row>
    <row r="1386" spans="7:7" x14ac:dyDescent="0.3">
      <c r="G1386" t="s">
        <v>2667</v>
      </c>
    </row>
    <row r="1387" spans="7:7" x14ac:dyDescent="0.3">
      <c r="G1387" t="s">
        <v>2183</v>
      </c>
    </row>
    <row r="1388" spans="7:7" x14ac:dyDescent="0.3">
      <c r="G1388" t="s">
        <v>448</v>
      </c>
    </row>
    <row r="1389" spans="7:7" x14ac:dyDescent="0.3">
      <c r="G1389" t="s">
        <v>393</v>
      </c>
    </row>
    <row r="1390" spans="7:7" x14ac:dyDescent="0.3">
      <c r="G1390" t="s">
        <v>449</v>
      </c>
    </row>
    <row r="1391" spans="7:7" x14ac:dyDescent="0.3">
      <c r="G1391" t="s">
        <v>488</v>
      </c>
    </row>
    <row r="1392" spans="7:7" x14ac:dyDescent="0.3">
      <c r="G1392" t="s">
        <v>451</v>
      </c>
    </row>
    <row r="1393" spans="7:7" x14ac:dyDescent="0.3">
      <c r="G1393" t="s">
        <v>452</v>
      </c>
    </row>
    <row r="1394" spans="7:7" x14ac:dyDescent="0.3">
      <c r="G1394" t="s">
        <v>2668</v>
      </c>
    </row>
    <row r="1395" spans="7:7" x14ac:dyDescent="0.3">
      <c r="G1395" t="s">
        <v>2669</v>
      </c>
    </row>
    <row r="1396" spans="7:7" x14ac:dyDescent="0.3">
      <c r="G1396" t="s">
        <v>2670</v>
      </c>
    </row>
    <row r="1397" spans="7:7" x14ac:dyDescent="0.3">
      <c r="G1397" t="s">
        <v>2671</v>
      </c>
    </row>
    <row r="1398" spans="7:7" x14ac:dyDescent="0.3">
      <c r="G1398" t="s">
        <v>2672</v>
      </c>
    </row>
    <row r="1399" spans="7:7" x14ac:dyDescent="0.3">
      <c r="G1399" t="s">
        <v>2673</v>
      </c>
    </row>
    <row r="1400" spans="7:7" x14ac:dyDescent="0.3">
      <c r="G1400" t="s">
        <v>2674</v>
      </c>
    </row>
    <row r="1401" spans="7:7" x14ac:dyDescent="0.3">
      <c r="G1401" t="s">
        <v>2675</v>
      </c>
    </row>
    <row r="1402" spans="7:7" x14ac:dyDescent="0.3">
      <c r="G1402" t="s">
        <v>2676</v>
      </c>
    </row>
    <row r="1403" spans="7:7" x14ac:dyDescent="0.3">
      <c r="G1403" t="s">
        <v>2677</v>
      </c>
    </row>
    <row r="1404" spans="7:7" x14ac:dyDescent="0.3">
      <c r="G1404" t="s">
        <v>448</v>
      </c>
    </row>
    <row r="1405" spans="7:7" x14ac:dyDescent="0.3">
      <c r="G1405" t="s">
        <v>393</v>
      </c>
    </row>
    <row r="1406" spans="7:7" x14ac:dyDescent="0.3">
      <c r="G1406" t="s">
        <v>463</v>
      </c>
    </row>
    <row r="1407" spans="7:7" x14ac:dyDescent="0.3">
      <c r="G1407" t="s">
        <v>464</v>
      </c>
    </row>
    <row r="1408" spans="7:7" x14ac:dyDescent="0.3">
      <c r="G1408" t="s">
        <v>2678</v>
      </c>
    </row>
    <row r="1409" spans="7:7" x14ac:dyDescent="0.3">
      <c r="G1409" t="s">
        <v>2679</v>
      </c>
    </row>
    <row r="1410" spans="7:7" x14ac:dyDescent="0.3">
      <c r="G1410" t="s">
        <v>2680</v>
      </c>
    </row>
    <row r="1411" spans="7:7" x14ac:dyDescent="0.3">
      <c r="G1411" t="s">
        <v>2681</v>
      </c>
    </row>
    <row r="1412" spans="7:7" x14ac:dyDescent="0.3">
      <c r="G1412" t="s">
        <v>2682</v>
      </c>
    </row>
    <row r="1413" spans="7:7" x14ac:dyDescent="0.3">
      <c r="G1413" t="s">
        <v>448</v>
      </c>
    </row>
    <row r="1414" spans="7:7" x14ac:dyDescent="0.3">
      <c r="G1414" t="s">
        <v>393</v>
      </c>
    </row>
    <row r="1415" spans="7:7" x14ac:dyDescent="0.3">
      <c r="G1415" t="s">
        <v>470</v>
      </c>
    </row>
    <row r="1416" spans="7:7" x14ac:dyDescent="0.3">
      <c r="G1416" t="s">
        <v>471</v>
      </c>
    </row>
    <row r="1417" spans="7:7" x14ac:dyDescent="0.3">
      <c r="G1417" t="s">
        <v>2683</v>
      </c>
    </row>
    <row r="1418" spans="7:7" x14ac:dyDescent="0.3">
      <c r="G1418" t="s">
        <v>473</v>
      </c>
    </row>
    <row r="1419" spans="7:7" x14ac:dyDescent="0.3">
      <c r="G1419" t="s">
        <v>474</v>
      </c>
    </row>
    <row r="1420" spans="7:7" x14ac:dyDescent="0.3">
      <c r="G1420" t="s">
        <v>475</v>
      </c>
    </row>
    <row r="1421" spans="7:7" x14ac:dyDescent="0.3">
      <c r="G1421" t="s">
        <v>2684</v>
      </c>
    </row>
    <row r="1422" spans="7:7" x14ac:dyDescent="0.3">
      <c r="G1422" t="s">
        <v>473</v>
      </c>
    </row>
    <row r="1423" spans="7:7" x14ac:dyDescent="0.3">
      <c r="G1423" t="s">
        <v>474</v>
      </c>
    </row>
    <row r="1424" spans="7:7" x14ac:dyDescent="0.3">
      <c r="G1424" t="s">
        <v>2199</v>
      </c>
    </row>
    <row r="1425" spans="7:7" x14ac:dyDescent="0.3">
      <c r="G1425" t="s">
        <v>2685</v>
      </c>
    </row>
    <row r="1426" spans="7:7" x14ac:dyDescent="0.3">
      <c r="G1426" t="s">
        <v>473</v>
      </c>
    </row>
    <row r="1427" spans="7:7" x14ac:dyDescent="0.3">
      <c r="G1427" t="s">
        <v>474</v>
      </c>
    </row>
    <row r="1428" spans="7:7" x14ac:dyDescent="0.3">
      <c r="G1428" t="s">
        <v>481</v>
      </c>
    </row>
    <row r="1429" spans="7:7" x14ac:dyDescent="0.3">
      <c r="G1429" t="s">
        <v>2686</v>
      </c>
    </row>
    <row r="1430" spans="7:7" x14ac:dyDescent="0.3">
      <c r="G1430" t="s">
        <v>473</v>
      </c>
    </row>
    <row r="1431" spans="7:7" x14ac:dyDescent="0.3">
      <c r="G1431" t="s">
        <v>474</v>
      </c>
    </row>
    <row r="1432" spans="7:7" x14ac:dyDescent="0.3">
      <c r="G1432" t="s">
        <v>2203</v>
      </c>
    </row>
    <row r="1433" spans="7:7" x14ac:dyDescent="0.3">
      <c r="G1433" t="s">
        <v>2687</v>
      </c>
    </row>
    <row r="1434" spans="7:7" x14ac:dyDescent="0.3">
      <c r="G1434" t="s">
        <v>473</v>
      </c>
    </row>
    <row r="1435" spans="7:7" x14ac:dyDescent="0.3">
      <c r="G1435" t="s">
        <v>448</v>
      </c>
    </row>
    <row r="1436" spans="7:7" x14ac:dyDescent="0.3">
      <c r="G1436" t="s">
        <v>409</v>
      </c>
    </row>
    <row r="1437" spans="7:7" x14ac:dyDescent="0.3">
      <c r="G1437" t="s">
        <v>177</v>
      </c>
    </row>
    <row r="1438" spans="7:7" x14ac:dyDescent="0.3">
      <c r="G1438" t="s">
        <v>436</v>
      </c>
    </row>
    <row r="1439" spans="7:7" x14ac:dyDescent="0.3">
      <c r="G1439" t="s">
        <v>437</v>
      </c>
    </row>
    <row r="1440" spans="7:7" x14ac:dyDescent="0.3">
      <c r="G1440" t="s">
        <v>438</v>
      </c>
    </row>
    <row r="1441" spans="7:7" x14ac:dyDescent="0.3">
      <c r="G1441" t="s">
        <v>439</v>
      </c>
    </row>
    <row r="1442" spans="7:7" x14ac:dyDescent="0.3">
      <c r="G1442" t="s">
        <v>441</v>
      </c>
    </row>
    <row r="1443" spans="7:7" x14ac:dyDescent="0.3">
      <c r="G1443" t="s">
        <v>2688</v>
      </c>
    </row>
    <row r="1444" spans="7:7" x14ac:dyDescent="0.3">
      <c r="G1444" t="s">
        <v>2689</v>
      </c>
    </row>
    <row r="1445" spans="7:7" x14ac:dyDescent="0.3">
      <c r="G1445" t="s">
        <v>2690</v>
      </c>
    </row>
    <row r="1446" spans="7:7" x14ac:dyDescent="0.3">
      <c r="G1446" t="s">
        <v>486</v>
      </c>
    </row>
    <row r="1447" spans="7:7" x14ac:dyDescent="0.3">
      <c r="G1447" t="s">
        <v>2322</v>
      </c>
    </row>
    <row r="1448" spans="7:7" x14ac:dyDescent="0.3">
      <c r="G1448" t="s">
        <v>936</v>
      </c>
    </row>
    <row r="1449" spans="7:7" x14ac:dyDescent="0.3">
      <c r="G1449" t="s">
        <v>2183</v>
      </c>
    </row>
    <row r="1450" spans="7:7" x14ac:dyDescent="0.3">
      <c r="G1450" t="s">
        <v>448</v>
      </c>
    </row>
    <row r="1451" spans="7:7" x14ac:dyDescent="0.3">
      <c r="G1451" t="s">
        <v>393</v>
      </c>
    </row>
    <row r="1452" spans="7:7" x14ac:dyDescent="0.3">
      <c r="G1452" t="s">
        <v>449</v>
      </c>
    </row>
    <row r="1453" spans="7:7" x14ac:dyDescent="0.3">
      <c r="G1453" t="s">
        <v>450</v>
      </c>
    </row>
    <row r="1454" spans="7:7" x14ac:dyDescent="0.3">
      <c r="G1454" t="s">
        <v>451</v>
      </c>
    </row>
    <row r="1455" spans="7:7" x14ac:dyDescent="0.3">
      <c r="G1455" t="s">
        <v>452</v>
      </c>
    </row>
    <row r="1456" spans="7:7" x14ac:dyDescent="0.3">
      <c r="G1456" t="s">
        <v>2691</v>
      </c>
    </row>
    <row r="1457" spans="7:7" x14ac:dyDescent="0.3">
      <c r="G1457" t="s">
        <v>2692</v>
      </c>
    </row>
    <row r="1458" spans="7:7" x14ac:dyDescent="0.3">
      <c r="G1458" t="s">
        <v>2693</v>
      </c>
    </row>
    <row r="1459" spans="7:7" x14ac:dyDescent="0.3">
      <c r="G1459" t="s">
        <v>2694</v>
      </c>
    </row>
    <row r="1460" spans="7:7" x14ac:dyDescent="0.3">
      <c r="G1460" t="s">
        <v>2695</v>
      </c>
    </row>
    <row r="1461" spans="7:7" x14ac:dyDescent="0.3">
      <c r="G1461" t="s">
        <v>2696</v>
      </c>
    </row>
    <row r="1462" spans="7:7" x14ac:dyDescent="0.3">
      <c r="G1462" t="s">
        <v>2697</v>
      </c>
    </row>
    <row r="1463" spans="7:7" x14ac:dyDescent="0.3">
      <c r="G1463" t="s">
        <v>2698</v>
      </c>
    </row>
    <row r="1464" spans="7:7" x14ac:dyDescent="0.3">
      <c r="G1464" t="s">
        <v>2699</v>
      </c>
    </row>
    <row r="1465" spans="7:7" x14ac:dyDescent="0.3">
      <c r="G1465" t="s">
        <v>2700</v>
      </c>
    </row>
    <row r="1466" spans="7:7" x14ac:dyDescent="0.3">
      <c r="G1466" t="s">
        <v>448</v>
      </c>
    </row>
    <row r="1467" spans="7:7" x14ac:dyDescent="0.3">
      <c r="G1467" t="s">
        <v>393</v>
      </c>
    </row>
    <row r="1468" spans="7:7" x14ac:dyDescent="0.3">
      <c r="G1468" t="s">
        <v>463</v>
      </c>
    </row>
    <row r="1469" spans="7:7" x14ac:dyDescent="0.3">
      <c r="G1469" t="s">
        <v>464</v>
      </c>
    </row>
    <row r="1470" spans="7:7" x14ac:dyDescent="0.3">
      <c r="G1470" t="s">
        <v>2701</v>
      </c>
    </row>
    <row r="1471" spans="7:7" x14ac:dyDescent="0.3">
      <c r="G1471" t="s">
        <v>2702</v>
      </c>
    </row>
    <row r="1472" spans="7:7" x14ac:dyDescent="0.3">
      <c r="G1472" t="s">
        <v>2703</v>
      </c>
    </row>
    <row r="1473" spans="7:7" x14ac:dyDescent="0.3">
      <c r="G1473" t="s">
        <v>2704</v>
      </c>
    </row>
    <row r="1474" spans="7:7" x14ac:dyDescent="0.3">
      <c r="G1474" t="s">
        <v>2705</v>
      </c>
    </row>
    <row r="1475" spans="7:7" x14ac:dyDescent="0.3">
      <c r="G1475" t="s">
        <v>448</v>
      </c>
    </row>
    <row r="1476" spans="7:7" x14ac:dyDescent="0.3">
      <c r="G1476" t="s">
        <v>393</v>
      </c>
    </row>
    <row r="1477" spans="7:7" x14ac:dyDescent="0.3">
      <c r="G1477" t="s">
        <v>470</v>
      </c>
    </row>
    <row r="1478" spans="7:7" x14ac:dyDescent="0.3">
      <c r="G1478" t="s">
        <v>504</v>
      </c>
    </row>
    <row r="1479" spans="7:7" x14ac:dyDescent="0.3">
      <c r="G1479" t="s">
        <v>2706</v>
      </c>
    </row>
    <row r="1480" spans="7:7" x14ac:dyDescent="0.3">
      <c r="G1480" t="s">
        <v>473</v>
      </c>
    </row>
    <row r="1481" spans="7:7" x14ac:dyDescent="0.3">
      <c r="G1481" t="s">
        <v>474</v>
      </c>
    </row>
    <row r="1482" spans="7:7" x14ac:dyDescent="0.3">
      <c r="G1482" t="s">
        <v>721</v>
      </c>
    </row>
    <row r="1483" spans="7:7" x14ac:dyDescent="0.3">
      <c r="G1483" t="s">
        <v>2707</v>
      </c>
    </row>
    <row r="1484" spans="7:7" x14ac:dyDescent="0.3">
      <c r="G1484" t="s">
        <v>473</v>
      </c>
    </row>
    <row r="1485" spans="7:7" x14ac:dyDescent="0.3">
      <c r="G1485" t="s">
        <v>474</v>
      </c>
    </row>
    <row r="1486" spans="7:7" x14ac:dyDescent="0.3">
      <c r="G1486" t="s">
        <v>2341</v>
      </c>
    </row>
    <row r="1487" spans="7:7" x14ac:dyDescent="0.3">
      <c r="G1487" t="s">
        <v>2708</v>
      </c>
    </row>
    <row r="1488" spans="7:7" x14ac:dyDescent="0.3">
      <c r="G1488" t="s">
        <v>473</v>
      </c>
    </row>
    <row r="1489" spans="7:7" x14ac:dyDescent="0.3">
      <c r="G1489" t="s">
        <v>474</v>
      </c>
    </row>
    <row r="1490" spans="7:7" x14ac:dyDescent="0.3">
      <c r="G1490" t="s">
        <v>2203</v>
      </c>
    </row>
    <row r="1491" spans="7:7" x14ac:dyDescent="0.3">
      <c r="G1491" t="s">
        <v>2709</v>
      </c>
    </row>
    <row r="1492" spans="7:7" x14ac:dyDescent="0.3">
      <c r="G1492" t="s">
        <v>473</v>
      </c>
    </row>
    <row r="1493" spans="7:7" x14ac:dyDescent="0.3">
      <c r="G1493" t="s">
        <v>474</v>
      </c>
    </row>
    <row r="1494" spans="7:7" x14ac:dyDescent="0.3">
      <c r="G1494" t="s">
        <v>481</v>
      </c>
    </row>
    <row r="1495" spans="7:7" x14ac:dyDescent="0.3">
      <c r="G1495" t="s">
        <v>2710</v>
      </c>
    </row>
    <row r="1496" spans="7:7" x14ac:dyDescent="0.3">
      <c r="G1496" t="s">
        <v>473</v>
      </c>
    </row>
    <row r="1497" spans="7:7" x14ac:dyDescent="0.3">
      <c r="G1497" t="s">
        <v>448</v>
      </c>
    </row>
    <row r="1498" spans="7:7" x14ac:dyDescent="0.3">
      <c r="G1498" t="s">
        <v>409</v>
      </c>
    </row>
    <row r="1499" spans="7:7" x14ac:dyDescent="0.3">
      <c r="G1499" t="s">
        <v>177</v>
      </c>
    </row>
    <row r="1500" spans="7:7" x14ac:dyDescent="0.3">
      <c r="G1500" t="s">
        <v>436</v>
      </c>
    </row>
    <row r="1501" spans="7:7" x14ac:dyDescent="0.3">
      <c r="G1501" t="s">
        <v>437</v>
      </c>
    </row>
    <row r="1502" spans="7:7" x14ac:dyDescent="0.3">
      <c r="G1502" t="s">
        <v>438</v>
      </c>
    </row>
    <row r="1503" spans="7:7" x14ac:dyDescent="0.3">
      <c r="G1503" t="s">
        <v>439</v>
      </c>
    </row>
    <row r="1504" spans="7:7" x14ac:dyDescent="0.3">
      <c r="G1504" t="s">
        <v>440</v>
      </c>
    </row>
    <row r="1505" spans="7:7" x14ac:dyDescent="0.3">
      <c r="G1505" t="s">
        <v>2179</v>
      </c>
    </row>
    <row r="1506" spans="7:7" x14ac:dyDescent="0.3">
      <c r="G1506" t="s">
        <v>441</v>
      </c>
    </row>
    <row r="1507" spans="7:7" x14ac:dyDescent="0.3">
      <c r="G1507" t="s">
        <v>2711</v>
      </c>
    </row>
    <row r="1508" spans="7:7" x14ac:dyDescent="0.3">
      <c r="G1508" t="s">
        <v>2712</v>
      </c>
    </row>
    <row r="1509" spans="7:7" x14ac:dyDescent="0.3">
      <c r="G1509" t="s">
        <v>486</v>
      </c>
    </row>
    <row r="1510" spans="7:7" x14ac:dyDescent="0.3">
      <c r="G1510" t="s">
        <v>2713</v>
      </c>
    </row>
    <row r="1511" spans="7:7" x14ac:dyDescent="0.3">
      <c r="G1511" t="s">
        <v>2714</v>
      </c>
    </row>
    <row r="1512" spans="7:7" x14ac:dyDescent="0.3">
      <c r="G1512" t="s">
        <v>448</v>
      </c>
    </row>
    <row r="1513" spans="7:7" x14ac:dyDescent="0.3">
      <c r="G1513" t="s">
        <v>393</v>
      </c>
    </row>
    <row r="1514" spans="7:7" x14ac:dyDescent="0.3">
      <c r="G1514" t="s">
        <v>449</v>
      </c>
    </row>
    <row r="1515" spans="7:7" x14ac:dyDescent="0.3">
      <c r="G1515" t="s">
        <v>450</v>
      </c>
    </row>
    <row r="1516" spans="7:7" x14ac:dyDescent="0.3">
      <c r="G1516" t="s">
        <v>451</v>
      </c>
    </row>
    <row r="1517" spans="7:7" x14ac:dyDescent="0.3">
      <c r="G1517" t="s">
        <v>452</v>
      </c>
    </row>
    <row r="1518" spans="7:7" x14ac:dyDescent="0.3">
      <c r="G1518" t="s">
        <v>2715</v>
      </c>
    </row>
    <row r="1519" spans="7:7" x14ac:dyDescent="0.3">
      <c r="G1519" t="s">
        <v>2716</v>
      </c>
    </row>
    <row r="1520" spans="7:7" x14ac:dyDescent="0.3">
      <c r="G1520" t="s">
        <v>2717</v>
      </c>
    </row>
    <row r="1521" spans="7:7" x14ac:dyDescent="0.3">
      <c r="G1521" t="s">
        <v>2718</v>
      </c>
    </row>
    <row r="1522" spans="7:7" x14ac:dyDescent="0.3">
      <c r="G1522" t="s">
        <v>2719</v>
      </c>
    </row>
    <row r="1523" spans="7:7" x14ac:dyDescent="0.3">
      <c r="G1523" t="s">
        <v>2720</v>
      </c>
    </row>
    <row r="1524" spans="7:7" x14ac:dyDescent="0.3">
      <c r="G1524" t="s">
        <v>2721</v>
      </c>
    </row>
    <row r="1525" spans="7:7" x14ac:dyDescent="0.3">
      <c r="G1525" t="s">
        <v>2722</v>
      </c>
    </row>
    <row r="1526" spans="7:7" x14ac:dyDescent="0.3">
      <c r="G1526" t="s">
        <v>2723</v>
      </c>
    </row>
    <row r="1527" spans="7:7" x14ac:dyDescent="0.3">
      <c r="G1527" t="s">
        <v>2724</v>
      </c>
    </row>
    <row r="1528" spans="7:7" x14ac:dyDescent="0.3">
      <c r="G1528" t="s">
        <v>448</v>
      </c>
    </row>
    <row r="1529" spans="7:7" x14ac:dyDescent="0.3">
      <c r="G1529" t="s">
        <v>393</v>
      </c>
    </row>
    <row r="1530" spans="7:7" x14ac:dyDescent="0.3">
      <c r="G1530" t="s">
        <v>463</v>
      </c>
    </row>
    <row r="1531" spans="7:7" x14ac:dyDescent="0.3">
      <c r="G1531" t="s">
        <v>464</v>
      </c>
    </row>
    <row r="1532" spans="7:7" x14ac:dyDescent="0.3">
      <c r="G1532" t="s">
        <v>2725</v>
      </c>
    </row>
    <row r="1533" spans="7:7" x14ac:dyDescent="0.3">
      <c r="G1533" t="s">
        <v>2726</v>
      </c>
    </row>
    <row r="1534" spans="7:7" x14ac:dyDescent="0.3">
      <c r="G1534" t="s">
        <v>2727</v>
      </c>
    </row>
    <row r="1535" spans="7:7" x14ac:dyDescent="0.3">
      <c r="G1535" t="s">
        <v>2728</v>
      </c>
    </row>
    <row r="1536" spans="7:7" x14ac:dyDescent="0.3">
      <c r="G1536" t="s">
        <v>2729</v>
      </c>
    </row>
    <row r="1537" spans="7:7" x14ac:dyDescent="0.3">
      <c r="G1537" t="s">
        <v>448</v>
      </c>
    </row>
    <row r="1538" spans="7:7" x14ac:dyDescent="0.3">
      <c r="G1538" t="s">
        <v>393</v>
      </c>
    </row>
    <row r="1539" spans="7:7" x14ac:dyDescent="0.3">
      <c r="G1539" t="s">
        <v>470</v>
      </c>
    </row>
    <row r="1540" spans="7:7" x14ac:dyDescent="0.3">
      <c r="G1540" t="s">
        <v>504</v>
      </c>
    </row>
    <row r="1541" spans="7:7" x14ac:dyDescent="0.3">
      <c r="G1541" t="s">
        <v>2730</v>
      </c>
    </row>
    <row r="1542" spans="7:7" x14ac:dyDescent="0.3">
      <c r="G1542" t="s">
        <v>473</v>
      </c>
    </row>
    <row r="1543" spans="7:7" x14ac:dyDescent="0.3">
      <c r="G1543" t="s">
        <v>474</v>
      </c>
    </row>
    <row r="1544" spans="7:7" x14ac:dyDescent="0.3">
      <c r="G1544" t="s">
        <v>471</v>
      </c>
    </row>
    <row r="1545" spans="7:7" x14ac:dyDescent="0.3">
      <c r="G1545" t="s">
        <v>2731</v>
      </c>
    </row>
    <row r="1546" spans="7:7" x14ac:dyDescent="0.3">
      <c r="G1546" t="s">
        <v>473</v>
      </c>
    </row>
    <row r="1547" spans="7:7" x14ac:dyDescent="0.3">
      <c r="G1547" t="s">
        <v>474</v>
      </c>
    </row>
    <row r="1548" spans="7:7" x14ac:dyDescent="0.3">
      <c r="G1548" t="s">
        <v>2199</v>
      </c>
    </row>
    <row r="1549" spans="7:7" x14ac:dyDescent="0.3">
      <c r="G1549" t="s">
        <v>2732</v>
      </c>
    </row>
    <row r="1550" spans="7:7" x14ac:dyDescent="0.3">
      <c r="G1550" t="s">
        <v>473</v>
      </c>
    </row>
    <row r="1551" spans="7:7" x14ac:dyDescent="0.3">
      <c r="G1551" t="s">
        <v>474</v>
      </c>
    </row>
    <row r="1552" spans="7:7" x14ac:dyDescent="0.3">
      <c r="G1552" t="s">
        <v>481</v>
      </c>
    </row>
    <row r="1553" spans="7:7" x14ac:dyDescent="0.3">
      <c r="G1553" t="s">
        <v>2733</v>
      </c>
    </row>
    <row r="1554" spans="7:7" x14ac:dyDescent="0.3">
      <c r="G1554" t="s">
        <v>473</v>
      </c>
    </row>
    <row r="1555" spans="7:7" x14ac:dyDescent="0.3">
      <c r="G1555" t="s">
        <v>474</v>
      </c>
    </row>
    <row r="1556" spans="7:7" x14ac:dyDescent="0.3">
      <c r="G1556" t="s">
        <v>2203</v>
      </c>
    </row>
    <row r="1557" spans="7:7" x14ac:dyDescent="0.3">
      <c r="G1557" t="s">
        <v>2734</v>
      </c>
    </row>
    <row r="1558" spans="7:7" x14ac:dyDescent="0.3">
      <c r="G1558" t="s">
        <v>473</v>
      </c>
    </row>
    <row r="1559" spans="7:7" x14ac:dyDescent="0.3">
      <c r="G1559" t="s">
        <v>448</v>
      </c>
    </row>
    <row r="1560" spans="7:7" x14ac:dyDescent="0.3">
      <c r="G1560" t="s">
        <v>409</v>
      </c>
    </row>
    <row r="1561" spans="7:7" x14ac:dyDescent="0.3">
      <c r="G1561" t="s">
        <v>177</v>
      </c>
    </row>
    <row r="1562" spans="7:7" x14ac:dyDescent="0.3">
      <c r="G1562" t="s">
        <v>436</v>
      </c>
    </row>
    <row r="1563" spans="7:7" x14ac:dyDescent="0.3">
      <c r="G1563" t="s">
        <v>437</v>
      </c>
    </row>
    <row r="1564" spans="7:7" x14ac:dyDescent="0.3">
      <c r="G1564" t="s">
        <v>438</v>
      </c>
    </row>
    <row r="1565" spans="7:7" x14ac:dyDescent="0.3">
      <c r="G1565" t="s">
        <v>439</v>
      </c>
    </row>
    <row r="1566" spans="7:7" x14ac:dyDescent="0.3">
      <c r="G1566" t="s">
        <v>440</v>
      </c>
    </row>
    <row r="1567" spans="7:7" x14ac:dyDescent="0.3">
      <c r="G1567" t="s">
        <v>2179</v>
      </c>
    </row>
    <row r="1568" spans="7:7" x14ac:dyDescent="0.3">
      <c r="G1568" t="s">
        <v>2735</v>
      </c>
    </row>
    <row r="1569" spans="7:7" x14ac:dyDescent="0.3">
      <c r="G1569" t="s">
        <v>441</v>
      </c>
    </row>
    <row r="1570" spans="7:7" x14ac:dyDescent="0.3">
      <c r="G1570" t="s">
        <v>2711</v>
      </c>
    </row>
    <row r="1571" spans="7:7" x14ac:dyDescent="0.3">
      <c r="G1571" t="s">
        <v>2712</v>
      </c>
    </row>
    <row r="1572" spans="7:7" x14ac:dyDescent="0.3">
      <c r="G1572" t="s">
        <v>486</v>
      </c>
    </row>
    <row r="1573" spans="7:7" x14ac:dyDescent="0.3">
      <c r="G1573" t="s">
        <v>2183</v>
      </c>
    </row>
    <row r="1574" spans="7:7" x14ac:dyDescent="0.3">
      <c r="G1574" t="s">
        <v>448</v>
      </c>
    </row>
    <row r="1575" spans="7:7" x14ac:dyDescent="0.3">
      <c r="G1575" t="s">
        <v>393</v>
      </c>
    </row>
    <row r="1576" spans="7:7" x14ac:dyDescent="0.3">
      <c r="G1576" t="s">
        <v>449</v>
      </c>
    </row>
    <row r="1577" spans="7:7" x14ac:dyDescent="0.3">
      <c r="G1577" t="s">
        <v>450</v>
      </c>
    </row>
    <row r="1578" spans="7:7" x14ac:dyDescent="0.3">
      <c r="G1578" t="s">
        <v>451</v>
      </c>
    </row>
    <row r="1579" spans="7:7" x14ac:dyDescent="0.3">
      <c r="G1579" t="s">
        <v>452</v>
      </c>
    </row>
    <row r="1580" spans="7:7" x14ac:dyDescent="0.3">
      <c r="G1580" t="s">
        <v>2736</v>
      </c>
    </row>
    <row r="1581" spans="7:7" x14ac:dyDescent="0.3">
      <c r="G1581" t="s">
        <v>2737</v>
      </c>
    </row>
    <row r="1582" spans="7:7" x14ac:dyDescent="0.3">
      <c r="G1582" t="s">
        <v>2738</v>
      </c>
    </row>
    <row r="1583" spans="7:7" x14ac:dyDescent="0.3">
      <c r="G1583" t="s">
        <v>2739</v>
      </c>
    </row>
    <row r="1584" spans="7:7" x14ac:dyDescent="0.3">
      <c r="G1584" t="s">
        <v>2740</v>
      </c>
    </row>
    <row r="1585" spans="7:7" x14ac:dyDescent="0.3">
      <c r="G1585" t="s">
        <v>2741</v>
      </c>
    </row>
    <row r="1586" spans="7:7" x14ac:dyDescent="0.3">
      <c r="G1586" t="s">
        <v>2742</v>
      </c>
    </row>
    <row r="1587" spans="7:7" x14ac:dyDescent="0.3">
      <c r="G1587" t="s">
        <v>2743</v>
      </c>
    </row>
    <row r="1588" spans="7:7" x14ac:dyDescent="0.3">
      <c r="G1588" t="s">
        <v>2744</v>
      </c>
    </row>
    <row r="1589" spans="7:7" x14ac:dyDescent="0.3">
      <c r="G1589" t="s">
        <v>2745</v>
      </c>
    </row>
    <row r="1590" spans="7:7" x14ac:dyDescent="0.3">
      <c r="G1590" t="s">
        <v>448</v>
      </c>
    </row>
    <row r="1591" spans="7:7" x14ac:dyDescent="0.3">
      <c r="G1591" t="s">
        <v>393</v>
      </c>
    </row>
    <row r="1592" spans="7:7" x14ac:dyDescent="0.3">
      <c r="G1592" t="s">
        <v>463</v>
      </c>
    </row>
    <row r="1593" spans="7:7" x14ac:dyDescent="0.3">
      <c r="G1593" t="s">
        <v>464</v>
      </c>
    </row>
    <row r="1594" spans="7:7" x14ac:dyDescent="0.3">
      <c r="G1594" t="s">
        <v>2746</v>
      </c>
    </row>
    <row r="1595" spans="7:7" x14ac:dyDescent="0.3">
      <c r="G1595" t="s">
        <v>2747</v>
      </c>
    </row>
    <row r="1596" spans="7:7" x14ac:dyDescent="0.3">
      <c r="G1596" t="s">
        <v>2748</v>
      </c>
    </row>
    <row r="1597" spans="7:7" x14ac:dyDescent="0.3">
      <c r="G1597" t="s">
        <v>2749</v>
      </c>
    </row>
    <row r="1598" spans="7:7" x14ac:dyDescent="0.3">
      <c r="G1598" t="s">
        <v>2750</v>
      </c>
    </row>
    <row r="1599" spans="7:7" x14ac:dyDescent="0.3">
      <c r="G1599" t="s">
        <v>448</v>
      </c>
    </row>
    <row r="1600" spans="7:7" x14ac:dyDescent="0.3">
      <c r="G1600" t="s">
        <v>393</v>
      </c>
    </row>
    <row r="1601" spans="7:7" x14ac:dyDescent="0.3">
      <c r="G1601" t="s">
        <v>470</v>
      </c>
    </row>
    <row r="1602" spans="7:7" x14ac:dyDescent="0.3">
      <c r="G1602" t="s">
        <v>504</v>
      </c>
    </row>
    <row r="1603" spans="7:7" x14ac:dyDescent="0.3">
      <c r="G1603" t="s">
        <v>2751</v>
      </c>
    </row>
    <row r="1604" spans="7:7" x14ac:dyDescent="0.3">
      <c r="G1604" t="s">
        <v>473</v>
      </c>
    </row>
    <row r="1605" spans="7:7" x14ac:dyDescent="0.3">
      <c r="G1605" t="s">
        <v>474</v>
      </c>
    </row>
    <row r="1606" spans="7:7" x14ac:dyDescent="0.3">
      <c r="G1606" t="s">
        <v>471</v>
      </c>
    </row>
    <row r="1607" spans="7:7" x14ac:dyDescent="0.3">
      <c r="G1607" t="s">
        <v>2752</v>
      </c>
    </row>
    <row r="1608" spans="7:7" x14ac:dyDescent="0.3">
      <c r="G1608" t="s">
        <v>473</v>
      </c>
    </row>
    <row r="1609" spans="7:7" x14ac:dyDescent="0.3">
      <c r="G1609" t="s">
        <v>474</v>
      </c>
    </row>
    <row r="1610" spans="7:7" x14ac:dyDescent="0.3">
      <c r="G1610" t="s">
        <v>2199</v>
      </c>
    </row>
    <row r="1611" spans="7:7" x14ac:dyDescent="0.3">
      <c r="G1611" t="s">
        <v>2753</v>
      </c>
    </row>
    <row r="1612" spans="7:7" x14ac:dyDescent="0.3">
      <c r="G1612" t="s">
        <v>473</v>
      </c>
    </row>
    <row r="1613" spans="7:7" x14ac:dyDescent="0.3">
      <c r="G1613" t="s">
        <v>474</v>
      </c>
    </row>
    <row r="1614" spans="7:7" x14ac:dyDescent="0.3">
      <c r="G1614" t="s">
        <v>481</v>
      </c>
    </row>
    <row r="1615" spans="7:7" x14ac:dyDescent="0.3">
      <c r="G1615" t="s">
        <v>2754</v>
      </c>
    </row>
    <row r="1616" spans="7:7" x14ac:dyDescent="0.3">
      <c r="G1616" t="s">
        <v>473</v>
      </c>
    </row>
    <row r="1617" spans="7:7" x14ac:dyDescent="0.3">
      <c r="G1617" t="s">
        <v>474</v>
      </c>
    </row>
    <row r="1618" spans="7:7" x14ac:dyDescent="0.3">
      <c r="G1618" t="s">
        <v>2203</v>
      </c>
    </row>
    <row r="1619" spans="7:7" x14ac:dyDescent="0.3">
      <c r="G1619" t="s">
        <v>2755</v>
      </c>
    </row>
    <row r="1620" spans="7:7" x14ac:dyDescent="0.3">
      <c r="G1620" t="s">
        <v>473</v>
      </c>
    </row>
    <row r="1621" spans="7:7" x14ac:dyDescent="0.3">
      <c r="G1621" t="s">
        <v>448</v>
      </c>
    </row>
    <row r="1622" spans="7:7" x14ac:dyDescent="0.3">
      <c r="G1622" t="s">
        <v>409</v>
      </c>
    </row>
    <row r="1623" spans="7:7" x14ac:dyDescent="0.3">
      <c r="G1623" t="s">
        <v>177</v>
      </c>
    </row>
    <row r="1624" spans="7:7" x14ac:dyDescent="0.3">
      <c r="G1624" t="s">
        <v>436</v>
      </c>
    </row>
    <row r="1625" spans="7:7" x14ac:dyDescent="0.3">
      <c r="G1625" t="s">
        <v>437</v>
      </c>
    </row>
    <row r="1626" spans="7:7" x14ac:dyDescent="0.3">
      <c r="G1626" t="s">
        <v>438</v>
      </c>
    </row>
    <row r="1627" spans="7:7" x14ac:dyDescent="0.3">
      <c r="G1627" t="s">
        <v>439</v>
      </c>
    </row>
    <row r="1628" spans="7:7" x14ac:dyDescent="0.3">
      <c r="G1628" t="s">
        <v>440</v>
      </c>
    </row>
    <row r="1629" spans="7:7" x14ac:dyDescent="0.3">
      <c r="G1629" t="s">
        <v>2756</v>
      </c>
    </row>
    <row r="1630" spans="7:7" x14ac:dyDescent="0.3">
      <c r="G1630" t="s">
        <v>2179</v>
      </c>
    </row>
    <row r="1631" spans="7:7" x14ac:dyDescent="0.3">
      <c r="G1631" t="s">
        <v>441</v>
      </c>
    </row>
    <row r="1632" spans="7:7" x14ac:dyDescent="0.3">
      <c r="G1632" t="s">
        <v>2757</v>
      </c>
    </row>
    <row r="1633" spans="7:7" x14ac:dyDescent="0.3">
      <c r="G1633" t="s">
        <v>703</v>
      </c>
    </row>
    <row r="1634" spans="7:7" x14ac:dyDescent="0.3">
      <c r="G1634" t="s">
        <v>2758</v>
      </c>
    </row>
    <row r="1635" spans="7:7" x14ac:dyDescent="0.3">
      <c r="G1635" t="s">
        <v>2183</v>
      </c>
    </row>
    <row r="1636" spans="7:7" x14ac:dyDescent="0.3">
      <c r="G1636" t="s">
        <v>448</v>
      </c>
    </row>
    <row r="1637" spans="7:7" x14ac:dyDescent="0.3">
      <c r="G1637" t="s">
        <v>393</v>
      </c>
    </row>
    <row r="1638" spans="7:7" x14ac:dyDescent="0.3">
      <c r="G1638" t="s">
        <v>449</v>
      </c>
    </row>
    <row r="1639" spans="7:7" x14ac:dyDescent="0.3">
      <c r="G1639" t="s">
        <v>450</v>
      </c>
    </row>
    <row r="1640" spans="7:7" x14ac:dyDescent="0.3">
      <c r="G1640" t="s">
        <v>451</v>
      </c>
    </row>
    <row r="1641" spans="7:7" x14ac:dyDescent="0.3">
      <c r="G1641" t="s">
        <v>452</v>
      </c>
    </row>
    <row r="1642" spans="7:7" x14ac:dyDescent="0.3">
      <c r="G1642" t="s">
        <v>2759</v>
      </c>
    </row>
    <row r="1643" spans="7:7" x14ac:dyDescent="0.3">
      <c r="G1643" t="s">
        <v>2760</v>
      </c>
    </row>
    <row r="1644" spans="7:7" x14ac:dyDescent="0.3">
      <c r="G1644" t="s">
        <v>2761</v>
      </c>
    </row>
    <row r="1645" spans="7:7" x14ac:dyDescent="0.3">
      <c r="G1645" t="s">
        <v>2762</v>
      </c>
    </row>
    <row r="1646" spans="7:7" x14ac:dyDescent="0.3">
      <c r="G1646" t="s">
        <v>2763</v>
      </c>
    </row>
    <row r="1647" spans="7:7" x14ac:dyDescent="0.3">
      <c r="G1647" t="s">
        <v>2764</v>
      </c>
    </row>
    <row r="1648" spans="7:7" x14ac:dyDescent="0.3">
      <c r="G1648" t="s">
        <v>2765</v>
      </c>
    </row>
    <row r="1649" spans="7:7" x14ac:dyDescent="0.3">
      <c r="G1649" t="s">
        <v>2766</v>
      </c>
    </row>
    <row r="1650" spans="7:7" x14ac:dyDescent="0.3">
      <c r="G1650" t="s">
        <v>2767</v>
      </c>
    </row>
    <row r="1651" spans="7:7" x14ac:dyDescent="0.3">
      <c r="G1651" t="s">
        <v>2768</v>
      </c>
    </row>
    <row r="1652" spans="7:7" x14ac:dyDescent="0.3">
      <c r="G1652" t="s">
        <v>448</v>
      </c>
    </row>
    <row r="1653" spans="7:7" x14ac:dyDescent="0.3">
      <c r="G1653" t="s">
        <v>393</v>
      </c>
    </row>
    <row r="1654" spans="7:7" x14ac:dyDescent="0.3">
      <c r="G1654" t="s">
        <v>463</v>
      </c>
    </row>
    <row r="1655" spans="7:7" x14ac:dyDescent="0.3">
      <c r="G1655" t="s">
        <v>464</v>
      </c>
    </row>
    <row r="1656" spans="7:7" x14ac:dyDescent="0.3">
      <c r="G1656" t="s">
        <v>2769</v>
      </c>
    </row>
    <row r="1657" spans="7:7" x14ac:dyDescent="0.3">
      <c r="G1657" t="s">
        <v>2770</v>
      </c>
    </row>
    <row r="1658" spans="7:7" x14ac:dyDescent="0.3">
      <c r="G1658" t="s">
        <v>2771</v>
      </c>
    </row>
    <row r="1659" spans="7:7" x14ac:dyDescent="0.3">
      <c r="G1659" t="s">
        <v>2772</v>
      </c>
    </row>
    <row r="1660" spans="7:7" x14ac:dyDescent="0.3">
      <c r="G1660" t="s">
        <v>2773</v>
      </c>
    </row>
    <row r="1661" spans="7:7" x14ac:dyDescent="0.3">
      <c r="G1661" t="s">
        <v>448</v>
      </c>
    </row>
    <row r="1662" spans="7:7" x14ac:dyDescent="0.3">
      <c r="G1662" t="s">
        <v>393</v>
      </c>
    </row>
    <row r="1663" spans="7:7" x14ac:dyDescent="0.3">
      <c r="G1663" t="s">
        <v>470</v>
      </c>
    </row>
    <row r="1664" spans="7:7" x14ac:dyDescent="0.3">
      <c r="G1664" t="s">
        <v>671</v>
      </c>
    </row>
    <row r="1665" spans="7:7" x14ac:dyDescent="0.3">
      <c r="G1665" t="s">
        <v>2774</v>
      </c>
    </row>
    <row r="1666" spans="7:7" x14ac:dyDescent="0.3">
      <c r="G1666" t="s">
        <v>473</v>
      </c>
    </row>
    <row r="1667" spans="7:7" x14ac:dyDescent="0.3">
      <c r="G1667" t="s">
        <v>474</v>
      </c>
    </row>
    <row r="1668" spans="7:7" x14ac:dyDescent="0.3">
      <c r="G1668" t="s">
        <v>471</v>
      </c>
    </row>
    <row r="1669" spans="7:7" x14ac:dyDescent="0.3">
      <c r="G1669" t="s">
        <v>2775</v>
      </c>
    </row>
    <row r="1670" spans="7:7" x14ac:dyDescent="0.3">
      <c r="G1670" t="s">
        <v>473</v>
      </c>
    </row>
    <row r="1671" spans="7:7" x14ac:dyDescent="0.3">
      <c r="G1671" t="s">
        <v>474</v>
      </c>
    </row>
    <row r="1672" spans="7:7" x14ac:dyDescent="0.3">
      <c r="G1672" t="s">
        <v>2199</v>
      </c>
    </row>
    <row r="1673" spans="7:7" x14ac:dyDescent="0.3">
      <c r="G1673" t="s">
        <v>2776</v>
      </c>
    </row>
    <row r="1674" spans="7:7" x14ac:dyDescent="0.3">
      <c r="G1674" t="s">
        <v>473</v>
      </c>
    </row>
    <row r="1675" spans="7:7" x14ac:dyDescent="0.3">
      <c r="G1675" t="s">
        <v>474</v>
      </c>
    </row>
    <row r="1676" spans="7:7" x14ac:dyDescent="0.3">
      <c r="G1676" t="s">
        <v>481</v>
      </c>
    </row>
    <row r="1677" spans="7:7" x14ac:dyDescent="0.3">
      <c r="G1677" t="s">
        <v>2777</v>
      </c>
    </row>
    <row r="1678" spans="7:7" x14ac:dyDescent="0.3">
      <c r="G1678" t="s">
        <v>473</v>
      </c>
    </row>
    <row r="1679" spans="7:7" x14ac:dyDescent="0.3">
      <c r="G1679" t="s">
        <v>474</v>
      </c>
    </row>
    <row r="1680" spans="7:7" x14ac:dyDescent="0.3">
      <c r="G1680" t="s">
        <v>2203</v>
      </c>
    </row>
    <row r="1681" spans="7:7" x14ac:dyDescent="0.3">
      <c r="G1681" t="s">
        <v>2778</v>
      </c>
    </row>
    <row r="1682" spans="7:7" x14ac:dyDescent="0.3">
      <c r="G1682" t="s">
        <v>473</v>
      </c>
    </row>
    <row r="1683" spans="7:7" x14ac:dyDescent="0.3">
      <c r="G1683" t="s">
        <v>448</v>
      </c>
    </row>
    <row r="1684" spans="7:7" x14ac:dyDescent="0.3">
      <c r="G1684" t="s">
        <v>409</v>
      </c>
    </row>
    <row r="1685" spans="7:7" x14ac:dyDescent="0.3">
      <c r="G1685" t="s">
        <v>177</v>
      </c>
    </row>
    <row r="1686" spans="7:7" x14ac:dyDescent="0.3">
      <c r="G1686" t="s">
        <v>436</v>
      </c>
    </row>
    <row r="1687" spans="7:7" x14ac:dyDescent="0.3">
      <c r="G1687" t="s">
        <v>437</v>
      </c>
    </row>
    <row r="1688" spans="7:7" x14ac:dyDescent="0.3">
      <c r="G1688" t="s">
        <v>438</v>
      </c>
    </row>
    <row r="1689" spans="7:7" x14ac:dyDescent="0.3">
      <c r="G1689" t="s">
        <v>439</v>
      </c>
    </row>
    <row r="1690" spans="7:7" x14ac:dyDescent="0.3">
      <c r="G1690" t="s">
        <v>2779</v>
      </c>
    </row>
    <row r="1691" spans="7:7" x14ac:dyDescent="0.3">
      <c r="G1691" t="s">
        <v>440</v>
      </c>
    </row>
    <row r="1692" spans="7:7" x14ac:dyDescent="0.3">
      <c r="G1692" t="s">
        <v>2179</v>
      </c>
    </row>
    <row r="1693" spans="7:7" x14ac:dyDescent="0.3">
      <c r="G1693" t="s">
        <v>441</v>
      </c>
    </row>
    <row r="1694" spans="7:7" x14ac:dyDescent="0.3">
      <c r="G1694" t="s">
        <v>2780</v>
      </c>
    </row>
    <row r="1695" spans="7:7" x14ac:dyDescent="0.3">
      <c r="G1695" t="s">
        <v>2781</v>
      </c>
    </row>
    <row r="1696" spans="7:7" x14ac:dyDescent="0.3">
      <c r="G1696" t="s">
        <v>703</v>
      </c>
    </row>
    <row r="1697" spans="7:7" x14ac:dyDescent="0.3">
      <c r="G1697" t="s">
        <v>2183</v>
      </c>
    </row>
    <row r="1698" spans="7:7" x14ac:dyDescent="0.3">
      <c r="G1698" t="s">
        <v>448</v>
      </c>
    </row>
    <row r="1699" spans="7:7" x14ac:dyDescent="0.3">
      <c r="G1699" t="s">
        <v>393</v>
      </c>
    </row>
    <row r="1700" spans="7:7" x14ac:dyDescent="0.3">
      <c r="G1700" t="s">
        <v>449</v>
      </c>
    </row>
    <row r="1701" spans="7:7" x14ac:dyDescent="0.3">
      <c r="G1701" t="s">
        <v>488</v>
      </c>
    </row>
    <row r="1702" spans="7:7" x14ac:dyDescent="0.3">
      <c r="G1702" t="s">
        <v>451</v>
      </c>
    </row>
    <row r="1703" spans="7:7" x14ac:dyDescent="0.3">
      <c r="G1703" t="s">
        <v>452</v>
      </c>
    </row>
    <row r="1704" spans="7:7" x14ac:dyDescent="0.3">
      <c r="G1704" t="s">
        <v>2782</v>
      </c>
    </row>
    <row r="1705" spans="7:7" x14ac:dyDescent="0.3">
      <c r="G1705" t="s">
        <v>2783</v>
      </c>
    </row>
    <row r="1706" spans="7:7" x14ac:dyDescent="0.3">
      <c r="G1706" t="s">
        <v>2784</v>
      </c>
    </row>
    <row r="1707" spans="7:7" x14ac:dyDescent="0.3">
      <c r="G1707" t="s">
        <v>2785</v>
      </c>
    </row>
    <row r="1708" spans="7:7" x14ac:dyDescent="0.3">
      <c r="G1708" t="s">
        <v>2786</v>
      </c>
    </row>
    <row r="1709" spans="7:7" x14ac:dyDescent="0.3">
      <c r="G1709" t="s">
        <v>2787</v>
      </c>
    </row>
    <row r="1710" spans="7:7" x14ac:dyDescent="0.3">
      <c r="G1710" t="s">
        <v>2788</v>
      </c>
    </row>
    <row r="1711" spans="7:7" x14ac:dyDescent="0.3">
      <c r="G1711" t="s">
        <v>2789</v>
      </c>
    </row>
    <row r="1712" spans="7:7" x14ac:dyDescent="0.3">
      <c r="G1712" t="s">
        <v>2790</v>
      </c>
    </row>
    <row r="1713" spans="7:7" x14ac:dyDescent="0.3">
      <c r="G1713" t="s">
        <v>2791</v>
      </c>
    </row>
    <row r="1714" spans="7:7" x14ac:dyDescent="0.3">
      <c r="G1714" t="s">
        <v>448</v>
      </c>
    </row>
    <row r="1715" spans="7:7" x14ac:dyDescent="0.3">
      <c r="G1715" t="s">
        <v>393</v>
      </c>
    </row>
    <row r="1716" spans="7:7" x14ac:dyDescent="0.3">
      <c r="G1716" t="s">
        <v>463</v>
      </c>
    </row>
    <row r="1717" spans="7:7" x14ac:dyDescent="0.3">
      <c r="G1717" t="s">
        <v>464</v>
      </c>
    </row>
    <row r="1718" spans="7:7" x14ac:dyDescent="0.3">
      <c r="G1718" t="s">
        <v>2792</v>
      </c>
    </row>
    <row r="1719" spans="7:7" x14ac:dyDescent="0.3">
      <c r="G1719" t="s">
        <v>2793</v>
      </c>
    </row>
    <row r="1720" spans="7:7" x14ac:dyDescent="0.3">
      <c r="G1720" t="s">
        <v>2794</v>
      </c>
    </row>
    <row r="1721" spans="7:7" x14ac:dyDescent="0.3">
      <c r="G1721" t="s">
        <v>2795</v>
      </c>
    </row>
    <row r="1722" spans="7:7" x14ac:dyDescent="0.3">
      <c r="G1722" t="s">
        <v>2796</v>
      </c>
    </row>
    <row r="1723" spans="7:7" x14ac:dyDescent="0.3">
      <c r="G1723" t="s">
        <v>448</v>
      </c>
    </row>
    <row r="1724" spans="7:7" x14ac:dyDescent="0.3">
      <c r="G1724" t="s">
        <v>393</v>
      </c>
    </row>
    <row r="1725" spans="7:7" x14ac:dyDescent="0.3">
      <c r="G1725" t="s">
        <v>470</v>
      </c>
    </row>
    <row r="1726" spans="7:7" x14ac:dyDescent="0.3">
      <c r="G1726" t="s">
        <v>671</v>
      </c>
    </row>
    <row r="1727" spans="7:7" x14ac:dyDescent="0.3">
      <c r="G1727" t="s">
        <v>2797</v>
      </c>
    </row>
    <row r="1728" spans="7:7" x14ac:dyDescent="0.3">
      <c r="G1728" t="s">
        <v>473</v>
      </c>
    </row>
    <row r="1729" spans="7:7" x14ac:dyDescent="0.3">
      <c r="G1729" t="s">
        <v>474</v>
      </c>
    </row>
    <row r="1730" spans="7:7" x14ac:dyDescent="0.3">
      <c r="G1730" t="s">
        <v>471</v>
      </c>
    </row>
    <row r="1731" spans="7:7" x14ac:dyDescent="0.3">
      <c r="G1731" t="s">
        <v>2798</v>
      </c>
    </row>
    <row r="1732" spans="7:7" x14ac:dyDescent="0.3">
      <c r="G1732" t="s">
        <v>473</v>
      </c>
    </row>
    <row r="1733" spans="7:7" x14ac:dyDescent="0.3">
      <c r="G1733" t="s">
        <v>474</v>
      </c>
    </row>
    <row r="1734" spans="7:7" x14ac:dyDescent="0.3">
      <c r="G1734" t="s">
        <v>2199</v>
      </c>
    </row>
    <row r="1735" spans="7:7" x14ac:dyDescent="0.3">
      <c r="G1735" t="s">
        <v>2799</v>
      </c>
    </row>
    <row r="1736" spans="7:7" x14ac:dyDescent="0.3">
      <c r="G1736" t="s">
        <v>473</v>
      </c>
    </row>
    <row r="1737" spans="7:7" x14ac:dyDescent="0.3">
      <c r="G1737" t="s">
        <v>474</v>
      </c>
    </row>
    <row r="1738" spans="7:7" x14ac:dyDescent="0.3">
      <c r="G1738" t="s">
        <v>2203</v>
      </c>
    </row>
    <row r="1739" spans="7:7" x14ac:dyDescent="0.3">
      <c r="G1739" t="s">
        <v>2800</v>
      </c>
    </row>
    <row r="1740" spans="7:7" x14ac:dyDescent="0.3">
      <c r="G1740" t="s">
        <v>473</v>
      </c>
    </row>
    <row r="1741" spans="7:7" x14ac:dyDescent="0.3">
      <c r="G1741" t="s">
        <v>474</v>
      </c>
    </row>
    <row r="1742" spans="7:7" x14ac:dyDescent="0.3">
      <c r="G1742" t="s">
        <v>481</v>
      </c>
    </row>
    <row r="1743" spans="7:7" x14ac:dyDescent="0.3">
      <c r="G1743" t="s">
        <v>2801</v>
      </c>
    </row>
    <row r="1744" spans="7:7" x14ac:dyDescent="0.3">
      <c r="G1744" t="s">
        <v>473</v>
      </c>
    </row>
    <row r="1745" spans="7:7" x14ac:dyDescent="0.3">
      <c r="G1745" t="s">
        <v>448</v>
      </c>
    </row>
    <row r="1746" spans="7:7" x14ac:dyDescent="0.3">
      <c r="G1746" t="s">
        <v>409</v>
      </c>
    </row>
    <row r="1747" spans="7:7" x14ac:dyDescent="0.3">
      <c r="G1747" t="s">
        <v>177</v>
      </c>
    </row>
    <row r="1748" spans="7:7" x14ac:dyDescent="0.3">
      <c r="G1748" t="s">
        <v>436</v>
      </c>
    </row>
    <row r="1749" spans="7:7" x14ac:dyDescent="0.3">
      <c r="G1749" t="s">
        <v>437</v>
      </c>
    </row>
    <row r="1750" spans="7:7" x14ac:dyDescent="0.3">
      <c r="G1750" t="s">
        <v>438</v>
      </c>
    </row>
    <row r="1751" spans="7:7" x14ac:dyDescent="0.3">
      <c r="G1751" t="s">
        <v>439</v>
      </c>
    </row>
    <row r="1752" spans="7:7" x14ac:dyDescent="0.3">
      <c r="G1752" t="s">
        <v>440</v>
      </c>
    </row>
    <row r="1753" spans="7:7" x14ac:dyDescent="0.3">
      <c r="G1753" t="s">
        <v>2179</v>
      </c>
    </row>
    <row r="1754" spans="7:7" x14ac:dyDescent="0.3">
      <c r="G1754" t="s">
        <v>441</v>
      </c>
    </row>
    <row r="1755" spans="7:7" x14ac:dyDescent="0.3">
      <c r="G1755" t="s">
        <v>2802</v>
      </c>
    </row>
    <row r="1756" spans="7:7" x14ac:dyDescent="0.3">
      <c r="G1756" t="s">
        <v>486</v>
      </c>
    </row>
    <row r="1757" spans="7:7" x14ac:dyDescent="0.3">
      <c r="G1757" t="s">
        <v>2803</v>
      </c>
    </row>
    <row r="1758" spans="7:7" x14ac:dyDescent="0.3">
      <c r="G1758" t="s">
        <v>2804</v>
      </c>
    </row>
    <row r="1759" spans="7:7" x14ac:dyDescent="0.3">
      <c r="G1759" t="s">
        <v>2183</v>
      </c>
    </row>
    <row r="1760" spans="7:7" x14ac:dyDescent="0.3">
      <c r="G1760" t="s">
        <v>448</v>
      </c>
    </row>
    <row r="1761" spans="7:7" x14ac:dyDescent="0.3">
      <c r="G1761" t="s">
        <v>393</v>
      </c>
    </row>
    <row r="1762" spans="7:7" x14ac:dyDescent="0.3">
      <c r="G1762" t="s">
        <v>449</v>
      </c>
    </row>
    <row r="1763" spans="7:7" x14ac:dyDescent="0.3">
      <c r="G1763" t="s">
        <v>450</v>
      </c>
    </row>
    <row r="1764" spans="7:7" x14ac:dyDescent="0.3">
      <c r="G1764" t="s">
        <v>451</v>
      </c>
    </row>
    <row r="1765" spans="7:7" x14ac:dyDescent="0.3">
      <c r="G1765" t="s">
        <v>452</v>
      </c>
    </row>
    <row r="1766" spans="7:7" x14ac:dyDescent="0.3">
      <c r="G1766" t="s">
        <v>2805</v>
      </c>
    </row>
    <row r="1767" spans="7:7" x14ac:dyDescent="0.3">
      <c r="G1767" t="s">
        <v>2806</v>
      </c>
    </row>
    <row r="1768" spans="7:7" x14ac:dyDescent="0.3">
      <c r="G1768" t="s">
        <v>2807</v>
      </c>
    </row>
    <row r="1769" spans="7:7" x14ac:dyDescent="0.3">
      <c r="G1769" t="s">
        <v>2808</v>
      </c>
    </row>
    <row r="1770" spans="7:7" x14ac:dyDescent="0.3">
      <c r="G1770" t="s">
        <v>2809</v>
      </c>
    </row>
    <row r="1771" spans="7:7" x14ac:dyDescent="0.3">
      <c r="G1771" t="s">
        <v>2810</v>
      </c>
    </row>
    <row r="1772" spans="7:7" x14ac:dyDescent="0.3">
      <c r="G1772" t="s">
        <v>2811</v>
      </c>
    </row>
    <row r="1773" spans="7:7" x14ac:dyDescent="0.3">
      <c r="G1773" t="s">
        <v>2812</v>
      </c>
    </row>
    <row r="1774" spans="7:7" x14ac:dyDescent="0.3">
      <c r="G1774" t="s">
        <v>2813</v>
      </c>
    </row>
    <row r="1775" spans="7:7" x14ac:dyDescent="0.3">
      <c r="G1775" t="s">
        <v>2814</v>
      </c>
    </row>
    <row r="1776" spans="7:7" x14ac:dyDescent="0.3">
      <c r="G1776" t="s">
        <v>448</v>
      </c>
    </row>
    <row r="1777" spans="7:7" x14ac:dyDescent="0.3">
      <c r="G1777" t="s">
        <v>393</v>
      </c>
    </row>
    <row r="1778" spans="7:7" x14ac:dyDescent="0.3">
      <c r="G1778" t="s">
        <v>463</v>
      </c>
    </row>
    <row r="1779" spans="7:7" x14ac:dyDescent="0.3">
      <c r="G1779" t="s">
        <v>464</v>
      </c>
    </row>
    <row r="1780" spans="7:7" x14ac:dyDescent="0.3">
      <c r="G1780" t="s">
        <v>2815</v>
      </c>
    </row>
    <row r="1781" spans="7:7" x14ac:dyDescent="0.3">
      <c r="G1781" t="s">
        <v>2816</v>
      </c>
    </row>
    <row r="1782" spans="7:7" x14ac:dyDescent="0.3">
      <c r="G1782" t="s">
        <v>2817</v>
      </c>
    </row>
    <row r="1783" spans="7:7" x14ac:dyDescent="0.3">
      <c r="G1783" t="s">
        <v>2818</v>
      </c>
    </row>
    <row r="1784" spans="7:7" x14ac:dyDescent="0.3">
      <c r="G1784" t="s">
        <v>2819</v>
      </c>
    </row>
    <row r="1785" spans="7:7" x14ac:dyDescent="0.3">
      <c r="G1785" t="s">
        <v>448</v>
      </c>
    </row>
    <row r="1786" spans="7:7" x14ac:dyDescent="0.3">
      <c r="G1786" t="s">
        <v>393</v>
      </c>
    </row>
    <row r="1787" spans="7:7" x14ac:dyDescent="0.3">
      <c r="G1787" t="s">
        <v>470</v>
      </c>
    </row>
    <row r="1788" spans="7:7" x14ac:dyDescent="0.3">
      <c r="G1788" t="s">
        <v>504</v>
      </c>
    </row>
    <row r="1789" spans="7:7" x14ac:dyDescent="0.3">
      <c r="G1789" t="s">
        <v>2820</v>
      </c>
    </row>
    <row r="1790" spans="7:7" x14ac:dyDescent="0.3">
      <c r="G1790" t="s">
        <v>473</v>
      </c>
    </row>
    <row r="1791" spans="7:7" x14ac:dyDescent="0.3">
      <c r="G1791" t="s">
        <v>474</v>
      </c>
    </row>
    <row r="1792" spans="7:7" x14ac:dyDescent="0.3">
      <c r="G1792" t="s">
        <v>471</v>
      </c>
    </row>
    <row r="1793" spans="7:7" x14ac:dyDescent="0.3">
      <c r="G1793" t="s">
        <v>2821</v>
      </c>
    </row>
    <row r="1794" spans="7:7" x14ac:dyDescent="0.3">
      <c r="G1794" t="s">
        <v>473</v>
      </c>
    </row>
    <row r="1795" spans="7:7" x14ac:dyDescent="0.3">
      <c r="G1795" t="s">
        <v>474</v>
      </c>
    </row>
    <row r="1796" spans="7:7" x14ac:dyDescent="0.3">
      <c r="G1796" t="s">
        <v>2199</v>
      </c>
    </row>
    <row r="1797" spans="7:7" x14ac:dyDescent="0.3">
      <c r="G1797" t="s">
        <v>2822</v>
      </c>
    </row>
    <row r="1798" spans="7:7" x14ac:dyDescent="0.3">
      <c r="G1798" t="s">
        <v>473</v>
      </c>
    </row>
    <row r="1799" spans="7:7" x14ac:dyDescent="0.3">
      <c r="G1799" t="s">
        <v>474</v>
      </c>
    </row>
    <row r="1800" spans="7:7" x14ac:dyDescent="0.3">
      <c r="G1800" t="s">
        <v>481</v>
      </c>
    </row>
    <row r="1801" spans="7:7" x14ac:dyDescent="0.3">
      <c r="G1801" t="s">
        <v>2823</v>
      </c>
    </row>
    <row r="1802" spans="7:7" x14ac:dyDescent="0.3">
      <c r="G1802" t="s">
        <v>473</v>
      </c>
    </row>
    <row r="1803" spans="7:7" x14ac:dyDescent="0.3">
      <c r="G1803" t="s">
        <v>474</v>
      </c>
    </row>
    <row r="1804" spans="7:7" x14ac:dyDescent="0.3">
      <c r="G1804" t="s">
        <v>2203</v>
      </c>
    </row>
    <row r="1805" spans="7:7" x14ac:dyDescent="0.3">
      <c r="G1805" t="s">
        <v>2824</v>
      </c>
    </row>
    <row r="1806" spans="7:7" x14ac:dyDescent="0.3">
      <c r="G1806" t="s">
        <v>473</v>
      </c>
    </row>
    <row r="1807" spans="7:7" x14ac:dyDescent="0.3">
      <c r="G1807" t="s">
        <v>448</v>
      </c>
    </row>
    <row r="1808" spans="7:7" x14ac:dyDescent="0.3">
      <c r="G1808" t="s">
        <v>409</v>
      </c>
    </row>
    <row r="1809" spans="7:7" x14ac:dyDescent="0.3">
      <c r="G1809" t="s">
        <v>177</v>
      </c>
    </row>
    <row r="1810" spans="7:7" x14ac:dyDescent="0.3">
      <c r="G1810" t="s">
        <v>436</v>
      </c>
    </row>
    <row r="1811" spans="7:7" x14ac:dyDescent="0.3">
      <c r="G1811" t="s">
        <v>437</v>
      </c>
    </row>
    <row r="1812" spans="7:7" x14ac:dyDescent="0.3">
      <c r="G1812" t="s">
        <v>438</v>
      </c>
    </row>
    <row r="1813" spans="7:7" x14ac:dyDescent="0.3">
      <c r="G1813" t="s">
        <v>439</v>
      </c>
    </row>
    <row r="1814" spans="7:7" x14ac:dyDescent="0.3">
      <c r="G1814" t="s">
        <v>2825</v>
      </c>
    </row>
    <row r="1815" spans="7:7" x14ac:dyDescent="0.3">
      <c r="G1815" t="s">
        <v>440</v>
      </c>
    </row>
    <row r="1816" spans="7:7" x14ac:dyDescent="0.3">
      <c r="G1816" t="s">
        <v>2179</v>
      </c>
    </row>
    <row r="1817" spans="7:7" x14ac:dyDescent="0.3">
      <c r="G1817" t="s">
        <v>441</v>
      </c>
    </row>
    <row r="1818" spans="7:7" x14ac:dyDescent="0.3">
      <c r="G1818" t="s">
        <v>2826</v>
      </c>
    </row>
    <row r="1819" spans="7:7" x14ac:dyDescent="0.3">
      <c r="G1819" t="s">
        <v>2827</v>
      </c>
    </row>
    <row r="1820" spans="7:7" x14ac:dyDescent="0.3">
      <c r="G1820" t="s">
        <v>445</v>
      </c>
    </row>
    <row r="1821" spans="7:7" x14ac:dyDescent="0.3">
      <c r="G1821" t="s">
        <v>2183</v>
      </c>
    </row>
    <row r="1822" spans="7:7" x14ac:dyDescent="0.3">
      <c r="G1822" t="s">
        <v>448</v>
      </c>
    </row>
    <row r="1823" spans="7:7" x14ac:dyDescent="0.3">
      <c r="G1823" t="s">
        <v>393</v>
      </c>
    </row>
    <row r="1824" spans="7:7" x14ac:dyDescent="0.3">
      <c r="G1824" t="s">
        <v>449</v>
      </c>
    </row>
    <row r="1825" spans="7:7" x14ac:dyDescent="0.3">
      <c r="G1825" t="s">
        <v>450</v>
      </c>
    </row>
    <row r="1826" spans="7:7" x14ac:dyDescent="0.3">
      <c r="G1826" t="s">
        <v>451</v>
      </c>
    </row>
    <row r="1827" spans="7:7" x14ac:dyDescent="0.3">
      <c r="G1827" t="s">
        <v>452</v>
      </c>
    </row>
    <row r="1828" spans="7:7" x14ac:dyDescent="0.3">
      <c r="G1828" t="s">
        <v>2828</v>
      </c>
    </row>
    <row r="1829" spans="7:7" x14ac:dyDescent="0.3">
      <c r="G1829" t="s">
        <v>2829</v>
      </c>
    </row>
    <row r="1830" spans="7:7" x14ac:dyDescent="0.3">
      <c r="G1830" t="s">
        <v>2830</v>
      </c>
    </row>
    <row r="1831" spans="7:7" x14ac:dyDescent="0.3">
      <c r="G1831" t="s">
        <v>2831</v>
      </c>
    </row>
    <row r="1832" spans="7:7" x14ac:dyDescent="0.3">
      <c r="G1832" t="s">
        <v>2832</v>
      </c>
    </row>
    <row r="1833" spans="7:7" x14ac:dyDescent="0.3">
      <c r="G1833" t="s">
        <v>2833</v>
      </c>
    </row>
    <row r="1834" spans="7:7" x14ac:dyDescent="0.3">
      <c r="G1834" t="s">
        <v>2834</v>
      </c>
    </row>
    <row r="1835" spans="7:7" x14ac:dyDescent="0.3">
      <c r="G1835" t="s">
        <v>2835</v>
      </c>
    </row>
    <row r="1836" spans="7:7" x14ac:dyDescent="0.3">
      <c r="G1836" t="s">
        <v>2836</v>
      </c>
    </row>
    <row r="1837" spans="7:7" x14ac:dyDescent="0.3">
      <c r="G1837" t="s">
        <v>2837</v>
      </c>
    </row>
    <row r="1838" spans="7:7" x14ac:dyDescent="0.3">
      <c r="G1838" t="s">
        <v>448</v>
      </c>
    </row>
    <row r="1839" spans="7:7" x14ac:dyDescent="0.3">
      <c r="G1839" t="s">
        <v>393</v>
      </c>
    </row>
    <row r="1840" spans="7:7" x14ac:dyDescent="0.3">
      <c r="G1840" t="s">
        <v>463</v>
      </c>
    </row>
    <row r="1841" spans="7:7" x14ac:dyDescent="0.3">
      <c r="G1841" t="s">
        <v>464</v>
      </c>
    </row>
    <row r="1842" spans="7:7" x14ac:dyDescent="0.3">
      <c r="G1842" t="s">
        <v>2838</v>
      </c>
    </row>
    <row r="1843" spans="7:7" x14ac:dyDescent="0.3">
      <c r="G1843" t="s">
        <v>2839</v>
      </c>
    </row>
    <row r="1844" spans="7:7" x14ac:dyDescent="0.3">
      <c r="G1844" t="s">
        <v>2840</v>
      </c>
    </row>
    <row r="1845" spans="7:7" x14ac:dyDescent="0.3">
      <c r="G1845" t="s">
        <v>2841</v>
      </c>
    </row>
    <row r="1846" spans="7:7" x14ac:dyDescent="0.3">
      <c r="G1846" t="s">
        <v>2842</v>
      </c>
    </row>
    <row r="1847" spans="7:7" x14ac:dyDescent="0.3">
      <c r="G1847" t="s">
        <v>448</v>
      </c>
    </row>
    <row r="1848" spans="7:7" x14ac:dyDescent="0.3">
      <c r="G1848" t="s">
        <v>393</v>
      </c>
    </row>
    <row r="1849" spans="7:7" x14ac:dyDescent="0.3">
      <c r="G1849" t="s">
        <v>470</v>
      </c>
    </row>
    <row r="1850" spans="7:7" x14ac:dyDescent="0.3">
      <c r="G1850" t="s">
        <v>471</v>
      </c>
    </row>
    <row r="1851" spans="7:7" x14ac:dyDescent="0.3">
      <c r="G1851" t="s">
        <v>2843</v>
      </c>
    </row>
    <row r="1852" spans="7:7" x14ac:dyDescent="0.3">
      <c r="G1852" t="s">
        <v>473</v>
      </c>
    </row>
    <row r="1853" spans="7:7" x14ac:dyDescent="0.3">
      <c r="G1853" t="s">
        <v>474</v>
      </c>
    </row>
    <row r="1854" spans="7:7" x14ac:dyDescent="0.3">
      <c r="G1854" t="s">
        <v>2199</v>
      </c>
    </row>
    <row r="1855" spans="7:7" x14ac:dyDescent="0.3">
      <c r="G1855" t="s">
        <v>2844</v>
      </c>
    </row>
    <row r="1856" spans="7:7" x14ac:dyDescent="0.3">
      <c r="G1856" t="s">
        <v>473</v>
      </c>
    </row>
    <row r="1857" spans="7:7" x14ac:dyDescent="0.3">
      <c r="G1857" t="s">
        <v>474</v>
      </c>
    </row>
    <row r="1858" spans="7:7" x14ac:dyDescent="0.3">
      <c r="G1858" t="s">
        <v>475</v>
      </c>
    </row>
    <row r="1859" spans="7:7" x14ac:dyDescent="0.3">
      <c r="G1859" t="s">
        <v>2845</v>
      </c>
    </row>
    <row r="1860" spans="7:7" x14ac:dyDescent="0.3">
      <c r="G1860" t="s">
        <v>473</v>
      </c>
    </row>
    <row r="1861" spans="7:7" x14ac:dyDescent="0.3">
      <c r="G1861" t="s">
        <v>474</v>
      </c>
    </row>
    <row r="1862" spans="7:7" x14ac:dyDescent="0.3">
      <c r="G1862" t="s">
        <v>481</v>
      </c>
    </row>
    <row r="1863" spans="7:7" x14ac:dyDescent="0.3">
      <c r="G1863" t="s">
        <v>2846</v>
      </c>
    </row>
    <row r="1864" spans="7:7" x14ac:dyDescent="0.3">
      <c r="G1864" t="s">
        <v>473</v>
      </c>
    </row>
    <row r="1865" spans="7:7" x14ac:dyDescent="0.3">
      <c r="G1865" t="s">
        <v>474</v>
      </c>
    </row>
    <row r="1866" spans="7:7" x14ac:dyDescent="0.3">
      <c r="G1866" t="s">
        <v>2203</v>
      </c>
    </row>
    <row r="1867" spans="7:7" x14ac:dyDescent="0.3">
      <c r="G1867" t="s">
        <v>2847</v>
      </c>
    </row>
    <row r="1868" spans="7:7" x14ac:dyDescent="0.3">
      <c r="G1868" t="s">
        <v>473</v>
      </c>
    </row>
    <row r="1869" spans="7:7" x14ac:dyDescent="0.3">
      <c r="G1869" t="s">
        <v>448</v>
      </c>
    </row>
    <row r="1870" spans="7:7" x14ac:dyDescent="0.3">
      <c r="G1870" t="s">
        <v>409</v>
      </c>
    </row>
    <row r="1871" spans="7:7" x14ac:dyDescent="0.3">
      <c r="G1871" t="s">
        <v>177</v>
      </c>
    </row>
    <row r="1872" spans="7:7" x14ac:dyDescent="0.3">
      <c r="G1872" t="s">
        <v>436</v>
      </c>
    </row>
    <row r="1873" spans="7:7" x14ac:dyDescent="0.3">
      <c r="G1873" t="s">
        <v>437</v>
      </c>
    </row>
    <row r="1874" spans="7:7" x14ac:dyDescent="0.3">
      <c r="G1874" t="s">
        <v>438</v>
      </c>
    </row>
    <row r="1875" spans="7:7" x14ac:dyDescent="0.3">
      <c r="G1875" t="s">
        <v>439</v>
      </c>
    </row>
    <row r="1876" spans="7:7" x14ac:dyDescent="0.3">
      <c r="G1876" t="s">
        <v>440</v>
      </c>
    </row>
    <row r="1877" spans="7:7" x14ac:dyDescent="0.3">
      <c r="G1877" t="s">
        <v>2848</v>
      </c>
    </row>
    <row r="1878" spans="7:7" x14ac:dyDescent="0.3">
      <c r="G1878" t="s">
        <v>2179</v>
      </c>
    </row>
    <row r="1879" spans="7:7" x14ac:dyDescent="0.3">
      <c r="G1879" t="s">
        <v>441</v>
      </c>
    </row>
    <row r="1880" spans="7:7" x14ac:dyDescent="0.3">
      <c r="G1880" t="s">
        <v>2849</v>
      </c>
    </row>
    <row r="1881" spans="7:7" x14ac:dyDescent="0.3">
      <c r="G1881" t="s">
        <v>703</v>
      </c>
    </row>
    <row r="1882" spans="7:7" x14ac:dyDescent="0.3">
      <c r="G1882" t="s">
        <v>2850</v>
      </c>
    </row>
    <row r="1883" spans="7:7" x14ac:dyDescent="0.3">
      <c r="G1883" t="s">
        <v>2183</v>
      </c>
    </row>
    <row r="1884" spans="7:7" x14ac:dyDescent="0.3">
      <c r="G1884" t="s">
        <v>448</v>
      </c>
    </row>
    <row r="1885" spans="7:7" x14ac:dyDescent="0.3">
      <c r="G1885" t="s">
        <v>393</v>
      </c>
    </row>
    <row r="1886" spans="7:7" x14ac:dyDescent="0.3">
      <c r="G1886" t="s">
        <v>449</v>
      </c>
    </row>
    <row r="1887" spans="7:7" x14ac:dyDescent="0.3">
      <c r="G1887" t="s">
        <v>450</v>
      </c>
    </row>
    <row r="1888" spans="7:7" x14ac:dyDescent="0.3">
      <c r="G1888" t="s">
        <v>451</v>
      </c>
    </row>
    <row r="1889" spans="7:7" x14ac:dyDescent="0.3">
      <c r="G1889" t="s">
        <v>452</v>
      </c>
    </row>
    <row r="1890" spans="7:7" x14ac:dyDescent="0.3">
      <c r="G1890" t="s">
        <v>2851</v>
      </c>
    </row>
    <row r="1891" spans="7:7" x14ac:dyDescent="0.3">
      <c r="G1891" t="s">
        <v>2852</v>
      </c>
    </row>
    <row r="1892" spans="7:7" x14ac:dyDescent="0.3">
      <c r="G1892" t="s">
        <v>2853</v>
      </c>
    </row>
    <row r="1893" spans="7:7" x14ac:dyDescent="0.3">
      <c r="G1893" t="s">
        <v>2854</v>
      </c>
    </row>
    <row r="1894" spans="7:7" x14ac:dyDescent="0.3">
      <c r="G1894" t="s">
        <v>2855</v>
      </c>
    </row>
    <row r="1895" spans="7:7" x14ac:dyDescent="0.3">
      <c r="G1895" t="s">
        <v>2856</v>
      </c>
    </row>
    <row r="1896" spans="7:7" x14ac:dyDescent="0.3">
      <c r="G1896" t="s">
        <v>2857</v>
      </c>
    </row>
    <row r="1897" spans="7:7" x14ac:dyDescent="0.3">
      <c r="G1897" t="s">
        <v>2858</v>
      </c>
    </row>
    <row r="1898" spans="7:7" x14ac:dyDescent="0.3">
      <c r="G1898" t="s">
        <v>2859</v>
      </c>
    </row>
    <row r="1899" spans="7:7" x14ac:dyDescent="0.3">
      <c r="G1899" t="s">
        <v>2860</v>
      </c>
    </row>
    <row r="1900" spans="7:7" x14ac:dyDescent="0.3">
      <c r="G1900" t="s">
        <v>448</v>
      </c>
    </row>
    <row r="1901" spans="7:7" x14ac:dyDescent="0.3">
      <c r="G1901" t="s">
        <v>393</v>
      </c>
    </row>
    <row r="1902" spans="7:7" x14ac:dyDescent="0.3">
      <c r="G1902" t="s">
        <v>463</v>
      </c>
    </row>
    <row r="1903" spans="7:7" x14ac:dyDescent="0.3">
      <c r="G1903" t="s">
        <v>464</v>
      </c>
    </row>
    <row r="1904" spans="7:7" x14ac:dyDescent="0.3">
      <c r="G1904" t="s">
        <v>2861</v>
      </c>
    </row>
    <row r="1905" spans="7:7" x14ac:dyDescent="0.3">
      <c r="G1905" t="s">
        <v>2862</v>
      </c>
    </row>
    <row r="1906" spans="7:7" x14ac:dyDescent="0.3">
      <c r="G1906" t="s">
        <v>2863</v>
      </c>
    </row>
    <row r="1907" spans="7:7" x14ac:dyDescent="0.3">
      <c r="G1907" t="s">
        <v>2864</v>
      </c>
    </row>
    <row r="1908" spans="7:7" x14ac:dyDescent="0.3">
      <c r="G1908" t="s">
        <v>2865</v>
      </c>
    </row>
    <row r="1909" spans="7:7" x14ac:dyDescent="0.3">
      <c r="G1909" t="s">
        <v>448</v>
      </c>
    </row>
    <row r="1910" spans="7:7" x14ac:dyDescent="0.3">
      <c r="G1910" t="s">
        <v>393</v>
      </c>
    </row>
    <row r="1911" spans="7:7" x14ac:dyDescent="0.3">
      <c r="G1911" t="s">
        <v>470</v>
      </c>
    </row>
    <row r="1912" spans="7:7" x14ac:dyDescent="0.3">
      <c r="G1912" t="s">
        <v>671</v>
      </c>
    </row>
    <row r="1913" spans="7:7" x14ac:dyDescent="0.3">
      <c r="G1913" t="s">
        <v>2866</v>
      </c>
    </row>
    <row r="1914" spans="7:7" x14ac:dyDescent="0.3">
      <c r="G1914" t="s">
        <v>473</v>
      </c>
    </row>
    <row r="1915" spans="7:7" x14ac:dyDescent="0.3">
      <c r="G1915" t="s">
        <v>474</v>
      </c>
    </row>
    <row r="1916" spans="7:7" x14ac:dyDescent="0.3">
      <c r="G1916" t="s">
        <v>471</v>
      </c>
    </row>
    <row r="1917" spans="7:7" x14ac:dyDescent="0.3">
      <c r="G1917" t="s">
        <v>2867</v>
      </c>
    </row>
    <row r="1918" spans="7:7" x14ac:dyDescent="0.3">
      <c r="G1918" t="s">
        <v>473</v>
      </c>
    </row>
    <row r="1919" spans="7:7" x14ac:dyDescent="0.3">
      <c r="G1919" t="s">
        <v>474</v>
      </c>
    </row>
    <row r="1920" spans="7:7" x14ac:dyDescent="0.3">
      <c r="G1920" t="s">
        <v>2199</v>
      </c>
    </row>
    <row r="1921" spans="7:7" x14ac:dyDescent="0.3">
      <c r="G1921" t="s">
        <v>2868</v>
      </c>
    </row>
    <row r="1922" spans="7:7" x14ac:dyDescent="0.3">
      <c r="G1922" t="s">
        <v>473</v>
      </c>
    </row>
    <row r="1923" spans="7:7" x14ac:dyDescent="0.3">
      <c r="G1923" t="s">
        <v>474</v>
      </c>
    </row>
    <row r="1924" spans="7:7" x14ac:dyDescent="0.3">
      <c r="G1924" t="s">
        <v>481</v>
      </c>
    </row>
    <row r="1925" spans="7:7" x14ac:dyDescent="0.3">
      <c r="G1925" t="s">
        <v>2869</v>
      </c>
    </row>
    <row r="1926" spans="7:7" x14ac:dyDescent="0.3">
      <c r="G1926" t="s">
        <v>473</v>
      </c>
    </row>
    <row r="1927" spans="7:7" x14ac:dyDescent="0.3">
      <c r="G1927" t="s">
        <v>474</v>
      </c>
    </row>
    <row r="1928" spans="7:7" x14ac:dyDescent="0.3">
      <c r="G1928" t="s">
        <v>2203</v>
      </c>
    </row>
    <row r="1929" spans="7:7" x14ac:dyDescent="0.3">
      <c r="G1929" t="s">
        <v>2870</v>
      </c>
    </row>
    <row r="1930" spans="7:7" x14ac:dyDescent="0.3">
      <c r="G1930" t="s">
        <v>473</v>
      </c>
    </row>
    <row r="1931" spans="7:7" x14ac:dyDescent="0.3">
      <c r="G1931" t="s">
        <v>448</v>
      </c>
    </row>
    <row r="1932" spans="7:7" x14ac:dyDescent="0.3">
      <c r="G1932" t="s">
        <v>409</v>
      </c>
    </row>
    <row r="1933" spans="7:7" x14ac:dyDescent="0.3">
      <c r="G1933" t="s">
        <v>177</v>
      </c>
    </row>
    <row r="1934" spans="7:7" x14ac:dyDescent="0.3">
      <c r="G1934" t="s">
        <v>436</v>
      </c>
    </row>
    <row r="1935" spans="7:7" x14ac:dyDescent="0.3">
      <c r="G1935" t="s">
        <v>437</v>
      </c>
    </row>
    <row r="1936" spans="7:7" x14ac:dyDescent="0.3">
      <c r="G1936" t="s">
        <v>438</v>
      </c>
    </row>
    <row r="1937" spans="7:7" x14ac:dyDescent="0.3">
      <c r="G1937" t="s">
        <v>439</v>
      </c>
    </row>
    <row r="1938" spans="7:7" x14ac:dyDescent="0.3">
      <c r="G1938" t="s">
        <v>440</v>
      </c>
    </row>
    <row r="1939" spans="7:7" x14ac:dyDescent="0.3">
      <c r="G1939" t="s">
        <v>2179</v>
      </c>
    </row>
    <row r="1940" spans="7:7" x14ac:dyDescent="0.3">
      <c r="G1940" t="s">
        <v>441</v>
      </c>
    </row>
    <row r="1941" spans="7:7" x14ac:dyDescent="0.3">
      <c r="G1941" t="s">
        <v>2871</v>
      </c>
    </row>
    <row r="1942" spans="7:7" x14ac:dyDescent="0.3">
      <c r="G1942" t="s">
        <v>2872</v>
      </c>
    </row>
    <row r="1943" spans="7:7" x14ac:dyDescent="0.3">
      <c r="G1943" t="s">
        <v>703</v>
      </c>
    </row>
    <row r="1944" spans="7:7" x14ac:dyDescent="0.3">
      <c r="G1944" t="s">
        <v>2758</v>
      </c>
    </row>
    <row r="1945" spans="7:7" x14ac:dyDescent="0.3">
      <c r="G1945" t="s">
        <v>2183</v>
      </c>
    </row>
    <row r="1946" spans="7:7" x14ac:dyDescent="0.3">
      <c r="G1946" t="s">
        <v>448</v>
      </c>
    </row>
    <row r="1947" spans="7:7" x14ac:dyDescent="0.3">
      <c r="G1947" t="s">
        <v>393</v>
      </c>
    </row>
    <row r="1948" spans="7:7" x14ac:dyDescent="0.3">
      <c r="G1948" t="s">
        <v>449</v>
      </c>
    </row>
    <row r="1949" spans="7:7" x14ac:dyDescent="0.3">
      <c r="G1949" t="s">
        <v>820</v>
      </c>
    </row>
    <row r="1950" spans="7:7" x14ac:dyDescent="0.3">
      <c r="G1950" t="s">
        <v>451</v>
      </c>
    </row>
    <row r="1951" spans="7:7" x14ac:dyDescent="0.3">
      <c r="G1951" t="s">
        <v>452</v>
      </c>
    </row>
    <row r="1952" spans="7:7" x14ac:dyDescent="0.3">
      <c r="G1952" t="s">
        <v>2873</v>
      </c>
    </row>
    <row r="1953" spans="7:7" x14ac:dyDescent="0.3">
      <c r="G1953" t="s">
        <v>2874</v>
      </c>
    </row>
    <row r="1954" spans="7:7" x14ac:dyDescent="0.3">
      <c r="G1954" t="s">
        <v>2875</v>
      </c>
    </row>
    <row r="1955" spans="7:7" x14ac:dyDescent="0.3">
      <c r="G1955" t="s">
        <v>2876</v>
      </c>
    </row>
    <row r="1956" spans="7:7" x14ac:dyDescent="0.3">
      <c r="G1956" t="s">
        <v>2877</v>
      </c>
    </row>
    <row r="1957" spans="7:7" x14ac:dyDescent="0.3">
      <c r="G1957" t="s">
        <v>2878</v>
      </c>
    </row>
    <row r="1958" spans="7:7" x14ac:dyDescent="0.3">
      <c r="G1958" t="s">
        <v>2879</v>
      </c>
    </row>
    <row r="1959" spans="7:7" x14ac:dyDescent="0.3">
      <c r="G1959" t="s">
        <v>2880</v>
      </c>
    </row>
    <row r="1960" spans="7:7" x14ac:dyDescent="0.3">
      <c r="G1960" t="s">
        <v>2881</v>
      </c>
    </row>
    <row r="1961" spans="7:7" x14ac:dyDescent="0.3">
      <c r="G1961" t="s">
        <v>2882</v>
      </c>
    </row>
    <row r="1962" spans="7:7" x14ac:dyDescent="0.3">
      <c r="G1962" t="s">
        <v>448</v>
      </c>
    </row>
    <row r="1963" spans="7:7" x14ac:dyDescent="0.3">
      <c r="G1963" t="s">
        <v>393</v>
      </c>
    </row>
    <row r="1964" spans="7:7" x14ac:dyDescent="0.3">
      <c r="G1964" t="s">
        <v>463</v>
      </c>
    </row>
    <row r="1965" spans="7:7" x14ac:dyDescent="0.3">
      <c r="G1965" t="s">
        <v>464</v>
      </c>
    </row>
    <row r="1966" spans="7:7" x14ac:dyDescent="0.3">
      <c r="G1966" t="s">
        <v>2883</v>
      </c>
    </row>
    <row r="1967" spans="7:7" x14ac:dyDescent="0.3">
      <c r="G1967" t="s">
        <v>2884</v>
      </c>
    </row>
    <row r="1968" spans="7:7" x14ac:dyDescent="0.3">
      <c r="G1968" t="s">
        <v>2885</v>
      </c>
    </row>
    <row r="1969" spans="7:7" x14ac:dyDescent="0.3">
      <c r="G1969" t="s">
        <v>2886</v>
      </c>
    </row>
    <row r="1970" spans="7:7" x14ac:dyDescent="0.3">
      <c r="G1970" t="s">
        <v>2887</v>
      </c>
    </row>
    <row r="1971" spans="7:7" x14ac:dyDescent="0.3">
      <c r="G1971" t="s">
        <v>448</v>
      </c>
    </row>
    <row r="1972" spans="7:7" x14ac:dyDescent="0.3">
      <c r="G1972" t="s">
        <v>393</v>
      </c>
    </row>
    <row r="1973" spans="7:7" x14ac:dyDescent="0.3">
      <c r="G1973" t="s">
        <v>470</v>
      </c>
    </row>
    <row r="1974" spans="7:7" x14ac:dyDescent="0.3">
      <c r="G1974" t="s">
        <v>481</v>
      </c>
    </row>
    <row r="1975" spans="7:7" x14ac:dyDescent="0.3">
      <c r="G1975" t="s">
        <v>2888</v>
      </c>
    </row>
    <row r="1976" spans="7:7" x14ac:dyDescent="0.3">
      <c r="G1976" t="s">
        <v>473</v>
      </c>
    </row>
    <row r="1977" spans="7:7" x14ac:dyDescent="0.3">
      <c r="G1977" t="s">
        <v>474</v>
      </c>
    </row>
    <row r="1978" spans="7:7" x14ac:dyDescent="0.3">
      <c r="G1978" t="s">
        <v>2203</v>
      </c>
    </row>
    <row r="1979" spans="7:7" x14ac:dyDescent="0.3">
      <c r="G1979" t="s">
        <v>2889</v>
      </c>
    </row>
    <row r="1980" spans="7:7" x14ac:dyDescent="0.3">
      <c r="G1980" t="s">
        <v>473</v>
      </c>
    </row>
    <row r="1981" spans="7:7" x14ac:dyDescent="0.3">
      <c r="G1981" t="s">
        <v>474</v>
      </c>
    </row>
    <row r="1982" spans="7:7" x14ac:dyDescent="0.3">
      <c r="G1982" t="s">
        <v>2199</v>
      </c>
    </row>
    <row r="1983" spans="7:7" x14ac:dyDescent="0.3">
      <c r="G1983" t="s">
        <v>2890</v>
      </c>
    </row>
    <row r="1984" spans="7:7" x14ac:dyDescent="0.3">
      <c r="G1984" t="s">
        <v>473</v>
      </c>
    </row>
    <row r="1985" spans="7:7" x14ac:dyDescent="0.3">
      <c r="G1985" t="s">
        <v>474</v>
      </c>
    </row>
    <row r="1986" spans="7:7" x14ac:dyDescent="0.3">
      <c r="G1986" t="s">
        <v>471</v>
      </c>
    </row>
    <row r="1987" spans="7:7" x14ac:dyDescent="0.3">
      <c r="G1987" t="s">
        <v>2891</v>
      </c>
    </row>
    <row r="1988" spans="7:7" x14ac:dyDescent="0.3">
      <c r="G1988" t="s">
        <v>473</v>
      </c>
    </row>
    <row r="1989" spans="7:7" x14ac:dyDescent="0.3">
      <c r="G1989" t="s">
        <v>474</v>
      </c>
    </row>
    <row r="1990" spans="7:7" x14ac:dyDescent="0.3">
      <c r="G1990" t="s">
        <v>671</v>
      </c>
    </row>
    <row r="1991" spans="7:7" x14ac:dyDescent="0.3">
      <c r="G1991" t="s">
        <v>2892</v>
      </c>
    </row>
    <row r="1992" spans="7:7" x14ac:dyDescent="0.3">
      <c r="G1992" t="s">
        <v>473</v>
      </c>
    </row>
    <row r="1993" spans="7:7" x14ac:dyDescent="0.3">
      <c r="G1993" t="s">
        <v>448</v>
      </c>
    </row>
    <row r="1994" spans="7:7" x14ac:dyDescent="0.3">
      <c r="G1994" t="s">
        <v>409</v>
      </c>
    </row>
    <row r="1995" spans="7:7" x14ac:dyDescent="0.3">
      <c r="G1995" t="s">
        <v>177</v>
      </c>
    </row>
    <row r="1996" spans="7:7" x14ac:dyDescent="0.3">
      <c r="G1996" t="s">
        <v>436</v>
      </c>
    </row>
    <row r="1997" spans="7:7" x14ac:dyDescent="0.3">
      <c r="G1997" t="s">
        <v>437</v>
      </c>
    </row>
    <row r="1998" spans="7:7" x14ac:dyDescent="0.3">
      <c r="G1998" t="s">
        <v>438</v>
      </c>
    </row>
    <row r="1999" spans="7:7" x14ac:dyDescent="0.3">
      <c r="G1999" t="s">
        <v>439</v>
      </c>
    </row>
    <row r="2000" spans="7:7" x14ac:dyDescent="0.3">
      <c r="G2000" t="s">
        <v>440</v>
      </c>
    </row>
    <row r="2001" spans="7:7" x14ac:dyDescent="0.3">
      <c r="G2001" t="s">
        <v>2179</v>
      </c>
    </row>
    <row r="2002" spans="7:7" x14ac:dyDescent="0.3">
      <c r="G2002" t="s">
        <v>441</v>
      </c>
    </row>
    <row r="2003" spans="7:7" x14ac:dyDescent="0.3">
      <c r="G2003" t="s">
        <v>2893</v>
      </c>
    </row>
    <row r="2004" spans="7:7" x14ac:dyDescent="0.3">
      <c r="G2004" t="s">
        <v>2528</v>
      </c>
    </row>
    <row r="2005" spans="7:7" x14ac:dyDescent="0.3">
      <c r="G2005" t="s">
        <v>445</v>
      </c>
    </row>
    <row r="2006" spans="7:7" x14ac:dyDescent="0.3">
      <c r="G2006" t="s">
        <v>2894</v>
      </c>
    </row>
    <row r="2007" spans="7:7" x14ac:dyDescent="0.3">
      <c r="G2007" t="s">
        <v>2183</v>
      </c>
    </row>
    <row r="2008" spans="7:7" x14ac:dyDescent="0.3">
      <c r="G2008" t="s">
        <v>448</v>
      </c>
    </row>
    <row r="2009" spans="7:7" x14ac:dyDescent="0.3">
      <c r="G2009" t="s">
        <v>393</v>
      </c>
    </row>
    <row r="2010" spans="7:7" x14ac:dyDescent="0.3">
      <c r="G2010" t="s">
        <v>449</v>
      </c>
    </row>
    <row r="2011" spans="7:7" x14ac:dyDescent="0.3">
      <c r="G2011" t="s">
        <v>450</v>
      </c>
    </row>
    <row r="2012" spans="7:7" x14ac:dyDescent="0.3">
      <c r="G2012" t="s">
        <v>451</v>
      </c>
    </row>
    <row r="2013" spans="7:7" x14ac:dyDescent="0.3">
      <c r="G2013" t="s">
        <v>452</v>
      </c>
    </row>
    <row r="2014" spans="7:7" x14ac:dyDescent="0.3">
      <c r="G2014" t="s">
        <v>2895</v>
      </c>
    </row>
    <row r="2015" spans="7:7" x14ac:dyDescent="0.3">
      <c r="G2015" t="s">
        <v>2896</v>
      </c>
    </row>
    <row r="2016" spans="7:7" x14ac:dyDescent="0.3">
      <c r="G2016" t="s">
        <v>2897</v>
      </c>
    </row>
    <row r="2017" spans="7:7" x14ac:dyDescent="0.3">
      <c r="G2017" t="s">
        <v>2898</v>
      </c>
    </row>
    <row r="2018" spans="7:7" x14ac:dyDescent="0.3">
      <c r="G2018" t="s">
        <v>2899</v>
      </c>
    </row>
    <row r="2019" spans="7:7" x14ac:dyDescent="0.3">
      <c r="G2019" t="s">
        <v>2900</v>
      </c>
    </row>
    <row r="2020" spans="7:7" x14ac:dyDescent="0.3">
      <c r="G2020" t="s">
        <v>2901</v>
      </c>
    </row>
    <row r="2021" spans="7:7" x14ac:dyDescent="0.3">
      <c r="G2021" t="s">
        <v>2902</v>
      </c>
    </row>
    <row r="2022" spans="7:7" x14ac:dyDescent="0.3">
      <c r="G2022" t="s">
        <v>2903</v>
      </c>
    </row>
    <row r="2023" spans="7:7" x14ac:dyDescent="0.3">
      <c r="G2023" t="s">
        <v>2904</v>
      </c>
    </row>
    <row r="2024" spans="7:7" x14ac:dyDescent="0.3">
      <c r="G2024" t="s">
        <v>448</v>
      </c>
    </row>
    <row r="2025" spans="7:7" x14ac:dyDescent="0.3">
      <c r="G2025" t="s">
        <v>393</v>
      </c>
    </row>
    <row r="2026" spans="7:7" x14ac:dyDescent="0.3">
      <c r="G2026" t="s">
        <v>463</v>
      </c>
    </row>
    <row r="2027" spans="7:7" x14ac:dyDescent="0.3">
      <c r="G2027" t="s">
        <v>464</v>
      </c>
    </row>
    <row r="2028" spans="7:7" x14ac:dyDescent="0.3">
      <c r="G2028" t="s">
        <v>2905</v>
      </c>
    </row>
    <row r="2029" spans="7:7" x14ac:dyDescent="0.3">
      <c r="G2029" t="s">
        <v>2906</v>
      </c>
    </row>
    <row r="2030" spans="7:7" x14ac:dyDescent="0.3">
      <c r="G2030" t="s">
        <v>2907</v>
      </c>
    </row>
    <row r="2031" spans="7:7" x14ac:dyDescent="0.3">
      <c r="G2031" t="s">
        <v>2908</v>
      </c>
    </row>
    <row r="2032" spans="7:7" x14ac:dyDescent="0.3">
      <c r="G2032" t="s">
        <v>2909</v>
      </c>
    </row>
    <row r="2033" spans="7:7" x14ac:dyDescent="0.3">
      <c r="G2033" t="s">
        <v>448</v>
      </c>
    </row>
    <row r="2034" spans="7:7" x14ac:dyDescent="0.3">
      <c r="G2034" t="s">
        <v>393</v>
      </c>
    </row>
    <row r="2035" spans="7:7" x14ac:dyDescent="0.3">
      <c r="G2035" t="s">
        <v>470</v>
      </c>
    </row>
    <row r="2036" spans="7:7" x14ac:dyDescent="0.3">
      <c r="G2036" t="s">
        <v>471</v>
      </c>
    </row>
    <row r="2037" spans="7:7" x14ac:dyDescent="0.3">
      <c r="G2037" t="s">
        <v>2910</v>
      </c>
    </row>
    <row r="2038" spans="7:7" x14ac:dyDescent="0.3">
      <c r="G2038" t="s">
        <v>473</v>
      </c>
    </row>
    <row r="2039" spans="7:7" x14ac:dyDescent="0.3">
      <c r="G2039" t="s">
        <v>474</v>
      </c>
    </row>
    <row r="2040" spans="7:7" x14ac:dyDescent="0.3">
      <c r="G2040" t="s">
        <v>2199</v>
      </c>
    </row>
    <row r="2041" spans="7:7" x14ac:dyDescent="0.3">
      <c r="G2041" t="s">
        <v>2911</v>
      </c>
    </row>
    <row r="2042" spans="7:7" x14ac:dyDescent="0.3">
      <c r="G2042" t="s">
        <v>473</v>
      </c>
    </row>
    <row r="2043" spans="7:7" x14ac:dyDescent="0.3">
      <c r="G2043" t="s">
        <v>474</v>
      </c>
    </row>
    <row r="2044" spans="7:7" x14ac:dyDescent="0.3">
      <c r="G2044" t="s">
        <v>475</v>
      </c>
    </row>
    <row r="2045" spans="7:7" x14ac:dyDescent="0.3">
      <c r="G2045" t="s">
        <v>2912</v>
      </c>
    </row>
    <row r="2046" spans="7:7" x14ac:dyDescent="0.3">
      <c r="G2046" t="s">
        <v>473</v>
      </c>
    </row>
    <row r="2047" spans="7:7" x14ac:dyDescent="0.3">
      <c r="G2047" t="s">
        <v>474</v>
      </c>
    </row>
    <row r="2048" spans="7:7" x14ac:dyDescent="0.3">
      <c r="G2048" t="s">
        <v>481</v>
      </c>
    </row>
    <row r="2049" spans="7:7" x14ac:dyDescent="0.3">
      <c r="G2049" t="s">
        <v>2913</v>
      </c>
    </row>
    <row r="2050" spans="7:7" x14ac:dyDescent="0.3">
      <c r="G2050" t="s">
        <v>473</v>
      </c>
    </row>
    <row r="2051" spans="7:7" x14ac:dyDescent="0.3">
      <c r="G2051" t="s">
        <v>474</v>
      </c>
    </row>
    <row r="2052" spans="7:7" x14ac:dyDescent="0.3">
      <c r="G2052" t="s">
        <v>2203</v>
      </c>
    </row>
    <row r="2053" spans="7:7" x14ac:dyDescent="0.3">
      <c r="G2053" t="s">
        <v>2914</v>
      </c>
    </row>
    <row r="2054" spans="7:7" x14ac:dyDescent="0.3">
      <c r="G2054" t="s">
        <v>473</v>
      </c>
    </row>
    <row r="2055" spans="7:7" x14ac:dyDescent="0.3">
      <c r="G2055" t="s">
        <v>448</v>
      </c>
    </row>
    <row r="2056" spans="7:7" x14ac:dyDescent="0.3">
      <c r="G2056" t="s">
        <v>409</v>
      </c>
    </row>
    <row r="2057" spans="7:7" x14ac:dyDescent="0.3">
      <c r="G2057" t="s">
        <v>177</v>
      </c>
    </row>
    <row r="2058" spans="7:7" x14ac:dyDescent="0.3">
      <c r="G2058" t="s">
        <v>436</v>
      </c>
    </row>
    <row r="2059" spans="7:7" x14ac:dyDescent="0.3">
      <c r="G2059" t="s">
        <v>437</v>
      </c>
    </row>
    <row r="2060" spans="7:7" x14ac:dyDescent="0.3">
      <c r="G2060" t="s">
        <v>438</v>
      </c>
    </row>
    <row r="2061" spans="7:7" x14ac:dyDescent="0.3">
      <c r="G2061" t="s">
        <v>439</v>
      </c>
    </row>
    <row r="2062" spans="7:7" x14ac:dyDescent="0.3">
      <c r="G2062" t="s">
        <v>2915</v>
      </c>
    </row>
    <row r="2063" spans="7:7" x14ac:dyDescent="0.3">
      <c r="G2063" t="s">
        <v>440</v>
      </c>
    </row>
    <row r="2064" spans="7:7" x14ac:dyDescent="0.3">
      <c r="G2064" t="s">
        <v>2916</v>
      </c>
    </row>
    <row r="2065" spans="7:7" x14ac:dyDescent="0.3">
      <c r="G2065" t="s">
        <v>2179</v>
      </c>
    </row>
    <row r="2066" spans="7:7" x14ac:dyDescent="0.3">
      <c r="G2066" t="s">
        <v>441</v>
      </c>
    </row>
    <row r="2067" spans="7:7" x14ac:dyDescent="0.3">
      <c r="G2067" t="s">
        <v>2917</v>
      </c>
    </row>
    <row r="2068" spans="7:7" x14ac:dyDescent="0.3">
      <c r="G2068" t="s">
        <v>703</v>
      </c>
    </row>
    <row r="2069" spans="7:7" x14ac:dyDescent="0.3">
      <c r="G2069" t="s">
        <v>2183</v>
      </c>
    </row>
    <row r="2070" spans="7:7" x14ac:dyDescent="0.3">
      <c r="G2070" t="s">
        <v>448</v>
      </c>
    </row>
    <row r="2071" spans="7:7" x14ac:dyDescent="0.3">
      <c r="G2071" t="s">
        <v>393</v>
      </c>
    </row>
    <row r="2072" spans="7:7" x14ac:dyDescent="0.3">
      <c r="G2072" t="s">
        <v>449</v>
      </c>
    </row>
    <row r="2073" spans="7:7" x14ac:dyDescent="0.3">
      <c r="G2073" t="s">
        <v>450</v>
      </c>
    </row>
    <row r="2074" spans="7:7" x14ac:dyDescent="0.3">
      <c r="G2074" t="s">
        <v>451</v>
      </c>
    </row>
    <row r="2075" spans="7:7" x14ac:dyDescent="0.3">
      <c r="G2075" t="s">
        <v>452</v>
      </c>
    </row>
    <row r="2076" spans="7:7" x14ac:dyDescent="0.3">
      <c r="G2076" t="s">
        <v>2918</v>
      </c>
    </row>
    <row r="2077" spans="7:7" x14ac:dyDescent="0.3">
      <c r="G2077" t="s">
        <v>2919</v>
      </c>
    </row>
    <row r="2078" spans="7:7" x14ac:dyDescent="0.3">
      <c r="G2078" t="s">
        <v>2920</v>
      </c>
    </row>
    <row r="2079" spans="7:7" x14ac:dyDescent="0.3">
      <c r="G2079" t="s">
        <v>2921</v>
      </c>
    </row>
    <row r="2080" spans="7:7" x14ac:dyDescent="0.3">
      <c r="G2080" t="s">
        <v>2922</v>
      </c>
    </row>
    <row r="2081" spans="7:7" x14ac:dyDescent="0.3">
      <c r="G2081" t="s">
        <v>2923</v>
      </c>
    </row>
    <row r="2082" spans="7:7" x14ac:dyDescent="0.3">
      <c r="G2082" t="s">
        <v>2924</v>
      </c>
    </row>
    <row r="2083" spans="7:7" x14ac:dyDescent="0.3">
      <c r="G2083" t="s">
        <v>2925</v>
      </c>
    </row>
    <row r="2084" spans="7:7" x14ac:dyDescent="0.3">
      <c r="G2084" t="s">
        <v>2926</v>
      </c>
    </row>
    <row r="2085" spans="7:7" x14ac:dyDescent="0.3">
      <c r="G2085" t="s">
        <v>2927</v>
      </c>
    </row>
    <row r="2086" spans="7:7" x14ac:dyDescent="0.3">
      <c r="G2086" t="s">
        <v>448</v>
      </c>
    </row>
    <row r="2087" spans="7:7" x14ac:dyDescent="0.3">
      <c r="G2087" t="s">
        <v>393</v>
      </c>
    </row>
    <row r="2088" spans="7:7" x14ac:dyDescent="0.3">
      <c r="G2088" t="s">
        <v>463</v>
      </c>
    </row>
    <row r="2089" spans="7:7" x14ac:dyDescent="0.3">
      <c r="G2089" t="s">
        <v>464</v>
      </c>
    </row>
    <row r="2090" spans="7:7" x14ac:dyDescent="0.3">
      <c r="G2090" t="s">
        <v>2928</v>
      </c>
    </row>
    <row r="2091" spans="7:7" x14ac:dyDescent="0.3">
      <c r="G2091" t="s">
        <v>2929</v>
      </c>
    </row>
    <row r="2092" spans="7:7" x14ac:dyDescent="0.3">
      <c r="G2092" t="s">
        <v>2930</v>
      </c>
    </row>
    <row r="2093" spans="7:7" x14ac:dyDescent="0.3">
      <c r="G2093" t="s">
        <v>2931</v>
      </c>
    </row>
    <row r="2094" spans="7:7" x14ac:dyDescent="0.3">
      <c r="G2094" t="s">
        <v>2932</v>
      </c>
    </row>
    <row r="2095" spans="7:7" x14ac:dyDescent="0.3">
      <c r="G2095" t="s">
        <v>448</v>
      </c>
    </row>
    <row r="2096" spans="7:7" x14ac:dyDescent="0.3">
      <c r="G2096" t="s">
        <v>393</v>
      </c>
    </row>
    <row r="2097" spans="7:7" x14ac:dyDescent="0.3">
      <c r="G2097" t="s">
        <v>470</v>
      </c>
    </row>
    <row r="2098" spans="7:7" x14ac:dyDescent="0.3">
      <c r="G2098" t="s">
        <v>671</v>
      </c>
    </row>
    <row r="2099" spans="7:7" x14ac:dyDescent="0.3">
      <c r="G2099" t="s">
        <v>2933</v>
      </c>
    </row>
    <row r="2100" spans="7:7" x14ac:dyDescent="0.3">
      <c r="G2100" t="s">
        <v>473</v>
      </c>
    </row>
    <row r="2101" spans="7:7" x14ac:dyDescent="0.3">
      <c r="G2101" t="s">
        <v>474</v>
      </c>
    </row>
    <row r="2102" spans="7:7" x14ac:dyDescent="0.3">
      <c r="G2102" t="s">
        <v>471</v>
      </c>
    </row>
    <row r="2103" spans="7:7" x14ac:dyDescent="0.3">
      <c r="G2103" t="s">
        <v>2934</v>
      </c>
    </row>
    <row r="2104" spans="7:7" x14ac:dyDescent="0.3">
      <c r="G2104" t="s">
        <v>473</v>
      </c>
    </row>
    <row r="2105" spans="7:7" x14ac:dyDescent="0.3">
      <c r="G2105" t="s">
        <v>474</v>
      </c>
    </row>
    <row r="2106" spans="7:7" x14ac:dyDescent="0.3">
      <c r="G2106" t="s">
        <v>2199</v>
      </c>
    </row>
    <row r="2107" spans="7:7" x14ac:dyDescent="0.3">
      <c r="G2107" t="s">
        <v>2935</v>
      </c>
    </row>
    <row r="2108" spans="7:7" x14ac:dyDescent="0.3">
      <c r="G2108" t="s">
        <v>473</v>
      </c>
    </row>
    <row r="2109" spans="7:7" x14ac:dyDescent="0.3">
      <c r="G2109" t="s">
        <v>474</v>
      </c>
    </row>
    <row r="2110" spans="7:7" x14ac:dyDescent="0.3">
      <c r="G2110" t="s">
        <v>481</v>
      </c>
    </row>
    <row r="2111" spans="7:7" x14ac:dyDescent="0.3">
      <c r="G2111" t="s">
        <v>2936</v>
      </c>
    </row>
    <row r="2112" spans="7:7" x14ac:dyDescent="0.3">
      <c r="G2112" t="s">
        <v>473</v>
      </c>
    </row>
    <row r="2113" spans="7:7" x14ac:dyDescent="0.3">
      <c r="G2113" t="s">
        <v>474</v>
      </c>
    </row>
    <row r="2114" spans="7:7" x14ac:dyDescent="0.3">
      <c r="G2114" t="s">
        <v>2203</v>
      </c>
    </row>
    <row r="2115" spans="7:7" x14ac:dyDescent="0.3">
      <c r="G2115" t="s">
        <v>2937</v>
      </c>
    </row>
    <row r="2116" spans="7:7" x14ac:dyDescent="0.3">
      <c r="G2116" t="s">
        <v>473</v>
      </c>
    </row>
    <row r="2117" spans="7:7" x14ac:dyDescent="0.3">
      <c r="G2117" t="s">
        <v>448</v>
      </c>
    </row>
    <row r="2118" spans="7:7" x14ac:dyDescent="0.3">
      <c r="G2118" t="s">
        <v>409</v>
      </c>
    </row>
    <row r="2119" spans="7:7" x14ac:dyDescent="0.3">
      <c r="G2119" t="s">
        <v>177</v>
      </c>
    </row>
    <row r="2120" spans="7:7" x14ac:dyDescent="0.3">
      <c r="G2120" t="s">
        <v>436</v>
      </c>
    </row>
    <row r="2121" spans="7:7" x14ac:dyDescent="0.3">
      <c r="G2121" t="s">
        <v>437</v>
      </c>
    </row>
    <row r="2122" spans="7:7" x14ac:dyDescent="0.3">
      <c r="G2122" t="s">
        <v>438</v>
      </c>
    </row>
    <row r="2123" spans="7:7" x14ac:dyDescent="0.3">
      <c r="G2123" t="s">
        <v>439</v>
      </c>
    </row>
    <row r="2124" spans="7:7" x14ac:dyDescent="0.3">
      <c r="G2124" t="s">
        <v>2938</v>
      </c>
    </row>
    <row r="2125" spans="7:7" x14ac:dyDescent="0.3">
      <c r="G2125" t="s">
        <v>2179</v>
      </c>
    </row>
    <row r="2126" spans="7:7" x14ac:dyDescent="0.3">
      <c r="G2126" t="s">
        <v>441</v>
      </c>
    </row>
    <row r="2127" spans="7:7" x14ac:dyDescent="0.3">
      <c r="G2127" t="s">
        <v>2939</v>
      </c>
    </row>
    <row r="2128" spans="7:7" x14ac:dyDescent="0.3">
      <c r="G2128" t="s">
        <v>445</v>
      </c>
    </row>
    <row r="2129" spans="7:7" x14ac:dyDescent="0.3">
      <c r="G2129" t="s">
        <v>2940</v>
      </c>
    </row>
    <row r="2130" spans="7:7" x14ac:dyDescent="0.3">
      <c r="G2130" t="s">
        <v>936</v>
      </c>
    </row>
    <row r="2131" spans="7:7" x14ac:dyDescent="0.3">
      <c r="G2131" t="s">
        <v>2183</v>
      </c>
    </row>
    <row r="2132" spans="7:7" x14ac:dyDescent="0.3">
      <c r="G2132" t="s">
        <v>448</v>
      </c>
    </row>
    <row r="2133" spans="7:7" x14ac:dyDescent="0.3">
      <c r="G2133" t="s">
        <v>393</v>
      </c>
    </row>
    <row r="2134" spans="7:7" x14ac:dyDescent="0.3">
      <c r="G2134" t="s">
        <v>449</v>
      </c>
    </row>
    <row r="2135" spans="7:7" x14ac:dyDescent="0.3">
      <c r="G2135" t="s">
        <v>450</v>
      </c>
    </row>
    <row r="2136" spans="7:7" x14ac:dyDescent="0.3">
      <c r="G2136" t="s">
        <v>451</v>
      </c>
    </row>
    <row r="2137" spans="7:7" x14ac:dyDescent="0.3">
      <c r="G2137" t="s">
        <v>452</v>
      </c>
    </row>
    <row r="2138" spans="7:7" x14ac:dyDescent="0.3">
      <c r="G2138" t="s">
        <v>2941</v>
      </c>
    </row>
    <row r="2139" spans="7:7" x14ac:dyDescent="0.3">
      <c r="G2139" t="s">
        <v>2942</v>
      </c>
    </row>
    <row r="2140" spans="7:7" x14ac:dyDescent="0.3">
      <c r="G2140" t="s">
        <v>2943</v>
      </c>
    </row>
    <row r="2141" spans="7:7" x14ac:dyDescent="0.3">
      <c r="G2141" t="s">
        <v>2944</v>
      </c>
    </row>
    <row r="2142" spans="7:7" x14ac:dyDescent="0.3">
      <c r="G2142" t="s">
        <v>2945</v>
      </c>
    </row>
    <row r="2143" spans="7:7" x14ac:dyDescent="0.3">
      <c r="G2143" t="s">
        <v>2946</v>
      </c>
    </row>
    <row r="2144" spans="7:7" x14ac:dyDescent="0.3">
      <c r="G2144" t="s">
        <v>2947</v>
      </c>
    </row>
    <row r="2145" spans="7:7" x14ac:dyDescent="0.3">
      <c r="G2145" t="s">
        <v>2948</v>
      </c>
    </row>
    <row r="2146" spans="7:7" x14ac:dyDescent="0.3">
      <c r="G2146" t="s">
        <v>2949</v>
      </c>
    </row>
    <row r="2147" spans="7:7" x14ac:dyDescent="0.3">
      <c r="G2147" t="s">
        <v>2950</v>
      </c>
    </row>
    <row r="2148" spans="7:7" x14ac:dyDescent="0.3">
      <c r="G2148" t="s">
        <v>448</v>
      </c>
    </row>
    <row r="2149" spans="7:7" x14ac:dyDescent="0.3">
      <c r="G2149" t="s">
        <v>393</v>
      </c>
    </row>
    <row r="2150" spans="7:7" x14ac:dyDescent="0.3">
      <c r="G2150" t="s">
        <v>463</v>
      </c>
    </row>
    <row r="2151" spans="7:7" x14ac:dyDescent="0.3">
      <c r="G2151" t="s">
        <v>464</v>
      </c>
    </row>
    <row r="2152" spans="7:7" x14ac:dyDescent="0.3">
      <c r="G2152" t="s">
        <v>2951</v>
      </c>
    </row>
    <row r="2153" spans="7:7" x14ac:dyDescent="0.3">
      <c r="G2153" t="s">
        <v>2952</v>
      </c>
    </row>
    <row r="2154" spans="7:7" x14ac:dyDescent="0.3">
      <c r="G2154" t="s">
        <v>2953</v>
      </c>
    </row>
    <row r="2155" spans="7:7" x14ac:dyDescent="0.3">
      <c r="G2155" t="s">
        <v>2954</v>
      </c>
    </row>
    <row r="2156" spans="7:7" x14ac:dyDescent="0.3">
      <c r="G2156" t="s">
        <v>2955</v>
      </c>
    </row>
    <row r="2157" spans="7:7" x14ac:dyDescent="0.3">
      <c r="G2157" t="s">
        <v>448</v>
      </c>
    </row>
    <row r="2158" spans="7:7" x14ac:dyDescent="0.3">
      <c r="G2158" t="s">
        <v>393</v>
      </c>
    </row>
    <row r="2159" spans="7:7" x14ac:dyDescent="0.3">
      <c r="G2159" t="s">
        <v>470</v>
      </c>
    </row>
    <row r="2160" spans="7:7" x14ac:dyDescent="0.3">
      <c r="G2160" t="s">
        <v>721</v>
      </c>
    </row>
    <row r="2161" spans="7:7" x14ac:dyDescent="0.3">
      <c r="G2161" t="s">
        <v>2956</v>
      </c>
    </row>
    <row r="2162" spans="7:7" x14ac:dyDescent="0.3">
      <c r="G2162" t="s">
        <v>473</v>
      </c>
    </row>
    <row r="2163" spans="7:7" x14ac:dyDescent="0.3">
      <c r="G2163" t="s">
        <v>474</v>
      </c>
    </row>
    <row r="2164" spans="7:7" x14ac:dyDescent="0.3">
      <c r="G2164" t="s">
        <v>481</v>
      </c>
    </row>
    <row r="2165" spans="7:7" x14ac:dyDescent="0.3">
      <c r="G2165" t="s">
        <v>2957</v>
      </c>
    </row>
    <row r="2166" spans="7:7" x14ac:dyDescent="0.3">
      <c r="G2166" t="s">
        <v>473</v>
      </c>
    </row>
    <row r="2167" spans="7:7" x14ac:dyDescent="0.3">
      <c r="G2167" t="s">
        <v>474</v>
      </c>
    </row>
    <row r="2168" spans="7:7" x14ac:dyDescent="0.3">
      <c r="G2168" t="s">
        <v>2203</v>
      </c>
    </row>
    <row r="2169" spans="7:7" x14ac:dyDescent="0.3">
      <c r="G2169" t="s">
        <v>2958</v>
      </c>
    </row>
    <row r="2170" spans="7:7" x14ac:dyDescent="0.3">
      <c r="G2170" t="s">
        <v>473</v>
      </c>
    </row>
    <row r="2171" spans="7:7" x14ac:dyDescent="0.3">
      <c r="G2171" t="s">
        <v>474</v>
      </c>
    </row>
    <row r="2172" spans="7:7" x14ac:dyDescent="0.3">
      <c r="G2172" t="s">
        <v>2199</v>
      </c>
    </row>
    <row r="2173" spans="7:7" x14ac:dyDescent="0.3">
      <c r="G2173" t="s">
        <v>2959</v>
      </c>
    </row>
    <row r="2174" spans="7:7" x14ac:dyDescent="0.3">
      <c r="G2174" t="s">
        <v>473</v>
      </c>
    </row>
    <row r="2175" spans="7:7" x14ac:dyDescent="0.3">
      <c r="G2175" t="s">
        <v>474</v>
      </c>
    </row>
    <row r="2176" spans="7:7" x14ac:dyDescent="0.3">
      <c r="G2176" t="s">
        <v>475</v>
      </c>
    </row>
    <row r="2177" spans="7:7" x14ac:dyDescent="0.3">
      <c r="G2177" t="s">
        <v>2960</v>
      </c>
    </row>
    <row r="2178" spans="7:7" x14ac:dyDescent="0.3">
      <c r="G2178" t="s">
        <v>473</v>
      </c>
    </row>
    <row r="2179" spans="7:7" x14ac:dyDescent="0.3">
      <c r="G2179" t="s">
        <v>448</v>
      </c>
    </row>
    <row r="2180" spans="7:7" x14ac:dyDescent="0.3">
      <c r="G2180" t="s">
        <v>409</v>
      </c>
    </row>
    <row r="2181" spans="7:7" x14ac:dyDescent="0.3">
      <c r="G2181" t="s">
        <v>177</v>
      </c>
    </row>
    <row r="2182" spans="7:7" x14ac:dyDescent="0.3">
      <c r="G2182" t="s">
        <v>436</v>
      </c>
    </row>
    <row r="2183" spans="7:7" x14ac:dyDescent="0.3">
      <c r="G2183" t="s">
        <v>437</v>
      </c>
    </row>
    <row r="2184" spans="7:7" x14ac:dyDescent="0.3">
      <c r="G2184" t="s">
        <v>438</v>
      </c>
    </row>
    <row r="2185" spans="7:7" x14ac:dyDescent="0.3">
      <c r="G2185" t="s">
        <v>439</v>
      </c>
    </row>
    <row r="2186" spans="7:7" x14ac:dyDescent="0.3">
      <c r="G2186" t="s">
        <v>440</v>
      </c>
    </row>
    <row r="2187" spans="7:7" x14ac:dyDescent="0.3">
      <c r="G2187" t="s">
        <v>2961</v>
      </c>
    </row>
    <row r="2188" spans="7:7" x14ac:dyDescent="0.3">
      <c r="G2188" t="s">
        <v>441</v>
      </c>
    </row>
    <row r="2189" spans="7:7" x14ac:dyDescent="0.3">
      <c r="G2189" t="s">
        <v>2962</v>
      </c>
    </row>
    <row r="2190" spans="7:7" x14ac:dyDescent="0.3">
      <c r="G2190" t="s">
        <v>486</v>
      </c>
    </row>
    <row r="2191" spans="7:7" x14ac:dyDescent="0.3">
      <c r="G2191" t="s">
        <v>2322</v>
      </c>
    </row>
    <row r="2192" spans="7:7" x14ac:dyDescent="0.3">
      <c r="G2192" t="s">
        <v>2963</v>
      </c>
    </row>
    <row r="2193" spans="7:7" x14ac:dyDescent="0.3">
      <c r="G2193" t="s">
        <v>2183</v>
      </c>
    </row>
    <row r="2194" spans="7:7" x14ac:dyDescent="0.3">
      <c r="G2194" t="s">
        <v>448</v>
      </c>
    </row>
    <row r="2195" spans="7:7" x14ac:dyDescent="0.3">
      <c r="G2195" t="s">
        <v>393</v>
      </c>
    </row>
    <row r="2196" spans="7:7" x14ac:dyDescent="0.3">
      <c r="G2196" t="s">
        <v>449</v>
      </c>
    </row>
    <row r="2197" spans="7:7" x14ac:dyDescent="0.3">
      <c r="G2197" t="s">
        <v>820</v>
      </c>
    </row>
    <row r="2198" spans="7:7" x14ac:dyDescent="0.3">
      <c r="G2198" t="s">
        <v>451</v>
      </c>
    </row>
    <row r="2199" spans="7:7" x14ac:dyDescent="0.3">
      <c r="G2199" t="s">
        <v>452</v>
      </c>
    </row>
    <row r="2200" spans="7:7" x14ac:dyDescent="0.3">
      <c r="G2200" t="s">
        <v>2964</v>
      </c>
    </row>
    <row r="2201" spans="7:7" x14ac:dyDescent="0.3">
      <c r="G2201" t="s">
        <v>2965</v>
      </c>
    </row>
    <row r="2202" spans="7:7" x14ac:dyDescent="0.3">
      <c r="G2202" t="s">
        <v>2966</v>
      </c>
    </row>
    <row r="2203" spans="7:7" x14ac:dyDescent="0.3">
      <c r="G2203" t="s">
        <v>2967</v>
      </c>
    </row>
    <row r="2204" spans="7:7" x14ac:dyDescent="0.3">
      <c r="G2204" t="s">
        <v>2968</v>
      </c>
    </row>
    <row r="2205" spans="7:7" x14ac:dyDescent="0.3">
      <c r="G2205" t="s">
        <v>2969</v>
      </c>
    </row>
    <row r="2206" spans="7:7" x14ac:dyDescent="0.3">
      <c r="G2206" t="s">
        <v>2970</v>
      </c>
    </row>
    <row r="2207" spans="7:7" x14ac:dyDescent="0.3">
      <c r="G2207" t="s">
        <v>2971</v>
      </c>
    </row>
    <row r="2208" spans="7:7" x14ac:dyDescent="0.3">
      <c r="G2208" t="s">
        <v>2972</v>
      </c>
    </row>
    <row r="2209" spans="7:7" x14ac:dyDescent="0.3">
      <c r="G2209" t="s">
        <v>2973</v>
      </c>
    </row>
    <row r="2210" spans="7:7" x14ac:dyDescent="0.3">
      <c r="G2210" t="s">
        <v>448</v>
      </c>
    </row>
    <row r="2211" spans="7:7" x14ac:dyDescent="0.3">
      <c r="G2211" t="s">
        <v>393</v>
      </c>
    </row>
    <row r="2212" spans="7:7" x14ac:dyDescent="0.3">
      <c r="G2212" t="s">
        <v>463</v>
      </c>
    </row>
    <row r="2213" spans="7:7" x14ac:dyDescent="0.3">
      <c r="G2213" t="s">
        <v>464</v>
      </c>
    </row>
    <row r="2214" spans="7:7" x14ac:dyDescent="0.3">
      <c r="G2214" t="s">
        <v>2974</v>
      </c>
    </row>
    <row r="2215" spans="7:7" x14ac:dyDescent="0.3">
      <c r="G2215" t="s">
        <v>2975</v>
      </c>
    </row>
    <row r="2216" spans="7:7" x14ac:dyDescent="0.3">
      <c r="G2216" t="s">
        <v>2976</v>
      </c>
    </row>
    <row r="2217" spans="7:7" x14ac:dyDescent="0.3">
      <c r="G2217" t="s">
        <v>2977</v>
      </c>
    </row>
    <row r="2218" spans="7:7" x14ac:dyDescent="0.3">
      <c r="G2218" t="s">
        <v>2978</v>
      </c>
    </row>
    <row r="2219" spans="7:7" x14ac:dyDescent="0.3">
      <c r="G2219" t="s">
        <v>448</v>
      </c>
    </row>
    <row r="2220" spans="7:7" x14ac:dyDescent="0.3">
      <c r="G2220" t="s">
        <v>393</v>
      </c>
    </row>
    <row r="2221" spans="7:7" x14ac:dyDescent="0.3">
      <c r="G2221" t="s">
        <v>470</v>
      </c>
    </row>
    <row r="2222" spans="7:7" x14ac:dyDescent="0.3">
      <c r="G2222" t="s">
        <v>504</v>
      </c>
    </row>
    <row r="2223" spans="7:7" x14ac:dyDescent="0.3">
      <c r="G2223" t="s">
        <v>2979</v>
      </c>
    </row>
    <row r="2224" spans="7:7" x14ac:dyDescent="0.3">
      <c r="G2224" t="s">
        <v>473</v>
      </c>
    </row>
    <row r="2225" spans="7:7" x14ac:dyDescent="0.3">
      <c r="G2225" t="s">
        <v>474</v>
      </c>
    </row>
    <row r="2226" spans="7:7" x14ac:dyDescent="0.3">
      <c r="G2226" t="s">
        <v>471</v>
      </c>
    </row>
    <row r="2227" spans="7:7" x14ac:dyDescent="0.3">
      <c r="G2227" t="s">
        <v>2980</v>
      </c>
    </row>
    <row r="2228" spans="7:7" x14ac:dyDescent="0.3">
      <c r="G2228" t="s">
        <v>473</v>
      </c>
    </row>
    <row r="2229" spans="7:7" x14ac:dyDescent="0.3">
      <c r="G2229" t="s">
        <v>474</v>
      </c>
    </row>
    <row r="2230" spans="7:7" x14ac:dyDescent="0.3">
      <c r="G2230" t="s">
        <v>2341</v>
      </c>
    </row>
    <row r="2231" spans="7:7" x14ac:dyDescent="0.3">
      <c r="G2231" t="s">
        <v>2981</v>
      </c>
    </row>
    <row r="2232" spans="7:7" x14ac:dyDescent="0.3">
      <c r="G2232" t="s">
        <v>473</v>
      </c>
    </row>
    <row r="2233" spans="7:7" x14ac:dyDescent="0.3">
      <c r="G2233" t="s">
        <v>474</v>
      </c>
    </row>
    <row r="2234" spans="7:7" x14ac:dyDescent="0.3">
      <c r="G2234" t="s">
        <v>2203</v>
      </c>
    </row>
    <row r="2235" spans="7:7" x14ac:dyDescent="0.3">
      <c r="G2235" t="s">
        <v>2982</v>
      </c>
    </row>
    <row r="2236" spans="7:7" x14ac:dyDescent="0.3">
      <c r="G2236" t="s">
        <v>473</v>
      </c>
    </row>
    <row r="2237" spans="7:7" x14ac:dyDescent="0.3">
      <c r="G2237" t="s">
        <v>474</v>
      </c>
    </row>
    <row r="2238" spans="7:7" x14ac:dyDescent="0.3">
      <c r="G2238" t="s">
        <v>481</v>
      </c>
    </row>
    <row r="2239" spans="7:7" x14ac:dyDescent="0.3">
      <c r="G2239" t="s">
        <v>2983</v>
      </c>
    </row>
    <row r="2240" spans="7:7" x14ac:dyDescent="0.3">
      <c r="G2240" t="s">
        <v>473</v>
      </c>
    </row>
    <row r="2241" spans="7:7" x14ac:dyDescent="0.3">
      <c r="G2241" t="s">
        <v>448</v>
      </c>
    </row>
    <row r="2242" spans="7:7" x14ac:dyDescent="0.3">
      <c r="G2242" t="s">
        <v>409</v>
      </c>
    </row>
    <row r="2243" spans="7:7" x14ac:dyDescent="0.3">
      <c r="G2243" t="s">
        <v>177</v>
      </c>
    </row>
    <row r="2244" spans="7:7" x14ac:dyDescent="0.3">
      <c r="G2244" t="s">
        <v>436</v>
      </c>
    </row>
    <row r="2245" spans="7:7" x14ac:dyDescent="0.3">
      <c r="G2245" t="s">
        <v>437</v>
      </c>
    </row>
    <row r="2246" spans="7:7" x14ac:dyDescent="0.3">
      <c r="G2246" t="s">
        <v>438</v>
      </c>
    </row>
    <row r="2247" spans="7:7" x14ac:dyDescent="0.3">
      <c r="G2247" t="s">
        <v>439</v>
      </c>
    </row>
    <row r="2248" spans="7:7" x14ac:dyDescent="0.3">
      <c r="G2248" t="s">
        <v>2179</v>
      </c>
    </row>
    <row r="2249" spans="7:7" x14ac:dyDescent="0.3">
      <c r="G2249" t="s">
        <v>441</v>
      </c>
    </row>
    <row r="2250" spans="7:7" x14ac:dyDescent="0.3">
      <c r="G2250" t="s">
        <v>2984</v>
      </c>
    </row>
    <row r="2251" spans="7:7" x14ac:dyDescent="0.3">
      <c r="G2251" t="s">
        <v>2483</v>
      </c>
    </row>
    <row r="2252" spans="7:7" x14ac:dyDescent="0.3">
      <c r="G2252" t="s">
        <v>2985</v>
      </c>
    </row>
    <row r="2253" spans="7:7" x14ac:dyDescent="0.3">
      <c r="G2253" t="s">
        <v>445</v>
      </c>
    </row>
    <row r="2254" spans="7:7" x14ac:dyDescent="0.3">
      <c r="G2254" t="s">
        <v>936</v>
      </c>
    </row>
    <row r="2255" spans="7:7" x14ac:dyDescent="0.3">
      <c r="G2255" t="s">
        <v>2183</v>
      </c>
    </row>
    <row r="2256" spans="7:7" x14ac:dyDescent="0.3">
      <c r="G2256" t="s">
        <v>448</v>
      </c>
    </row>
    <row r="2257" spans="7:7" x14ac:dyDescent="0.3">
      <c r="G2257" t="s">
        <v>393</v>
      </c>
    </row>
    <row r="2258" spans="7:7" x14ac:dyDescent="0.3">
      <c r="G2258" t="s">
        <v>449</v>
      </c>
    </row>
    <row r="2259" spans="7:7" x14ac:dyDescent="0.3">
      <c r="G2259" t="s">
        <v>450</v>
      </c>
    </row>
    <row r="2260" spans="7:7" x14ac:dyDescent="0.3">
      <c r="G2260" t="s">
        <v>451</v>
      </c>
    </row>
    <row r="2261" spans="7:7" x14ac:dyDescent="0.3">
      <c r="G2261" t="s">
        <v>452</v>
      </c>
    </row>
    <row r="2262" spans="7:7" x14ac:dyDescent="0.3">
      <c r="G2262" t="s">
        <v>2986</v>
      </c>
    </row>
    <row r="2263" spans="7:7" x14ac:dyDescent="0.3">
      <c r="G2263" t="s">
        <v>2987</v>
      </c>
    </row>
    <row r="2264" spans="7:7" x14ac:dyDescent="0.3">
      <c r="G2264" t="s">
        <v>2988</v>
      </c>
    </row>
    <row r="2265" spans="7:7" x14ac:dyDescent="0.3">
      <c r="G2265" t="s">
        <v>2989</v>
      </c>
    </row>
    <row r="2266" spans="7:7" x14ac:dyDescent="0.3">
      <c r="G2266" t="s">
        <v>2990</v>
      </c>
    </row>
    <row r="2267" spans="7:7" x14ac:dyDescent="0.3">
      <c r="G2267" t="s">
        <v>2991</v>
      </c>
    </row>
    <row r="2268" spans="7:7" x14ac:dyDescent="0.3">
      <c r="G2268" t="s">
        <v>2992</v>
      </c>
    </row>
    <row r="2269" spans="7:7" x14ac:dyDescent="0.3">
      <c r="G2269" t="s">
        <v>2993</v>
      </c>
    </row>
    <row r="2270" spans="7:7" x14ac:dyDescent="0.3">
      <c r="G2270" t="s">
        <v>2994</v>
      </c>
    </row>
    <row r="2271" spans="7:7" x14ac:dyDescent="0.3">
      <c r="G2271" t="s">
        <v>2995</v>
      </c>
    </row>
    <row r="2272" spans="7:7" x14ac:dyDescent="0.3">
      <c r="G2272" t="s">
        <v>448</v>
      </c>
    </row>
    <row r="2273" spans="7:7" x14ac:dyDescent="0.3">
      <c r="G2273" t="s">
        <v>393</v>
      </c>
    </row>
    <row r="2274" spans="7:7" x14ac:dyDescent="0.3">
      <c r="G2274" t="s">
        <v>463</v>
      </c>
    </row>
    <row r="2275" spans="7:7" x14ac:dyDescent="0.3">
      <c r="G2275" t="s">
        <v>464</v>
      </c>
    </row>
    <row r="2276" spans="7:7" x14ac:dyDescent="0.3">
      <c r="G2276" t="s">
        <v>2996</v>
      </c>
    </row>
    <row r="2277" spans="7:7" x14ac:dyDescent="0.3">
      <c r="G2277" t="s">
        <v>2997</v>
      </c>
    </row>
    <row r="2278" spans="7:7" x14ac:dyDescent="0.3">
      <c r="G2278" t="s">
        <v>2998</v>
      </c>
    </row>
    <row r="2279" spans="7:7" x14ac:dyDescent="0.3">
      <c r="G2279" t="s">
        <v>2999</v>
      </c>
    </row>
    <row r="2280" spans="7:7" x14ac:dyDescent="0.3">
      <c r="G2280" t="s">
        <v>3000</v>
      </c>
    </row>
    <row r="2281" spans="7:7" x14ac:dyDescent="0.3">
      <c r="G2281" t="s">
        <v>448</v>
      </c>
    </row>
    <row r="2282" spans="7:7" x14ac:dyDescent="0.3">
      <c r="G2282" t="s">
        <v>393</v>
      </c>
    </row>
    <row r="2283" spans="7:7" x14ac:dyDescent="0.3">
      <c r="G2283" t="s">
        <v>470</v>
      </c>
    </row>
    <row r="2284" spans="7:7" x14ac:dyDescent="0.3">
      <c r="G2284" t="s">
        <v>721</v>
      </c>
    </row>
    <row r="2285" spans="7:7" x14ac:dyDescent="0.3">
      <c r="G2285" t="s">
        <v>3001</v>
      </c>
    </row>
    <row r="2286" spans="7:7" x14ac:dyDescent="0.3">
      <c r="G2286" t="s">
        <v>473</v>
      </c>
    </row>
    <row r="2287" spans="7:7" x14ac:dyDescent="0.3">
      <c r="G2287" t="s">
        <v>474</v>
      </c>
    </row>
    <row r="2288" spans="7:7" x14ac:dyDescent="0.3">
      <c r="G2288" t="s">
        <v>2199</v>
      </c>
    </row>
    <row r="2289" spans="7:7" x14ac:dyDescent="0.3">
      <c r="G2289" t="s">
        <v>3002</v>
      </c>
    </row>
    <row r="2290" spans="7:7" x14ac:dyDescent="0.3">
      <c r="G2290" t="s">
        <v>473</v>
      </c>
    </row>
    <row r="2291" spans="7:7" x14ac:dyDescent="0.3">
      <c r="G2291" t="s">
        <v>474</v>
      </c>
    </row>
    <row r="2292" spans="7:7" x14ac:dyDescent="0.3">
      <c r="G2292" t="s">
        <v>475</v>
      </c>
    </row>
    <row r="2293" spans="7:7" x14ac:dyDescent="0.3">
      <c r="G2293" t="s">
        <v>3003</v>
      </c>
    </row>
    <row r="2294" spans="7:7" x14ac:dyDescent="0.3">
      <c r="G2294" t="s">
        <v>473</v>
      </c>
    </row>
    <row r="2295" spans="7:7" x14ac:dyDescent="0.3">
      <c r="G2295" t="s">
        <v>474</v>
      </c>
    </row>
    <row r="2296" spans="7:7" x14ac:dyDescent="0.3">
      <c r="G2296" t="s">
        <v>2203</v>
      </c>
    </row>
    <row r="2297" spans="7:7" x14ac:dyDescent="0.3">
      <c r="G2297" t="s">
        <v>3004</v>
      </c>
    </row>
    <row r="2298" spans="7:7" x14ac:dyDescent="0.3">
      <c r="G2298" t="s">
        <v>473</v>
      </c>
    </row>
    <row r="2299" spans="7:7" x14ac:dyDescent="0.3">
      <c r="G2299" t="s">
        <v>474</v>
      </c>
    </row>
    <row r="2300" spans="7:7" x14ac:dyDescent="0.3">
      <c r="G2300" t="s">
        <v>481</v>
      </c>
    </row>
    <row r="2301" spans="7:7" x14ac:dyDescent="0.3">
      <c r="G2301" t="s">
        <v>3005</v>
      </c>
    </row>
    <row r="2302" spans="7:7" x14ac:dyDescent="0.3">
      <c r="G2302" t="s">
        <v>473</v>
      </c>
    </row>
    <row r="2303" spans="7:7" x14ac:dyDescent="0.3">
      <c r="G2303" t="s">
        <v>448</v>
      </c>
    </row>
    <row r="2304" spans="7:7" x14ac:dyDescent="0.3">
      <c r="G2304" t="s">
        <v>409</v>
      </c>
    </row>
    <row r="2305" spans="7:7" x14ac:dyDescent="0.3">
      <c r="G2305" t="s">
        <v>177</v>
      </c>
    </row>
    <row r="2306" spans="7:7" x14ac:dyDescent="0.3">
      <c r="G2306" t="s">
        <v>436</v>
      </c>
    </row>
    <row r="2307" spans="7:7" x14ac:dyDescent="0.3">
      <c r="G2307" t="s">
        <v>437</v>
      </c>
    </row>
    <row r="2308" spans="7:7" x14ac:dyDescent="0.3">
      <c r="G2308" t="s">
        <v>438</v>
      </c>
    </row>
    <row r="2309" spans="7:7" x14ac:dyDescent="0.3">
      <c r="G2309" t="s">
        <v>439</v>
      </c>
    </row>
    <row r="2310" spans="7:7" x14ac:dyDescent="0.3">
      <c r="G2310" t="s">
        <v>440</v>
      </c>
    </row>
    <row r="2311" spans="7:7" x14ac:dyDescent="0.3">
      <c r="G2311" t="s">
        <v>2179</v>
      </c>
    </row>
    <row r="2312" spans="7:7" x14ac:dyDescent="0.3">
      <c r="G2312" t="s">
        <v>441</v>
      </c>
    </row>
    <row r="2313" spans="7:7" x14ac:dyDescent="0.3">
      <c r="G2313" t="s">
        <v>3006</v>
      </c>
    </row>
    <row r="2314" spans="7:7" x14ac:dyDescent="0.3">
      <c r="G2314" t="s">
        <v>486</v>
      </c>
    </row>
    <row r="2315" spans="7:7" x14ac:dyDescent="0.3">
      <c r="G2315" t="s">
        <v>3007</v>
      </c>
    </row>
    <row r="2316" spans="7:7" x14ac:dyDescent="0.3">
      <c r="G2316" t="s">
        <v>3008</v>
      </c>
    </row>
    <row r="2317" spans="7:7" x14ac:dyDescent="0.3">
      <c r="G2317" t="s">
        <v>2183</v>
      </c>
    </row>
    <row r="2318" spans="7:7" x14ac:dyDescent="0.3">
      <c r="G2318" t="s">
        <v>448</v>
      </c>
    </row>
    <row r="2319" spans="7:7" x14ac:dyDescent="0.3">
      <c r="G2319" t="s">
        <v>393</v>
      </c>
    </row>
    <row r="2320" spans="7:7" x14ac:dyDescent="0.3">
      <c r="G2320" t="s">
        <v>449</v>
      </c>
    </row>
    <row r="2321" spans="7:7" x14ac:dyDescent="0.3">
      <c r="G2321" t="s">
        <v>488</v>
      </c>
    </row>
    <row r="2322" spans="7:7" x14ac:dyDescent="0.3">
      <c r="G2322" t="s">
        <v>451</v>
      </c>
    </row>
    <row r="2323" spans="7:7" x14ac:dyDescent="0.3">
      <c r="G2323" t="s">
        <v>452</v>
      </c>
    </row>
    <row r="2324" spans="7:7" x14ac:dyDescent="0.3">
      <c r="G2324" t="s">
        <v>3009</v>
      </c>
    </row>
    <row r="2325" spans="7:7" x14ac:dyDescent="0.3">
      <c r="G2325" t="s">
        <v>448</v>
      </c>
    </row>
    <row r="2326" spans="7:7" x14ac:dyDescent="0.3">
      <c r="G2326" t="s">
        <v>393</v>
      </c>
    </row>
    <row r="2327" spans="7:7" x14ac:dyDescent="0.3">
      <c r="G2327" t="s">
        <v>463</v>
      </c>
    </row>
    <row r="2328" spans="7:7" x14ac:dyDescent="0.3">
      <c r="G2328" t="s">
        <v>464</v>
      </c>
    </row>
    <row r="2329" spans="7:7" x14ac:dyDescent="0.3">
      <c r="G2329" t="s">
        <v>3010</v>
      </c>
    </row>
    <row r="2330" spans="7:7" x14ac:dyDescent="0.3">
      <c r="G2330" t="s">
        <v>3011</v>
      </c>
    </row>
    <row r="2331" spans="7:7" x14ac:dyDescent="0.3">
      <c r="G2331" t="s">
        <v>3012</v>
      </c>
    </row>
    <row r="2332" spans="7:7" x14ac:dyDescent="0.3">
      <c r="G2332" t="s">
        <v>3013</v>
      </c>
    </row>
    <row r="2333" spans="7:7" x14ac:dyDescent="0.3">
      <c r="G2333" t="s">
        <v>3014</v>
      </c>
    </row>
    <row r="2334" spans="7:7" x14ac:dyDescent="0.3">
      <c r="G2334" t="s">
        <v>448</v>
      </c>
    </row>
    <row r="2335" spans="7:7" x14ac:dyDescent="0.3">
      <c r="G2335" t="s">
        <v>393</v>
      </c>
    </row>
    <row r="2336" spans="7:7" x14ac:dyDescent="0.3">
      <c r="G2336" t="s">
        <v>470</v>
      </c>
    </row>
    <row r="2337" spans="7:7" x14ac:dyDescent="0.3">
      <c r="G2337" t="s">
        <v>481</v>
      </c>
    </row>
    <row r="2338" spans="7:7" x14ac:dyDescent="0.3">
      <c r="G2338" t="s">
        <v>3015</v>
      </c>
    </row>
    <row r="2339" spans="7:7" x14ac:dyDescent="0.3">
      <c r="G2339" t="s">
        <v>473</v>
      </c>
    </row>
    <row r="2340" spans="7:7" x14ac:dyDescent="0.3">
      <c r="G2340" t="s">
        <v>474</v>
      </c>
    </row>
    <row r="2341" spans="7:7" x14ac:dyDescent="0.3">
      <c r="G2341" t="s">
        <v>2203</v>
      </c>
    </row>
    <row r="2342" spans="7:7" x14ac:dyDescent="0.3">
      <c r="G2342" t="s">
        <v>3016</v>
      </c>
    </row>
    <row r="2343" spans="7:7" x14ac:dyDescent="0.3">
      <c r="G2343" t="s">
        <v>473</v>
      </c>
    </row>
    <row r="2344" spans="7:7" x14ac:dyDescent="0.3">
      <c r="G2344" t="s">
        <v>474</v>
      </c>
    </row>
    <row r="2345" spans="7:7" x14ac:dyDescent="0.3">
      <c r="G2345" t="s">
        <v>471</v>
      </c>
    </row>
    <row r="2346" spans="7:7" x14ac:dyDescent="0.3">
      <c r="G2346" t="s">
        <v>3017</v>
      </c>
    </row>
    <row r="2347" spans="7:7" x14ac:dyDescent="0.3">
      <c r="G2347" t="s">
        <v>473</v>
      </c>
    </row>
    <row r="2348" spans="7:7" x14ac:dyDescent="0.3">
      <c r="G2348" t="s">
        <v>474</v>
      </c>
    </row>
    <row r="2349" spans="7:7" x14ac:dyDescent="0.3">
      <c r="G2349" t="s">
        <v>504</v>
      </c>
    </row>
    <row r="2350" spans="7:7" x14ac:dyDescent="0.3">
      <c r="G2350" t="s">
        <v>3018</v>
      </c>
    </row>
    <row r="2351" spans="7:7" x14ac:dyDescent="0.3">
      <c r="G2351" t="s">
        <v>473</v>
      </c>
    </row>
    <row r="2352" spans="7:7" x14ac:dyDescent="0.3">
      <c r="G2352" t="s">
        <v>474</v>
      </c>
    </row>
    <row r="2353" spans="7:7" x14ac:dyDescent="0.3">
      <c r="G2353" t="s">
        <v>2199</v>
      </c>
    </row>
    <row r="2354" spans="7:7" x14ac:dyDescent="0.3">
      <c r="G2354" t="s">
        <v>3019</v>
      </c>
    </row>
    <row r="2355" spans="7:7" x14ac:dyDescent="0.3">
      <c r="G2355" t="s">
        <v>473</v>
      </c>
    </row>
    <row r="2356" spans="7:7" x14ac:dyDescent="0.3">
      <c r="G2356" t="s">
        <v>448</v>
      </c>
    </row>
    <row r="2357" spans="7:7" x14ac:dyDescent="0.3">
      <c r="G2357" t="s">
        <v>409</v>
      </c>
    </row>
    <row r="2358" spans="7:7" x14ac:dyDescent="0.3">
      <c r="G2358" t="s">
        <v>177</v>
      </c>
    </row>
    <row r="2359" spans="7:7" x14ac:dyDescent="0.3">
      <c r="G2359" t="s">
        <v>436</v>
      </c>
    </row>
    <row r="2360" spans="7:7" x14ac:dyDescent="0.3">
      <c r="G2360" t="s">
        <v>437</v>
      </c>
    </row>
    <row r="2361" spans="7:7" x14ac:dyDescent="0.3">
      <c r="G2361" t="s">
        <v>438</v>
      </c>
    </row>
    <row r="2362" spans="7:7" x14ac:dyDescent="0.3">
      <c r="G2362" t="s">
        <v>439</v>
      </c>
    </row>
    <row r="2363" spans="7:7" x14ac:dyDescent="0.3">
      <c r="G2363" t="s">
        <v>440</v>
      </c>
    </row>
    <row r="2364" spans="7:7" x14ac:dyDescent="0.3">
      <c r="G2364" t="s">
        <v>2179</v>
      </c>
    </row>
    <row r="2365" spans="7:7" x14ac:dyDescent="0.3">
      <c r="G2365" t="s">
        <v>441</v>
      </c>
    </row>
    <row r="2366" spans="7:7" x14ac:dyDescent="0.3">
      <c r="G2366" t="s">
        <v>3020</v>
      </c>
    </row>
    <row r="2367" spans="7:7" x14ac:dyDescent="0.3">
      <c r="G2367" t="s">
        <v>3021</v>
      </c>
    </row>
    <row r="2368" spans="7:7" x14ac:dyDescent="0.3">
      <c r="G2368" t="s">
        <v>486</v>
      </c>
    </row>
    <row r="2369" spans="7:7" x14ac:dyDescent="0.3">
      <c r="G2369" t="s">
        <v>3022</v>
      </c>
    </row>
    <row r="2370" spans="7:7" x14ac:dyDescent="0.3">
      <c r="G2370" t="s">
        <v>2183</v>
      </c>
    </row>
    <row r="2371" spans="7:7" x14ac:dyDescent="0.3">
      <c r="G2371" t="s">
        <v>448</v>
      </c>
    </row>
    <row r="2372" spans="7:7" x14ac:dyDescent="0.3">
      <c r="G2372" t="s">
        <v>393</v>
      </c>
    </row>
    <row r="2373" spans="7:7" x14ac:dyDescent="0.3">
      <c r="G2373" t="s">
        <v>449</v>
      </c>
    </row>
    <row r="2374" spans="7:7" x14ac:dyDescent="0.3">
      <c r="G2374" t="s">
        <v>450</v>
      </c>
    </row>
    <row r="2375" spans="7:7" x14ac:dyDescent="0.3">
      <c r="G2375" t="s">
        <v>451</v>
      </c>
    </row>
    <row r="2376" spans="7:7" x14ac:dyDescent="0.3">
      <c r="G2376" t="s">
        <v>452</v>
      </c>
    </row>
    <row r="2377" spans="7:7" x14ac:dyDescent="0.3">
      <c r="G2377" t="s">
        <v>3023</v>
      </c>
    </row>
    <row r="2378" spans="7:7" x14ac:dyDescent="0.3">
      <c r="G2378" t="s">
        <v>3024</v>
      </c>
    </row>
    <row r="2379" spans="7:7" x14ac:dyDescent="0.3">
      <c r="G2379" t="s">
        <v>3025</v>
      </c>
    </row>
    <row r="2380" spans="7:7" x14ac:dyDescent="0.3">
      <c r="G2380" t="s">
        <v>3026</v>
      </c>
    </row>
    <row r="2381" spans="7:7" x14ac:dyDescent="0.3">
      <c r="G2381" t="s">
        <v>3027</v>
      </c>
    </row>
    <row r="2382" spans="7:7" x14ac:dyDescent="0.3">
      <c r="G2382" t="s">
        <v>3028</v>
      </c>
    </row>
    <row r="2383" spans="7:7" x14ac:dyDescent="0.3">
      <c r="G2383" t="s">
        <v>3029</v>
      </c>
    </row>
    <row r="2384" spans="7:7" x14ac:dyDescent="0.3">
      <c r="G2384" t="s">
        <v>3030</v>
      </c>
    </row>
    <row r="2385" spans="7:7" x14ac:dyDescent="0.3">
      <c r="G2385" t="s">
        <v>3031</v>
      </c>
    </row>
    <row r="2386" spans="7:7" x14ac:dyDescent="0.3">
      <c r="G2386" t="s">
        <v>3032</v>
      </c>
    </row>
    <row r="2387" spans="7:7" x14ac:dyDescent="0.3">
      <c r="G2387" t="s">
        <v>448</v>
      </c>
    </row>
    <row r="2388" spans="7:7" x14ac:dyDescent="0.3">
      <c r="G2388" t="s">
        <v>393</v>
      </c>
    </row>
    <row r="2389" spans="7:7" x14ac:dyDescent="0.3">
      <c r="G2389" t="s">
        <v>463</v>
      </c>
    </row>
    <row r="2390" spans="7:7" x14ac:dyDescent="0.3">
      <c r="G2390" t="s">
        <v>464</v>
      </c>
    </row>
    <row r="2391" spans="7:7" x14ac:dyDescent="0.3">
      <c r="G2391" t="s">
        <v>3033</v>
      </c>
    </row>
    <row r="2392" spans="7:7" x14ac:dyDescent="0.3">
      <c r="G2392" t="s">
        <v>3034</v>
      </c>
    </row>
    <row r="2393" spans="7:7" x14ac:dyDescent="0.3">
      <c r="G2393" t="s">
        <v>3035</v>
      </c>
    </row>
    <row r="2394" spans="7:7" x14ac:dyDescent="0.3">
      <c r="G2394" t="s">
        <v>3036</v>
      </c>
    </row>
    <row r="2395" spans="7:7" x14ac:dyDescent="0.3">
      <c r="G2395" t="s">
        <v>3037</v>
      </c>
    </row>
    <row r="2396" spans="7:7" x14ac:dyDescent="0.3">
      <c r="G2396" t="s">
        <v>448</v>
      </c>
    </row>
    <row r="2397" spans="7:7" x14ac:dyDescent="0.3">
      <c r="G2397" t="s">
        <v>393</v>
      </c>
    </row>
    <row r="2398" spans="7:7" x14ac:dyDescent="0.3">
      <c r="G2398" t="s">
        <v>470</v>
      </c>
    </row>
    <row r="2399" spans="7:7" x14ac:dyDescent="0.3">
      <c r="G2399" t="s">
        <v>504</v>
      </c>
    </row>
    <row r="2400" spans="7:7" x14ac:dyDescent="0.3">
      <c r="G2400" t="s">
        <v>3038</v>
      </c>
    </row>
    <row r="2401" spans="7:7" x14ac:dyDescent="0.3">
      <c r="G2401" t="s">
        <v>473</v>
      </c>
    </row>
    <row r="2402" spans="7:7" x14ac:dyDescent="0.3">
      <c r="G2402" t="s">
        <v>474</v>
      </c>
    </row>
    <row r="2403" spans="7:7" x14ac:dyDescent="0.3">
      <c r="G2403" t="s">
        <v>471</v>
      </c>
    </row>
    <row r="2404" spans="7:7" x14ac:dyDescent="0.3">
      <c r="G2404" t="s">
        <v>3039</v>
      </c>
    </row>
    <row r="2405" spans="7:7" x14ac:dyDescent="0.3">
      <c r="G2405" t="s">
        <v>473</v>
      </c>
    </row>
    <row r="2406" spans="7:7" x14ac:dyDescent="0.3">
      <c r="G2406" t="s">
        <v>474</v>
      </c>
    </row>
    <row r="2407" spans="7:7" x14ac:dyDescent="0.3">
      <c r="G2407" t="s">
        <v>2199</v>
      </c>
    </row>
    <row r="2408" spans="7:7" x14ac:dyDescent="0.3">
      <c r="G2408" t="s">
        <v>3040</v>
      </c>
    </row>
    <row r="2409" spans="7:7" x14ac:dyDescent="0.3">
      <c r="G2409" t="s">
        <v>473</v>
      </c>
    </row>
    <row r="2410" spans="7:7" x14ac:dyDescent="0.3">
      <c r="G2410" t="s">
        <v>474</v>
      </c>
    </row>
    <row r="2411" spans="7:7" x14ac:dyDescent="0.3">
      <c r="G2411" t="s">
        <v>481</v>
      </c>
    </row>
    <row r="2412" spans="7:7" x14ac:dyDescent="0.3">
      <c r="G2412" t="s">
        <v>3041</v>
      </c>
    </row>
    <row r="2413" spans="7:7" x14ac:dyDescent="0.3">
      <c r="G2413" t="s">
        <v>473</v>
      </c>
    </row>
    <row r="2414" spans="7:7" x14ac:dyDescent="0.3">
      <c r="G2414" t="s">
        <v>474</v>
      </c>
    </row>
    <row r="2415" spans="7:7" x14ac:dyDescent="0.3">
      <c r="G2415" t="s">
        <v>2203</v>
      </c>
    </row>
    <row r="2416" spans="7:7" x14ac:dyDescent="0.3">
      <c r="G2416" t="s">
        <v>3042</v>
      </c>
    </row>
    <row r="2417" spans="7:7" x14ac:dyDescent="0.3">
      <c r="G2417" t="s">
        <v>473</v>
      </c>
    </row>
    <row r="2418" spans="7:7" x14ac:dyDescent="0.3">
      <c r="G2418" t="s">
        <v>448</v>
      </c>
    </row>
    <row r="2419" spans="7:7" x14ac:dyDescent="0.3">
      <c r="G2419" t="s">
        <v>409</v>
      </c>
    </row>
    <row r="2420" spans="7:7" x14ac:dyDescent="0.3">
      <c r="G2420" t="s">
        <v>177</v>
      </c>
    </row>
    <row r="2421" spans="7:7" x14ac:dyDescent="0.3">
      <c r="G2421" t="s">
        <v>436</v>
      </c>
    </row>
    <row r="2422" spans="7:7" x14ac:dyDescent="0.3">
      <c r="G2422" t="s">
        <v>437</v>
      </c>
    </row>
    <row r="2423" spans="7:7" x14ac:dyDescent="0.3">
      <c r="G2423" t="s">
        <v>438</v>
      </c>
    </row>
    <row r="2424" spans="7:7" x14ac:dyDescent="0.3">
      <c r="G2424" t="s">
        <v>439</v>
      </c>
    </row>
    <row r="2425" spans="7:7" x14ac:dyDescent="0.3">
      <c r="G2425" t="s">
        <v>3043</v>
      </c>
    </row>
    <row r="2426" spans="7:7" x14ac:dyDescent="0.3">
      <c r="G2426" t="s">
        <v>2179</v>
      </c>
    </row>
    <row r="2427" spans="7:7" x14ac:dyDescent="0.3">
      <c r="G2427" t="s">
        <v>3044</v>
      </c>
    </row>
    <row r="2428" spans="7:7" x14ac:dyDescent="0.3">
      <c r="G2428" t="s">
        <v>441</v>
      </c>
    </row>
    <row r="2429" spans="7:7" x14ac:dyDescent="0.3">
      <c r="G2429" t="s">
        <v>703</v>
      </c>
    </row>
    <row r="2430" spans="7:7" x14ac:dyDescent="0.3">
      <c r="G2430" t="s">
        <v>3045</v>
      </c>
    </row>
    <row r="2431" spans="7:7" x14ac:dyDescent="0.3">
      <c r="G2431" t="s">
        <v>936</v>
      </c>
    </row>
    <row r="2432" spans="7:7" x14ac:dyDescent="0.3">
      <c r="G2432" t="s">
        <v>2183</v>
      </c>
    </row>
    <row r="2433" spans="7:7" x14ac:dyDescent="0.3">
      <c r="G2433" t="s">
        <v>448</v>
      </c>
    </row>
    <row r="2434" spans="7:7" x14ac:dyDescent="0.3">
      <c r="G2434" t="s">
        <v>393</v>
      </c>
    </row>
    <row r="2435" spans="7:7" x14ac:dyDescent="0.3">
      <c r="G2435" t="s">
        <v>449</v>
      </c>
    </row>
    <row r="2436" spans="7:7" x14ac:dyDescent="0.3">
      <c r="G2436" t="s">
        <v>450</v>
      </c>
    </row>
    <row r="2437" spans="7:7" x14ac:dyDescent="0.3">
      <c r="G2437" t="s">
        <v>451</v>
      </c>
    </row>
    <row r="2438" spans="7:7" x14ac:dyDescent="0.3">
      <c r="G2438" t="s">
        <v>452</v>
      </c>
    </row>
    <row r="2439" spans="7:7" x14ac:dyDescent="0.3">
      <c r="G2439" t="s">
        <v>3046</v>
      </c>
    </row>
    <row r="2440" spans="7:7" x14ac:dyDescent="0.3">
      <c r="G2440" t="s">
        <v>3047</v>
      </c>
    </row>
    <row r="2441" spans="7:7" x14ac:dyDescent="0.3">
      <c r="G2441" t="s">
        <v>3048</v>
      </c>
    </row>
    <row r="2442" spans="7:7" x14ac:dyDescent="0.3">
      <c r="G2442" t="s">
        <v>3049</v>
      </c>
    </row>
    <row r="2443" spans="7:7" x14ac:dyDescent="0.3">
      <c r="G2443" t="s">
        <v>3050</v>
      </c>
    </row>
    <row r="2444" spans="7:7" x14ac:dyDescent="0.3">
      <c r="G2444" t="s">
        <v>3051</v>
      </c>
    </row>
    <row r="2445" spans="7:7" x14ac:dyDescent="0.3">
      <c r="G2445" t="s">
        <v>3052</v>
      </c>
    </row>
    <row r="2446" spans="7:7" x14ac:dyDescent="0.3">
      <c r="G2446" t="s">
        <v>3053</v>
      </c>
    </row>
    <row r="2447" spans="7:7" x14ac:dyDescent="0.3">
      <c r="G2447" t="s">
        <v>3054</v>
      </c>
    </row>
    <row r="2448" spans="7:7" x14ac:dyDescent="0.3">
      <c r="G2448" t="s">
        <v>3055</v>
      </c>
    </row>
    <row r="2449" spans="7:7" x14ac:dyDescent="0.3">
      <c r="G2449" t="s">
        <v>448</v>
      </c>
    </row>
    <row r="2450" spans="7:7" x14ac:dyDescent="0.3">
      <c r="G2450" t="s">
        <v>393</v>
      </c>
    </row>
    <row r="2451" spans="7:7" x14ac:dyDescent="0.3">
      <c r="G2451" t="s">
        <v>463</v>
      </c>
    </row>
    <row r="2452" spans="7:7" x14ac:dyDescent="0.3">
      <c r="G2452" t="s">
        <v>464</v>
      </c>
    </row>
    <row r="2453" spans="7:7" x14ac:dyDescent="0.3">
      <c r="G2453" t="s">
        <v>3056</v>
      </c>
    </row>
    <row r="2454" spans="7:7" x14ac:dyDescent="0.3">
      <c r="G2454" t="s">
        <v>3057</v>
      </c>
    </row>
    <row r="2455" spans="7:7" x14ac:dyDescent="0.3">
      <c r="G2455" t="s">
        <v>3058</v>
      </c>
    </row>
    <row r="2456" spans="7:7" x14ac:dyDescent="0.3">
      <c r="G2456" t="s">
        <v>3059</v>
      </c>
    </row>
    <row r="2457" spans="7:7" x14ac:dyDescent="0.3">
      <c r="G2457" t="s">
        <v>3060</v>
      </c>
    </row>
    <row r="2458" spans="7:7" x14ac:dyDescent="0.3">
      <c r="G2458" t="s">
        <v>448</v>
      </c>
    </row>
    <row r="2459" spans="7:7" x14ac:dyDescent="0.3">
      <c r="G2459" t="s">
        <v>393</v>
      </c>
    </row>
    <row r="2460" spans="7:7" x14ac:dyDescent="0.3">
      <c r="G2460" t="s">
        <v>470</v>
      </c>
    </row>
    <row r="2461" spans="7:7" x14ac:dyDescent="0.3">
      <c r="G2461" t="s">
        <v>671</v>
      </c>
    </row>
    <row r="2462" spans="7:7" x14ac:dyDescent="0.3">
      <c r="G2462" t="s">
        <v>3061</v>
      </c>
    </row>
    <row r="2463" spans="7:7" x14ac:dyDescent="0.3">
      <c r="G2463" t="s">
        <v>473</v>
      </c>
    </row>
    <row r="2464" spans="7:7" x14ac:dyDescent="0.3">
      <c r="G2464" t="s">
        <v>474</v>
      </c>
    </row>
    <row r="2465" spans="7:7" x14ac:dyDescent="0.3">
      <c r="G2465" t="s">
        <v>721</v>
      </c>
    </row>
    <row r="2466" spans="7:7" x14ac:dyDescent="0.3">
      <c r="G2466" t="s">
        <v>3062</v>
      </c>
    </row>
    <row r="2467" spans="7:7" x14ac:dyDescent="0.3">
      <c r="G2467" t="s">
        <v>473</v>
      </c>
    </row>
    <row r="2468" spans="7:7" x14ac:dyDescent="0.3">
      <c r="G2468" t="s">
        <v>474</v>
      </c>
    </row>
    <row r="2469" spans="7:7" x14ac:dyDescent="0.3">
      <c r="G2469" t="s">
        <v>2199</v>
      </c>
    </row>
    <row r="2470" spans="7:7" x14ac:dyDescent="0.3">
      <c r="G2470" t="s">
        <v>3063</v>
      </c>
    </row>
    <row r="2471" spans="7:7" x14ac:dyDescent="0.3">
      <c r="G2471" t="s">
        <v>473</v>
      </c>
    </row>
    <row r="2472" spans="7:7" x14ac:dyDescent="0.3">
      <c r="G2472" t="s">
        <v>474</v>
      </c>
    </row>
    <row r="2473" spans="7:7" x14ac:dyDescent="0.3">
      <c r="G2473" t="s">
        <v>2203</v>
      </c>
    </row>
    <row r="2474" spans="7:7" x14ac:dyDescent="0.3">
      <c r="G2474" t="s">
        <v>3064</v>
      </c>
    </row>
    <row r="2475" spans="7:7" x14ac:dyDescent="0.3">
      <c r="G2475" t="s">
        <v>473</v>
      </c>
    </row>
    <row r="2476" spans="7:7" x14ac:dyDescent="0.3">
      <c r="G2476" t="s">
        <v>474</v>
      </c>
    </row>
    <row r="2477" spans="7:7" x14ac:dyDescent="0.3">
      <c r="G2477" t="s">
        <v>481</v>
      </c>
    </row>
    <row r="2478" spans="7:7" x14ac:dyDescent="0.3">
      <c r="G2478" t="s">
        <v>3065</v>
      </c>
    </row>
    <row r="2479" spans="7:7" x14ac:dyDescent="0.3">
      <c r="G2479" t="s">
        <v>473</v>
      </c>
    </row>
    <row r="2480" spans="7:7" x14ac:dyDescent="0.3">
      <c r="G2480" t="s">
        <v>448</v>
      </c>
    </row>
    <row r="2481" spans="7:7" x14ac:dyDescent="0.3">
      <c r="G2481" t="s">
        <v>409</v>
      </c>
    </row>
    <row r="2482" spans="7:7" x14ac:dyDescent="0.3">
      <c r="G2482" t="s">
        <v>177</v>
      </c>
    </row>
    <row r="2483" spans="7:7" x14ac:dyDescent="0.3">
      <c r="G2483" t="s">
        <v>436</v>
      </c>
    </row>
    <row r="2484" spans="7:7" x14ac:dyDescent="0.3">
      <c r="G2484" t="s">
        <v>437</v>
      </c>
    </row>
    <row r="2485" spans="7:7" x14ac:dyDescent="0.3">
      <c r="G2485" t="s">
        <v>438</v>
      </c>
    </row>
    <row r="2486" spans="7:7" x14ac:dyDescent="0.3">
      <c r="G2486" t="s">
        <v>439</v>
      </c>
    </row>
    <row r="2487" spans="7:7" x14ac:dyDescent="0.3">
      <c r="G2487" t="s">
        <v>440</v>
      </c>
    </row>
    <row r="2488" spans="7:7" x14ac:dyDescent="0.3">
      <c r="G2488" t="s">
        <v>3066</v>
      </c>
    </row>
    <row r="2489" spans="7:7" x14ac:dyDescent="0.3">
      <c r="G2489" t="s">
        <v>2179</v>
      </c>
    </row>
    <row r="2490" spans="7:7" x14ac:dyDescent="0.3">
      <c r="G2490" t="s">
        <v>441</v>
      </c>
    </row>
    <row r="2491" spans="7:7" x14ac:dyDescent="0.3">
      <c r="G2491" t="s">
        <v>3067</v>
      </c>
    </row>
    <row r="2492" spans="7:7" x14ac:dyDescent="0.3">
      <c r="G2492" t="s">
        <v>3068</v>
      </c>
    </row>
    <row r="2493" spans="7:7" x14ac:dyDescent="0.3">
      <c r="G2493" t="s">
        <v>703</v>
      </c>
    </row>
    <row r="2494" spans="7:7" x14ac:dyDescent="0.3">
      <c r="G2494" t="s">
        <v>2183</v>
      </c>
    </row>
    <row r="2495" spans="7:7" x14ac:dyDescent="0.3">
      <c r="G2495" t="s">
        <v>448</v>
      </c>
    </row>
    <row r="2496" spans="7:7" x14ac:dyDescent="0.3">
      <c r="G2496" t="s">
        <v>393</v>
      </c>
    </row>
    <row r="2497" spans="7:7" x14ac:dyDescent="0.3">
      <c r="G2497" t="s">
        <v>449</v>
      </c>
    </row>
    <row r="2498" spans="7:7" x14ac:dyDescent="0.3">
      <c r="G2498" t="s">
        <v>450</v>
      </c>
    </row>
    <row r="2499" spans="7:7" x14ac:dyDescent="0.3">
      <c r="G2499" t="s">
        <v>451</v>
      </c>
    </row>
    <row r="2500" spans="7:7" x14ac:dyDescent="0.3">
      <c r="G2500" t="s">
        <v>452</v>
      </c>
    </row>
    <row r="2501" spans="7:7" x14ac:dyDescent="0.3">
      <c r="G2501" t="s">
        <v>3069</v>
      </c>
    </row>
    <row r="2502" spans="7:7" x14ac:dyDescent="0.3">
      <c r="G2502" t="s">
        <v>3070</v>
      </c>
    </row>
    <row r="2503" spans="7:7" x14ac:dyDescent="0.3">
      <c r="G2503" t="s">
        <v>3071</v>
      </c>
    </row>
    <row r="2504" spans="7:7" x14ac:dyDescent="0.3">
      <c r="G2504" t="s">
        <v>3072</v>
      </c>
    </row>
    <row r="2505" spans="7:7" x14ac:dyDescent="0.3">
      <c r="G2505" t="s">
        <v>3073</v>
      </c>
    </row>
    <row r="2506" spans="7:7" x14ac:dyDescent="0.3">
      <c r="G2506" t="s">
        <v>3074</v>
      </c>
    </row>
    <row r="2507" spans="7:7" x14ac:dyDescent="0.3">
      <c r="G2507" t="s">
        <v>3075</v>
      </c>
    </row>
    <row r="2508" spans="7:7" x14ac:dyDescent="0.3">
      <c r="G2508" t="s">
        <v>3076</v>
      </c>
    </row>
    <row r="2509" spans="7:7" x14ac:dyDescent="0.3">
      <c r="G2509" t="s">
        <v>3077</v>
      </c>
    </row>
    <row r="2510" spans="7:7" x14ac:dyDescent="0.3">
      <c r="G2510" t="s">
        <v>3078</v>
      </c>
    </row>
    <row r="2511" spans="7:7" x14ac:dyDescent="0.3">
      <c r="G2511" t="s">
        <v>448</v>
      </c>
    </row>
    <row r="2512" spans="7:7" x14ac:dyDescent="0.3">
      <c r="G2512" t="s">
        <v>393</v>
      </c>
    </row>
    <row r="2513" spans="7:7" x14ac:dyDescent="0.3">
      <c r="G2513" t="s">
        <v>463</v>
      </c>
    </row>
    <row r="2514" spans="7:7" x14ac:dyDescent="0.3">
      <c r="G2514" t="s">
        <v>464</v>
      </c>
    </row>
    <row r="2515" spans="7:7" x14ac:dyDescent="0.3">
      <c r="G2515" t="s">
        <v>3079</v>
      </c>
    </row>
    <row r="2516" spans="7:7" x14ac:dyDescent="0.3">
      <c r="G2516" t="s">
        <v>3080</v>
      </c>
    </row>
    <row r="2517" spans="7:7" x14ac:dyDescent="0.3">
      <c r="G2517" t="s">
        <v>3081</v>
      </c>
    </row>
    <row r="2518" spans="7:7" x14ac:dyDescent="0.3">
      <c r="G2518" t="s">
        <v>3082</v>
      </c>
    </row>
    <row r="2519" spans="7:7" x14ac:dyDescent="0.3">
      <c r="G2519" t="s">
        <v>3083</v>
      </c>
    </row>
    <row r="2520" spans="7:7" x14ac:dyDescent="0.3">
      <c r="G2520" t="s">
        <v>448</v>
      </c>
    </row>
    <row r="2521" spans="7:7" x14ac:dyDescent="0.3">
      <c r="G2521" t="s">
        <v>393</v>
      </c>
    </row>
    <row r="2522" spans="7:7" x14ac:dyDescent="0.3">
      <c r="G2522" t="s">
        <v>470</v>
      </c>
    </row>
    <row r="2523" spans="7:7" x14ac:dyDescent="0.3">
      <c r="G2523" t="s">
        <v>671</v>
      </c>
    </row>
    <row r="2524" spans="7:7" x14ac:dyDescent="0.3">
      <c r="G2524" t="s">
        <v>3084</v>
      </c>
    </row>
    <row r="2525" spans="7:7" x14ac:dyDescent="0.3">
      <c r="G2525" t="s">
        <v>473</v>
      </c>
    </row>
    <row r="2526" spans="7:7" x14ac:dyDescent="0.3">
      <c r="G2526" t="s">
        <v>474</v>
      </c>
    </row>
    <row r="2527" spans="7:7" x14ac:dyDescent="0.3">
      <c r="G2527" t="s">
        <v>471</v>
      </c>
    </row>
    <row r="2528" spans="7:7" x14ac:dyDescent="0.3">
      <c r="G2528" t="s">
        <v>3085</v>
      </c>
    </row>
    <row r="2529" spans="7:7" x14ac:dyDescent="0.3">
      <c r="G2529" t="s">
        <v>473</v>
      </c>
    </row>
    <row r="2530" spans="7:7" x14ac:dyDescent="0.3">
      <c r="G2530" t="s">
        <v>474</v>
      </c>
    </row>
    <row r="2531" spans="7:7" x14ac:dyDescent="0.3">
      <c r="G2531" t="s">
        <v>2199</v>
      </c>
    </row>
    <row r="2532" spans="7:7" x14ac:dyDescent="0.3">
      <c r="G2532" t="s">
        <v>3086</v>
      </c>
    </row>
    <row r="2533" spans="7:7" x14ac:dyDescent="0.3">
      <c r="G2533" t="s">
        <v>473</v>
      </c>
    </row>
    <row r="2534" spans="7:7" x14ac:dyDescent="0.3">
      <c r="G2534" t="s">
        <v>474</v>
      </c>
    </row>
    <row r="2535" spans="7:7" x14ac:dyDescent="0.3">
      <c r="G2535" t="s">
        <v>481</v>
      </c>
    </row>
    <row r="2536" spans="7:7" x14ac:dyDescent="0.3">
      <c r="G2536" t="s">
        <v>3087</v>
      </c>
    </row>
    <row r="2537" spans="7:7" x14ac:dyDescent="0.3">
      <c r="G2537" t="s">
        <v>473</v>
      </c>
    </row>
    <row r="2538" spans="7:7" x14ac:dyDescent="0.3">
      <c r="G2538" t="s">
        <v>474</v>
      </c>
    </row>
    <row r="2539" spans="7:7" x14ac:dyDescent="0.3">
      <c r="G2539" t="s">
        <v>2203</v>
      </c>
    </row>
    <row r="2540" spans="7:7" x14ac:dyDescent="0.3">
      <c r="G2540" t="s">
        <v>3088</v>
      </c>
    </row>
    <row r="2541" spans="7:7" x14ac:dyDescent="0.3">
      <c r="G2541" t="s">
        <v>473</v>
      </c>
    </row>
    <row r="2542" spans="7:7" x14ac:dyDescent="0.3">
      <c r="G2542" t="s">
        <v>448</v>
      </c>
    </row>
    <row r="2543" spans="7:7" x14ac:dyDescent="0.3">
      <c r="G2543" t="s">
        <v>409</v>
      </c>
    </row>
    <row r="2544" spans="7:7" x14ac:dyDescent="0.3">
      <c r="G2544" t="s">
        <v>177</v>
      </c>
    </row>
    <row r="2545" spans="7:7" x14ac:dyDescent="0.3">
      <c r="G2545" t="s">
        <v>436</v>
      </c>
    </row>
    <row r="2546" spans="7:7" x14ac:dyDescent="0.3">
      <c r="G2546" t="s">
        <v>437</v>
      </c>
    </row>
    <row r="2547" spans="7:7" x14ac:dyDescent="0.3">
      <c r="G2547" t="s">
        <v>438</v>
      </c>
    </row>
    <row r="2548" spans="7:7" x14ac:dyDescent="0.3">
      <c r="G2548" t="s">
        <v>439</v>
      </c>
    </row>
    <row r="2549" spans="7:7" x14ac:dyDescent="0.3">
      <c r="G2549" t="s">
        <v>440</v>
      </c>
    </row>
    <row r="2550" spans="7:7" x14ac:dyDescent="0.3">
      <c r="G2550" t="s">
        <v>2179</v>
      </c>
    </row>
    <row r="2551" spans="7:7" x14ac:dyDescent="0.3">
      <c r="G2551" t="s">
        <v>3044</v>
      </c>
    </row>
    <row r="2552" spans="7:7" x14ac:dyDescent="0.3">
      <c r="G2552" t="s">
        <v>441</v>
      </c>
    </row>
    <row r="2553" spans="7:7" x14ac:dyDescent="0.3">
      <c r="G2553" t="s">
        <v>3089</v>
      </c>
    </row>
    <row r="2554" spans="7:7" x14ac:dyDescent="0.3">
      <c r="G2554" t="s">
        <v>703</v>
      </c>
    </row>
    <row r="2555" spans="7:7" x14ac:dyDescent="0.3">
      <c r="G2555" t="s">
        <v>3090</v>
      </c>
    </row>
    <row r="2556" spans="7:7" x14ac:dyDescent="0.3">
      <c r="G2556" t="s">
        <v>2183</v>
      </c>
    </row>
    <row r="2557" spans="7:7" x14ac:dyDescent="0.3">
      <c r="G2557" t="s">
        <v>448</v>
      </c>
    </row>
    <row r="2558" spans="7:7" x14ac:dyDescent="0.3">
      <c r="G2558" t="s">
        <v>393</v>
      </c>
    </row>
    <row r="2559" spans="7:7" x14ac:dyDescent="0.3">
      <c r="G2559" t="s">
        <v>449</v>
      </c>
    </row>
    <row r="2560" spans="7:7" x14ac:dyDescent="0.3">
      <c r="G2560" t="s">
        <v>450</v>
      </c>
    </row>
    <row r="2561" spans="7:7" x14ac:dyDescent="0.3">
      <c r="G2561" t="s">
        <v>451</v>
      </c>
    </row>
    <row r="2562" spans="7:7" x14ac:dyDescent="0.3">
      <c r="G2562" t="s">
        <v>452</v>
      </c>
    </row>
    <row r="2563" spans="7:7" x14ac:dyDescent="0.3">
      <c r="G2563" t="s">
        <v>3091</v>
      </c>
    </row>
    <row r="2564" spans="7:7" x14ac:dyDescent="0.3">
      <c r="G2564" t="s">
        <v>3092</v>
      </c>
    </row>
    <row r="2565" spans="7:7" x14ac:dyDescent="0.3">
      <c r="G2565" t="s">
        <v>3093</v>
      </c>
    </row>
    <row r="2566" spans="7:7" x14ac:dyDescent="0.3">
      <c r="G2566" t="s">
        <v>3094</v>
      </c>
    </row>
    <row r="2567" spans="7:7" x14ac:dyDescent="0.3">
      <c r="G2567" t="s">
        <v>3095</v>
      </c>
    </row>
    <row r="2568" spans="7:7" x14ac:dyDescent="0.3">
      <c r="G2568" t="s">
        <v>3096</v>
      </c>
    </row>
    <row r="2569" spans="7:7" x14ac:dyDescent="0.3">
      <c r="G2569" t="s">
        <v>3097</v>
      </c>
    </row>
    <row r="2570" spans="7:7" x14ac:dyDescent="0.3">
      <c r="G2570" t="s">
        <v>3098</v>
      </c>
    </row>
    <row r="2571" spans="7:7" x14ac:dyDescent="0.3">
      <c r="G2571" t="s">
        <v>3099</v>
      </c>
    </row>
    <row r="2572" spans="7:7" x14ac:dyDescent="0.3">
      <c r="G2572" t="s">
        <v>3100</v>
      </c>
    </row>
    <row r="2573" spans="7:7" x14ac:dyDescent="0.3">
      <c r="G2573" t="s">
        <v>448</v>
      </c>
    </row>
    <row r="2574" spans="7:7" x14ac:dyDescent="0.3">
      <c r="G2574" t="s">
        <v>393</v>
      </c>
    </row>
    <row r="2575" spans="7:7" x14ac:dyDescent="0.3">
      <c r="G2575" t="s">
        <v>463</v>
      </c>
    </row>
    <row r="2576" spans="7:7" x14ac:dyDescent="0.3">
      <c r="G2576" t="s">
        <v>464</v>
      </c>
    </row>
    <row r="2577" spans="7:7" x14ac:dyDescent="0.3">
      <c r="G2577" t="s">
        <v>3101</v>
      </c>
    </row>
    <row r="2578" spans="7:7" x14ac:dyDescent="0.3">
      <c r="G2578" t="s">
        <v>3102</v>
      </c>
    </row>
    <row r="2579" spans="7:7" x14ac:dyDescent="0.3">
      <c r="G2579" t="s">
        <v>3103</v>
      </c>
    </row>
    <row r="2580" spans="7:7" x14ac:dyDescent="0.3">
      <c r="G2580" t="s">
        <v>3104</v>
      </c>
    </row>
    <row r="2581" spans="7:7" x14ac:dyDescent="0.3">
      <c r="G2581" t="s">
        <v>3105</v>
      </c>
    </row>
    <row r="2582" spans="7:7" x14ac:dyDescent="0.3">
      <c r="G2582" t="s">
        <v>448</v>
      </c>
    </row>
    <row r="2583" spans="7:7" x14ac:dyDescent="0.3">
      <c r="G2583" t="s">
        <v>393</v>
      </c>
    </row>
    <row r="2584" spans="7:7" x14ac:dyDescent="0.3">
      <c r="G2584" t="s">
        <v>470</v>
      </c>
    </row>
    <row r="2585" spans="7:7" x14ac:dyDescent="0.3">
      <c r="G2585" t="s">
        <v>671</v>
      </c>
    </row>
    <row r="2586" spans="7:7" x14ac:dyDescent="0.3">
      <c r="G2586" t="s">
        <v>3106</v>
      </c>
    </row>
    <row r="2587" spans="7:7" x14ac:dyDescent="0.3">
      <c r="G2587" t="s">
        <v>473</v>
      </c>
    </row>
    <row r="2588" spans="7:7" x14ac:dyDescent="0.3">
      <c r="G2588" t="s">
        <v>474</v>
      </c>
    </row>
    <row r="2589" spans="7:7" x14ac:dyDescent="0.3">
      <c r="G2589" t="s">
        <v>471</v>
      </c>
    </row>
    <row r="2590" spans="7:7" x14ac:dyDescent="0.3">
      <c r="G2590" t="s">
        <v>3107</v>
      </c>
    </row>
    <row r="2591" spans="7:7" x14ac:dyDescent="0.3">
      <c r="G2591" t="s">
        <v>473</v>
      </c>
    </row>
    <row r="2592" spans="7:7" x14ac:dyDescent="0.3">
      <c r="G2592" t="s">
        <v>474</v>
      </c>
    </row>
    <row r="2593" spans="7:7" x14ac:dyDescent="0.3">
      <c r="G2593" t="s">
        <v>2199</v>
      </c>
    </row>
    <row r="2594" spans="7:7" x14ac:dyDescent="0.3">
      <c r="G2594" t="s">
        <v>3108</v>
      </c>
    </row>
    <row r="2595" spans="7:7" x14ac:dyDescent="0.3">
      <c r="G2595" t="s">
        <v>473</v>
      </c>
    </row>
    <row r="2596" spans="7:7" x14ac:dyDescent="0.3">
      <c r="G2596" t="s">
        <v>474</v>
      </c>
    </row>
    <row r="2597" spans="7:7" x14ac:dyDescent="0.3">
      <c r="G2597" t="s">
        <v>2203</v>
      </c>
    </row>
    <row r="2598" spans="7:7" x14ac:dyDescent="0.3">
      <c r="G2598" t="s">
        <v>3109</v>
      </c>
    </row>
    <row r="2599" spans="7:7" x14ac:dyDescent="0.3">
      <c r="G2599" t="s">
        <v>473</v>
      </c>
    </row>
    <row r="2600" spans="7:7" x14ac:dyDescent="0.3">
      <c r="G2600" t="s">
        <v>474</v>
      </c>
    </row>
    <row r="2601" spans="7:7" x14ac:dyDescent="0.3">
      <c r="G2601" t="s">
        <v>481</v>
      </c>
    </row>
    <row r="2602" spans="7:7" x14ac:dyDescent="0.3">
      <c r="G2602" t="s">
        <v>3110</v>
      </c>
    </row>
    <row r="2603" spans="7:7" x14ac:dyDescent="0.3">
      <c r="G2603" t="s">
        <v>473</v>
      </c>
    </row>
    <row r="2604" spans="7:7" x14ac:dyDescent="0.3">
      <c r="G2604" t="s">
        <v>448</v>
      </c>
    </row>
    <row r="2605" spans="7:7" x14ac:dyDescent="0.3">
      <c r="G2605" t="s">
        <v>409</v>
      </c>
    </row>
    <row r="2606" spans="7:7" x14ac:dyDescent="0.3">
      <c r="G2606" t="s">
        <v>177</v>
      </c>
    </row>
    <row r="2607" spans="7:7" x14ac:dyDescent="0.3">
      <c r="G2607" t="s">
        <v>436</v>
      </c>
    </row>
    <row r="2608" spans="7:7" x14ac:dyDescent="0.3">
      <c r="G2608" t="s">
        <v>437</v>
      </c>
    </row>
    <row r="2609" spans="7:7" x14ac:dyDescent="0.3">
      <c r="G2609" t="s">
        <v>438</v>
      </c>
    </row>
    <row r="2610" spans="7:7" x14ac:dyDescent="0.3">
      <c r="G2610" t="s">
        <v>439</v>
      </c>
    </row>
    <row r="2611" spans="7:7" x14ac:dyDescent="0.3">
      <c r="G2611" t="s">
        <v>440</v>
      </c>
    </row>
    <row r="2612" spans="7:7" x14ac:dyDescent="0.3">
      <c r="G2612" t="s">
        <v>3111</v>
      </c>
    </row>
    <row r="2613" spans="7:7" x14ac:dyDescent="0.3">
      <c r="G2613" t="s">
        <v>2179</v>
      </c>
    </row>
    <row r="2614" spans="7:7" x14ac:dyDescent="0.3">
      <c r="G2614" t="s">
        <v>441</v>
      </c>
    </row>
    <row r="2615" spans="7:7" x14ac:dyDescent="0.3">
      <c r="G2615" t="s">
        <v>3112</v>
      </c>
    </row>
    <row r="2616" spans="7:7" x14ac:dyDescent="0.3">
      <c r="G2616" t="s">
        <v>486</v>
      </c>
    </row>
    <row r="2617" spans="7:7" x14ac:dyDescent="0.3">
      <c r="G2617" t="s">
        <v>3113</v>
      </c>
    </row>
    <row r="2618" spans="7:7" x14ac:dyDescent="0.3">
      <c r="G2618" t="s">
        <v>2183</v>
      </c>
    </row>
    <row r="2619" spans="7:7" x14ac:dyDescent="0.3">
      <c r="G2619" t="s">
        <v>448</v>
      </c>
    </row>
    <row r="2620" spans="7:7" x14ac:dyDescent="0.3">
      <c r="G2620" t="s">
        <v>393</v>
      </c>
    </row>
    <row r="2621" spans="7:7" x14ac:dyDescent="0.3">
      <c r="G2621" t="s">
        <v>449</v>
      </c>
    </row>
    <row r="2622" spans="7:7" x14ac:dyDescent="0.3">
      <c r="G2622" t="s">
        <v>450</v>
      </c>
    </row>
    <row r="2623" spans="7:7" x14ac:dyDescent="0.3">
      <c r="G2623" t="s">
        <v>451</v>
      </c>
    </row>
    <row r="2624" spans="7:7" x14ac:dyDescent="0.3">
      <c r="G2624" t="s">
        <v>452</v>
      </c>
    </row>
    <row r="2625" spans="7:7" x14ac:dyDescent="0.3">
      <c r="G2625" t="s">
        <v>3114</v>
      </c>
    </row>
    <row r="2626" spans="7:7" x14ac:dyDescent="0.3">
      <c r="G2626" t="s">
        <v>3115</v>
      </c>
    </row>
    <row r="2627" spans="7:7" x14ac:dyDescent="0.3">
      <c r="G2627" t="s">
        <v>3116</v>
      </c>
    </row>
    <row r="2628" spans="7:7" x14ac:dyDescent="0.3">
      <c r="G2628" t="s">
        <v>3117</v>
      </c>
    </row>
    <row r="2629" spans="7:7" x14ac:dyDescent="0.3">
      <c r="G2629" t="s">
        <v>3118</v>
      </c>
    </row>
    <row r="2630" spans="7:7" x14ac:dyDescent="0.3">
      <c r="G2630" t="s">
        <v>3119</v>
      </c>
    </row>
    <row r="2631" spans="7:7" x14ac:dyDescent="0.3">
      <c r="G2631" t="s">
        <v>3120</v>
      </c>
    </row>
    <row r="2632" spans="7:7" x14ac:dyDescent="0.3">
      <c r="G2632" t="s">
        <v>3121</v>
      </c>
    </row>
    <row r="2633" spans="7:7" x14ac:dyDescent="0.3">
      <c r="G2633" t="s">
        <v>3122</v>
      </c>
    </row>
    <row r="2634" spans="7:7" x14ac:dyDescent="0.3">
      <c r="G2634" t="s">
        <v>3123</v>
      </c>
    </row>
    <row r="2635" spans="7:7" x14ac:dyDescent="0.3">
      <c r="G2635" t="s">
        <v>448</v>
      </c>
    </row>
    <row r="2636" spans="7:7" x14ac:dyDescent="0.3">
      <c r="G2636" t="s">
        <v>393</v>
      </c>
    </row>
    <row r="2637" spans="7:7" x14ac:dyDescent="0.3">
      <c r="G2637" t="s">
        <v>463</v>
      </c>
    </row>
    <row r="2638" spans="7:7" x14ac:dyDescent="0.3">
      <c r="G2638" t="s">
        <v>464</v>
      </c>
    </row>
    <row r="2639" spans="7:7" x14ac:dyDescent="0.3">
      <c r="G2639" t="s">
        <v>3124</v>
      </c>
    </row>
    <row r="2640" spans="7:7" x14ac:dyDescent="0.3">
      <c r="G2640" t="s">
        <v>3125</v>
      </c>
    </row>
    <row r="2641" spans="7:7" x14ac:dyDescent="0.3">
      <c r="G2641" t="s">
        <v>3126</v>
      </c>
    </row>
    <row r="2642" spans="7:7" x14ac:dyDescent="0.3">
      <c r="G2642" t="s">
        <v>3127</v>
      </c>
    </row>
    <row r="2643" spans="7:7" x14ac:dyDescent="0.3">
      <c r="G2643" t="s">
        <v>3128</v>
      </c>
    </row>
    <row r="2644" spans="7:7" x14ac:dyDescent="0.3">
      <c r="G2644" t="s">
        <v>448</v>
      </c>
    </row>
    <row r="2645" spans="7:7" x14ac:dyDescent="0.3">
      <c r="G2645" t="s">
        <v>393</v>
      </c>
    </row>
    <row r="2646" spans="7:7" x14ac:dyDescent="0.3">
      <c r="G2646" t="s">
        <v>470</v>
      </c>
    </row>
    <row r="2647" spans="7:7" x14ac:dyDescent="0.3">
      <c r="G2647" t="s">
        <v>504</v>
      </c>
    </row>
    <row r="2648" spans="7:7" x14ac:dyDescent="0.3">
      <c r="G2648" t="s">
        <v>3129</v>
      </c>
    </row>
    <row r="2649" spans="7:7" x14ac:dyDescent="0.3">
      <c r="G2649" t="s">
        <v>473</v>
      </c>
    </row>
    <row r="2650" spans="7:7" x14ac:dyDescent="0.3">
      <c r="G2650" t="s">
        <v>474</v>
      </c>
    </row>
    <row r="2651" spans="7:7" x14ac:dyDescent="0.3">
      <c r="G2651" t="s">
        <v>471</v>
      </c>
    </row>
    <row r="2652" spans="7:7" x14ac:dyDescent="0.3">
      <c r="G2652" t="s">
        <v>3130</v>
      </c>
    </row>
    <row r="2653" spans="7:7" x14ac:dyDescent="0.3">
      <c r="G2653" t="s">
        <v>473</v>
      </c>
    </row>
    <row r="2654" spans="7:7" x14ac:dyDescent="0.3">
      <c r="G2654" t="s">
        <v>474</v>
      </c>
    </row>
    <row r="2655" spans="7:7" x14ac:dyDescent="0.3">
      <c r="G2655" t="s">
        <v>2199</v>
      </c>
    </row>
    <row r="2656" spans="7:7" x14ac:dyDescent="0.3">
      <c r="G2656" t="s">
        <v>3131</v>
      </c>
    </row>
    <row r="2657" spans="7:7" x14ac:dyDescent="0.3">
      <c r="G2657" t="s">
        <v>473</v>
      </c>
    </row>
    <row r="2658" spans="7:7" x14ac:dyDescent="0.3">
      <c r="G2658" t="s">
        <v>474</v>
      </c>
    </row>
    <row r="2659" spans="7:7" x14ac:dyDescent="0.3">
      <c r="G2659" t="s">
        <v>2203</v>
      </c>
    </row>
    <row r="2660" spans="7:7" x14ac:dyDescent="0.3">
      <c r="G2660" t="s">
        <v>3132</v>
      </c>
    </row>
    <row r="2661" spans="7:7" x14ac:dyDescent="0.3">
      <c r="G2661" t="s">
        <v>473</v>
      </c>
    </row>
    <row r="2662" spans="7:7" x14ac:dyDescent="0.3">
      <c r="G2662" t="s">
        <v>474</v>
      </c>
    </row>
    <row r="2663" spans="7:7" x14ac:dyDescent="0.3">
      <c r="G2663" t="s">
        <v>481</v>
      </c>
    </row>
    <row r="2664" spans="7:7" x14ac:dyDescent="0.3">
      <c r="G2664" t="s">
        <v>3133</v>
      </c>
    </row>
    <row r="2665" spans="7:7" x14ac:dyDescent="0.3">
      <c r="G2665" t="s">
        <v>473</v>
      </c>
    </row>
    <row r="2666" spans="7:7" x14ac:dyDescent="0.3">
      <c r="G2666" t="s">
        <v>448</v>
      </c>
    </row>
    <row r="2667" spans="7:7" x14ac:dyDescent="0.3">
      <c r="G2667" t="s">
        <v>409</v>
      </c>
    </row>
    <row r="2668" spans="7:7" x14ac:dyDescent="0.3">
      <c r="G2668" t="s">
        <v>177</v>
      </c>
    </row>
    <row r="2669" spans="7:7" x14ac:dyDescent="0.3">
      <c r="G2669" t="s">
        <v>436</v>
      </c>
    </row>
    <row r="2670" spans="7:7" x14ac:dyDescent="0.3">
      <c r="G2670" t="s">
        <v>437</v>
      </c>
    </row>
    <row r="2671" spans="7:7" x14ac:dyDescent="0.3">
      <c r="G2671" t="s">
        <v>438</v>
      </c>
    </row>
    <row r="2672" spans="7:7" x14ac:dyDescent="0.3">
      <c r="G2672" t="s">
        <v>439</v>
      </c>
    </row>
    <row r="2673" spans="7:7" x14ac:dyDescent="0.3">
      <c r="G2673" t="s">
        <v>440</v>
      </c>
    </row>
    <row r="2674" spans="7:7" x14ac:dyDescent="0.3">
      <c r="G2674" t="s">
        <v>3134</v>
      </c>
    </row>
    <row r="2675" spans="7:7" x14ac:dyDescent="0.3">
      <c r="G2675" t="s">
        <v>2179</v>
      </c>
    </row>
    <row r="2676" spans="7:7" x14ac:dyDescent="0.3">
      <c r="G2676" t="s">
        <v>441</v>
      </c>
    </row>
    <row r="2677" spans="7:7" x14ac:dyDescent="0.3">
      <c r="G2677" t="s">
        <v>3135</v>
      </c>
    </row>
    <row r="2678" spans="7:7" x14ac:dyDescent="0.3">
      <c r="G2678" t="s">
        <v>3136</v>
      </c>
    </row>
    <row r="2679" spans="7:7" x14ac:dyDescent="0.3">
      <c r="G2679" t="s">
        <v>486</v>
      </c>
    </row>
    <row r="2680" spans="7:7" x14ac:dyDescent="0.3">
      <c r="G2680" t="s">
        <v>2183</v>
      </c>
    </row>
    <row r="2681" spans="7:7" x14ac:dyDescent="0.3">
      <c r="G2681" t="s">
        <v>448</v>
      </c>
    </row>
    <row r="2682" spans="7:7" x14ac:dyDescent="0.3">
      <c r="G2682" t="s">
        <v>393</v>
      </c>
    </row>
    <row r="2683" spans="7:7" x14ac:dyDescent="0.3">
      <c r="G2683" t="s">
        <v>449</v>
      </c>
    </row>
    <row r="2684" spans="7:7" x14ac:dyDescent="0.3">
      <c r="G2684" t="s">
        <v>488</v>
      </c>
    </row>
    <row r="2685" spans="7:7" x14ac:dyDescent="0.3">
      <c r="G2685" t="s">
        <v>451</v>
      </c>
    </row>
    <row r="2686" spans="7:7" x14ac:dyDescent="0.3">
      <c r="G2686" t="s">
        <v>452</v>
      </c>
    </row>
    <row r="2687" spans="7:7" x14ac:dyDescent="0.3">
      <c r="G2687" t="s">
        <v>3137</v>
      </c>
    </row>
    <row r="2688" spans="7:7" x14ac:dyDescent="0.3">
      <c r="G2688" t="s">
        <v>3138</v>
      </c>
    </row>
    <row r="2689" spans="7:7" x14ac:dyDescent="0.3">
      <c r="G2689" t="s">
        <v>3139</v>
      </c>
    </row>
    <row r="2690" spans="7:7" x14ac:dyDescent="0.3">
      <c r="G2690" t="s">
        <v>3140</v>
      </c>
    </row>
    <row r="2691" spans="7:7" x14ac:dyDescent="0.3">
      <c r="G2691" t="s">
        <v>3141</v>
      </c>
    </row>
    <row r="2692" spans="7:7" x14ac:dyDescent="0.3">
      <c r="G2692" t="s">
        <v>3142</v>
      </c>
    </row>
    <row r="2693" spans="7:7" x14ac:dyDescent="0.3">
      <c r="G2693" t="s">
        <v>3143</v>
      </c>
    </row>
    <row r="2694" spans="7:7" x14ac:dyDescent="0.3">
      <c r="G2694" t="s">
        <v>3144</v>
      </c>
    </row>
    <row r="2695" spans="7:7" x14ac:dyDescent="0.3">
      <c r="G2695" t="s">
        <v>3145</v>
      </c>
    </row>
    <row r="2696" spans="7:7" x14ac:dyDescent="0.3">
      <c r="G2696" t="s">
        <v>3146</v>
      </c>
    </row>
    <row r="2697" spans="7:7" x14ac:dyDescent="0.3">
      <c r="G2697" t="s">
        <v>448</v>
      </c>
    </row>
    <row r="2698" spans="7:7" x14ac:dyDescent="0.3">
      <c r="G2698" t="s">
        <v>393</v>
      </c>
    </row>
    <row r="2699" spans="7:7" x14ac:dyDescent="0.3">
      <c r="G2699" t="s">
        <v>463</v>
      </c>
    </row>
    <row r="2700" spans="7:7" x14ac:dyDescent="0.3">
      <c r="G2700" t="s">
        <v>464</v>
      </c>
    </row>
    <row r="2701" spans="7:7" x14ac:dyDescent="0.3">
      <c r="G2701" t="s">
        <v>3147</v>
      </c>
    </row>
    <row r="2702" spans="7:7" x14ac:dyDescent="0.3">
      <c r="G2702" t="s">
        <v>3148</v>
      </c>
    </row>
    <row r="2703" spans="7:7" x14ac:dyDescent="0.3">
      <c r="G2703" t="s">
        <v>3149</v>
      </c>
    </row>
    <row r="2704" spans="7:7" x14ac:dyDescent="0.3">
      <c r="G2704" t="s">
        <v>3150</v>
      </c>
    </row>
    <row r="2705" spans="7:7" x14ac:dyDescent="0.3">
      <c r="G2705" t="s">
        <v>3151</v>
      </c>
    </row>
    <row r="2706" spans="7:7" x14ac:dyDescent="0.3">
      <c r="G2706" t="s">
        <v>448</v>
      </c>
    </row>
    <row r="2707" spans="7:7" x14ac:dyDescent="0.3">
      <c r="G2707" t="s">
        <v>393</v>
      </c>
    </row>
    <row r="2708" spans="7:7" x14ac:dyDescent="0.3">
      <c r="G2708" t="s">
        <v>470</v>
      </c>
    </row>
    <row r="2709" spans="7:7" x14ac:dyDescent="0.3">
      <c r="G2709" t="s">
        <v>481</v>
      </c>
    </row>
    <row r="2710" spans="7:7" x14ac:dyDescent="0.3">
      <c r="G2710" t="s">
        <v>3152</v>
      </c>
    </row>
    <row r="2711" spans="7:7" x14ac:dyDescent="0.3">
      <c r="G2711" t="s">
        <v>473</v>
      </c>
    </row>
    <row r="2712" spans="7:7" x14ac:dyDescent="0.3">
      <c r="G2712" t="s">
        <v>474</v>
      </c>
    </row>
    <row r="2713" spans="7:7" x14ac:dyDescent="0.3">
      <c r="G2713" t="s">
        <v>2203</v>
      </c>
    </row>
    <row r="2714" spans="7:7" x14ac:dyDescent="0.3">
      <c r="G2714" t="s">
        <v>3153</v>
      </c>
    </row>
    <row r="2715" spans="7:7" x14ac:dyDescent="0.3">
      <c r="G2715" t="s">
        <v>473</v>
      </c>
    </row>
    <row r="2716" spans="7:7" x14ac:dyDescent="0.3">
      <c r="G2716" t="s">
        <v>474</v>
      </c>
    </row>
    <row r="2717" spans="7:7" x14ac:dyDescent="0.3">
      <c r="G2717" t="s">
        <v>2199</v>
      </c>
    </row>
    <row r="2718" spans="7:7" x14ac:dyDescent="0.3">
      <c r="G2718" t="s">
        <v>3154</v>
      </c>
    </row>
    <row r="2719" spans="7:7" x14ac:dyDescent="0.3">
      <c r="G2719" t="s">
        <v>473</v>
      </c>
    </row>
    <row r="2720" spans="7:7" x14ac:dyDescent="0.3">
      <c r="G2720" t="s">
        <v>474</v>
      </c>
    </row>
    <row r="2721" spans="7:7" x14ac:dyDescent="0.3">
      <c r="G2721" t="s">
        <v>504</v>
      </c>
    </row>
    <row r="2722" spans="7:7" x14ac:dyDescent="0.3">
      <c r="G2722" t="s">
        <v>3155</v>
      </c>
    </row>
    <row r="2723" spans="7:7" x14ac:dyDescent="0.3">
      <c r="G2723" t="s">
        <v>473</v>
      </c>
    </row>
    <row r="2724" spans="7:7" x14ac:dyDescent="0.3">
      <c r="G2724" t="s">
        <v>474</v>
      </c>
    </row>
    <row r="2725" spans="7:7" x14ac:dyDescent="0.3">
      <c r="G2725" t="s">
        <v>471</v>
      </c>
    </row>
    <row r="2726" spans="7:7" x14ac:dyDescent="0.3">
      <c r="G2726" t="s">
        <v>3156</v>
      </c>
    </row>
    <row r="2727" spans="7:7" x14ac:dyDescent="0.3">
      <c r="G2727" t="s">
        <v>473</v>
      </c>
    </row>
    <row r="2728" spans="7:7" x14ac:dyDescent="0.3">
      <c r="G2728" t="s">
        <v>448</v>
      </c>
    </row>
    <row r="2729" spans="7:7" x14ac:dyDescent="0.3">
      <c r="G2729" t="s">
        <v>409</v>
      </c>
    </row>
    <row r="2730" spans="7:7" x14ac:dyDescent="0.3">
      <c r="G2730" t="s">
        <v>177</v>
      </c>
    </row>
    <row r="2731" spans="7:7" x14ac:dyDescent="0.3">
      <c r="G2731" t="s">
        <v>436</v>
      </c>
    </row>
    <row r="2732" spans="7:7" x14ac:dyDescent="0.3">
      <c r="G2732" t="s">
        <v>437</v>
      </c>
    </row>
    <row r="2733" spans="7:7" x14ac:dyDescent="0.3">
      <c r="G2733" t="s">
        <v>438</v>
      </c>
    </row>
    <row r="2734" spans="7:7" x14ac:dyDescent="0.3">
      <c r="G2734" t="s">
        <v>439</v>
      </c>
    </row>
    <row r="2735" spans="7:7" x14ac:dyDescent="0.3">
      <c r="G2735" t="s">
        <v>440</v>
      </c>
    </row>
    <row r="2736" spans="7:7" x14ac:dyDescent="0.3">
      <c r="G2736" t="s">
        <v>3157</v>
      </c>
    </row>
    <row r="2737" spans="7:7" x14ac:dyDescent="0.3">
      <c r="G2737" t="s">
        <v>3158</v>
      </c>
    </row>
    <row r="2738" spans="7:7" x14ac:dyDescent="0.3">
      <c r="G2738" t="s">
        <v>2179</v>
      </c>
    </row>
    <row r="2739" spans="7:7" x14ac:dyDescent="0.3">
      <c r="G2739" t="s">
        <v>441</v>
      </c>
    </row>
    <row r="2740" spans="7:7" x14ac:dyDescent="0.3">
      <c r="G2740" t="s">
        <v>703</v>
      </c>
    </row>
    <row r="2741" spans="7:7" x14ac:dyDescent="0.3">
      <c r="G2741" t="s">
        <v>3159</v>
      </c>
    </row>
    <row r="2742" spans="7:7" x14ac:dyDescent="0.3">
      <c r="G2742" t="s">
        <v>2183</v>
      </c>
    </row>
    <row r="2743" spans="7:7" x14ac:dyDescent="0.3">
      <c r="G2743" t="s">
        <v>448</v>
      </c>
    </row>
    <row r="2744" spans="7:7" x14ac:dyDescent="0.3">
      <c r="G2744" t="s">
        <v>393</v>
      </c>
    </row>
    <row r="2745" spans="7:7" x14ac:dyDescent="0.3">
      <c r="G2745" t="s">
        <v>449</v>
      </c>
    </row>
    <row r="2746" spans="7:7" x14ac:dyDescent="0.3">
      <c r="G2746" t="s">
        <v>450</v>
      </c>
    </row>
    <row r="2747" spans="7:7" x14ac:dyDescent="0.3">
      <c r="G2747" t="s">
        <v>451</v>
      </c>
    </row>
    <row r="2748" spans="7:7" x14ac:dyDescent="0.3">
      <c r="G2748" t="s">
        <v>452</v>
      </c>
    </row>
    <row r="2749" spans="7:7" x14ac:dyDescent="0.3">
      <c r="G2749" t="s">
        <v>3160</v>
      </c>
    </row>
    <row r="2750" spans="7:7" x14ac:dyDescent="0.3">
      <c r="G2750" t="s">
        <v>3161</v>
      </c>
    </row>
    <row r="2751" spans="7:7" x14ac:dyDescent="0.3">
      <c r="G2751" t="s">
        <v>3162</v>
      </c>
    </row>
    <row r="2752" spans="7:7" x14ac:dyDescent="0.3">
      <c r="G2752" t="s">
        <v>3163</v>
      </c>
    </row>
    <row r="2753" spans="7:7" x14ac:dyDescent="0.3">
      <c r="G2753" t="s">
        <v>3164</v>
      </c>
    </row>
    <row r="2754" spans="7:7" x14ac:dyDescent="0.3">
      <c r="G2754" t="s">
        <v>3165</v>
      </c>
    </row>
    <row r="2755" spans="7:7" x14ac:dyDescent="0.3">
      <c r="G2755" t="s">
        <v>3166</v>
      </c>
    </row>
    <row r="2756" spans="7:7" x14ac:dyDescent="0.3">
      <c r="G2756" t="s">
        <v>3167</v>
      </c>
    </row>
    <row r="2757" spans="7:7" x14ac:dyDescent="0.3">
      <c r="G2757" t="s">
        <v>3168</v>
      </c>
    </row>
    <row r="2758" spans="7:7" x14ac:dyDescent="0.3">
      <c r="G2758" t="s">
        <v>3169</v>
      </c>
    </row>
    <row r="2759" spans="7:7" x14ac:dyDescent="0.3">
      <c r="G2759" t="s">
        <v>448</v>
      </c>
    </row>
    <row r="2760" spans="7:7" x14ac:dyDescent="0.3">
      <c r="G2760" t="s">
        <v>393</v>
      </c>
    </row>
    <row r="2761" spans="7:7" x14ac:dyDescent="0.3">
      <c r="G2761" t="s">
        <v>463</v>
      </c>
    </row>
    <row r="2762" spans="7:7" x14ac:dyDescent="0.3">
      <c r="G2762" t="s">
        <v>464</v>
      </c>
    </row>
    <row r="2763" spans="7:7" x14ac:dyDescent="0.3">
      <c r="G2763" t="s">
        <v>3170</v>
      </c>
    </row>
    <row r="2764" spans="7:7" x14ac:dyDescent="0.3">
      <c r="G2764" t="s">
        <v>3171</v>
      </c>
    </row>
    <row r="2765" spans="7:7" x14ac:dyDescent="0.3">
      <c r="G2765" t="s">
        <v>3172</v>
      </c>
    </row>
    <row r="2766" spans="7:7" x14ac:dyDescent="0.3">
      <c r="G2766" t="s">
        <v>3173</v>
      </c>
    </row>
    <row r="2767" spans="7:7" x14ac:dyDescent="0.3">
      <c r="G2767" t="s">
        <v>3174</v>
      </c>
    </row>
    <row r="2768" spans="7:7" x14ac:dyDescent="0.3">
      <c r="G2768" t="s">
        <v>448</v>
      </c>
    </row>
    <row r="2769" spans="7:7" x14ac:dyDescent="0.3">
      <c r="G2769" t="s">
        <v>393</v>
      </c>
    </row>
    <row r="2770" spans="7:7" x14ac:dyDescent="0.3">
      <c r="G2770" t="s">
        <v>470</v>
      </c>
    </row>
    <row r="2771" spans="7:7" x14ac:dyDescent="0.3">
      <c r="G2771" t="s">
        <v>671</v>
      </c>
    </row>
    <row r="2772" spans="7:7" x14ac:dyDescent="0.3">
      <c r="G2772" t="s">
        <v>3175</v>
      </c>
    </row>
    <row r="2773" spans="7:7" x14ac:dyDescent="0.3">
      <c r="G2773" t="s">
        <v>473</v>
      </c>
    </row>
    <row r="2774" spans="7:7" x14ac:dyDescent="0.3">
      <c r="G2774" t="s">
        <v>474</v>
      </c>
    </row>
    <row r="2775" spans="7:7" x14ac:dyDescent="0.3">
      <c r="G2775" t="s">
        <v>471</v>
      </c>
    </row>
    <row r="2776" spans="7:7" x14ac:dyDescent="0.3">
      <c r="G2776" t="s">
        <v>3176</v>
      </c>
    </row>
    <row r="2777" spans="7:7" x14ac:dyDescent="0.3">
      <c r="G2777" t="s">
        <v>473</v>
      </c>
    </row>
    <row r="2778" spans="7:7" x14ac:dyDescent="0.3">
      <c r="G2778" t="s">
        <v>474</v>
      </c>
    </row>
    <row r="2779" spans="7:7" x14ac:dyDescent="0.3">
      <c r="G2779" t="s">
        <v>2199</v>
      </c>
    </row>
    <row r="2780" spans="7:7" x14ac:dyDescent="0.3">
      <c r="G2780" t="s">
        <v>3177</v>
      </c>
    </row>
    <row r="2781" spans="7:7" x14ac:dyDescent="0.3">
      <c r="G2781" t="s">
        <v>473</v>
      </c>
    </row>
    <row r="2782" spans="7:7" x14ac:dyDescent="0.3">
      <c r="G2782" t="s">
        <v>474</v>
      </c>
    </row>
    <row r="2783" spans="7:7" x14ac:dyDescent="0.3">
      <c r="G2783" t="s">
        <v>481</v>
      </c>
    </row>
    <row r="2784" spans="7:7" x14ac:dyDescent="0.3">
      <c r="G2784" t="s">
        <v>3178</v>
      </c>
    </row>
    <row r="2785" spans="7:7" x14ac:dyDescent="0.3">
      <c r="G2785" t="s">
        <v>473</v>
      </c>
    </row>
    <row r="2786" spans="7:7" x14ac:dyDescent="0.3">
      <c r="G2786" t="s">
        <v>474</v>
      </c>
    </row>
    <row r="2787" spans="7:7" x14ac:dyDescent="0.3">
      <c r="G2787" t="s">
        <v>2203</v>
      </c>
    </row>
    <row r="2788" spans="7:7" x14ac:dyDescent="0.3">
      <c r="G2788" t="s">
        <v>3179</v>
      </c>
    </row>
    <row r="2789" spans="7:7" x14ac:dyDescent="0.3">
      <c r="G2789" t="s">
        <v>473</v>
      </c>
    </row>
    <row r="2790" spans="7:7" x14ac:dyDescent="0.3">
      <c r="G2790" t="s">
        <v>448</v>
      </c>
    </row>
    <row r="2791" spans="7:7" x14ac:dyDescent="0.3">
      <c r="G2791" t="s">
        <v>409</v>
      </c>
    </row>
    <row r="2792" spans="7:7" x14ac:dyDescent="0.3">
      <c r="G2792" t="s">
        <v>177</v>
      </c>
    </row>
    <row r="2793" spans="7:7" x14ac:dyDescent="0.3">
      <c r="G2793" t="s">
        <v>436</v>
      </c>
    </row>
    <row r="2794" spans="7:7" x14ac:dyDescent="0.3">
      <c r="G2794" t="s">
        <v>437</v>
      </c>
    </row>
    <row r="2795" spans="7:7" x14ac:dyDescent="0.3">
      <c r="G2795" t="s">
        <v>438</v>
      </c>
    </row>
    <row r="2796" spans="7:7" x14ac:dyDescent="0.3">
      <c r="G2796" t="s">
        <v>439</v>
      </c>
    </row>
    <row r="2797" spans="7:7" x14ac:dyDescent="0.3">
      <c r="G2797" t="s">
        <v>3180</v>
      </c>
    </row>
    <row r="2798" spans="7:7" x14ac:dyDescent="0.3">
      <c r="G2798" t="s">
        <v>440</v>
      </c>
    </row>
    <row r="2799" spans="7:7" x14ac:dyDescent="0.3">
      <c r="G2799" t="s">
        <v>2179</v>
      </c>
    </row>
    <row r="2800" spans="7:7" x14ac:dyDescent="0.3">
      <c r="G2800" t="s">
        <v>3181</v>
      </c>
    </row>
    <row r="2801" spans="7:7" x14ac:dyDescent="0.3">
      <c r="G2801" t="s">
        <v>441</v>
      </c>
    </row>
    <row r="2802" spans="7:7" x14ac:dyDescent="0.3">
      <c r="G2802" t="s">
        <v>486</v>
      </c>
    </row>
    <row r="2803" spans="7:7" x14ac:dyDescent="0.3">
      <c r="G2803" t="s">
        <v>3182</v>
      </c>
    </row>
    <row r="2804" spans="7:7" x14ac:dyDescent="0.3">
      <c r="G2804" t="s">
        <v>2183</v>
      </c>
    </row>
    <row r="2805" spans="7:7" x14ac:dyDescent="0.3">
      <c r="G2805" t="s">
        <v>448</v>
      </c>
    </row>
    <row r="2806" spans="7:7" x14ac:dyDescent="0.3">
      <c r="G2806" t="s">
        <v>393</v>
      </c>
    </row>
    <row r="2807" spans="7:7" x14ac:dyDescent="0.3">
      <c r="G2807" t="s">
        <v>449</v>
      </c>
    </row>
    <row r="2808" spans="7:7" x14ac:dyDescent="0.3">
      <c r="G2808" t="s">
        <v>488</v>
      </c>
    </row>
    <row r="2809" spans="7:7" x14ac:dyDescent="0.3">
      <c r="G2809" t="s">
        <v>451</v>
      </c>
    </row>
    <row r="2810" spans="7:7" x14ac:dyDescent="0.3">
      <c r="G2810" t="s">
        <v>452</v>
      </c>
    </row>
    <row r="2811" spans="7:7" x14ac:dyDescent="0.3">
      <c r="G2811" t="s">
        <v>3183</v>
      </c>
    </row>
    <row r="2812" spans="7:7" x14ac:dyDescent="0.3">
      <c r="G2812" t="s">
        <v>3184</v>
      </c>
    </row>
    <row r="2813" spans="7:7" x14ac:dyDescent="0.3">
      <c r="G2813" t="s">
        <v>3185</v>
      </c>
    </row>
    <row r="2814" spans="7:7" x14ac:dyDescent="0.3">
      <c r="G2814" t="s">
        <v>3186</v>
      </c>
    </row>
    <row r="2815" spans="7:7" x14ac:dyDescent="0.3">
      <c r="G2815" t="s">
        <v>3187</v>
      </c>
    </row>
    <row r="2816" spans="7:7" x14ac:dyDescent="0.3">
      <c r="G2816" t="s">
        <v>3188</v>
      </c>
    </row>
    <row r="2817" spans="7:7" x14ac:dyDescent="0.3">
      <c r="G2817" t="s">
        <v>3189</v>
      </c>
    </row>
    <row r="2818" spans="7:7" x14ac:dyDescent="0.3">
      <c r="G2818" t="s">
        <v>3190</v>
      </c>
    </row>
    <row r="2819" spans="7:7" x14ac:dyDescent="0.3">
      <c r="G2819" t="s">
        <v>3191</v>
      </c>
    </row>
    <row r="2820" spans="7:7" x14ac:dyDescent="0.3">
      <c r="G2820" t="s">
        <v>3192</v>
      </c>
    </row>
    <row r="2821" spans="7:7" x14ac:dyDescent="0.3">
      <c r="G2821" t="s">
        <v>448</v>
      </c>
    </row>
    <row r="2822" spans="7:7" x14ac:dyDescent="0.3">
      <c r="G2822" t="s">
        <v>393</v>
      </c>
    </row>
    <row r="2823" spans="7:7" x14ac:dyDescent="0.3">
      <c r="G2823" t="s">
        <v>463</v>
      </c>
    </row>
    <row r="2824" spans="7:7" x14ac:dyDescent="0.3">
      <c r="G2824" t="s">
        <v>464</v>
      </c>
    </row>
    <row r="2825" spans="7:7" x14ac:dyDescent="0.3">
      <c r="G2825" t="s">
        <v>3193</v>
      </c>
    </row>
    <row r="2826" spans="7:7" x14ac:dyDescent="0.3">
      <c r="G2826" t="s">
        <v>3194</v>
      </c>
    </row>
    <row r="2827" spans="7:7" x14ac:dyDescent="0.3">
      <c r="G2827" t="s">
        <v>3195</v>
      </c>
    </row>
    <row r="2828" spans="7:7" x14ac:dyDescent="0.3">
      <c r="G2828" t="s">
        <v>3196</v>
      </c>
    </row>
    <row r="2829" spans="7:7" x14ac:dyDescent="0.3">
      <c r="G2829" t="s">
        <v>3197</v>
      </c>
    </row>
    <row r="2830" spans="7:7" x14ac:dyDescent="0.3">
      <c r="G2830" t="s">
        <v>448</v>
      </c>
    </row>
    <row r="2831" spans="7:7" x14ac:dyDescent="0.3">
      <c r="G2831" t="s">
        <v>393</v>
      </c>
    </row>
    <row r="2832" spans="7:7" x14ac:dyDescent="0.3">
      <c r="G2832" t="s">
        <v>470</v>
      </c>
    </row>
    <row r="2833" spans="7:7" x14ac:dyDescent="0.3">
      <c r="G2833" t="s">
        <v>2203</v>
      </c>
    </row>
    <row r="2834" spans="7:7" x14ac:dyDescent="0.3">
      <c r="G2834" t="s">
        <v>3198</v>
      </c>
    </row>
    <row r="2835" spans="7:7" x14ac:dyDescent="0.3">
      <c r="G2835" t="s">
        <v>473</v>
      </c>
    </row>
    <row r="2836" spans="7:7" x14ac:dyDescent="0.3">
      <c r="G2836" t="s">
        <v>474</v>
      </c>
    </row>
    <row r="2837" spans="7:7" x14ac:dyDescent="0.3">
      <c r="G2837" t="s">
        <v>481</v>
      </c>
    </row>
    <row r="2838" spans="7:7" x14ac:dyDescent="0.3">
      <c r="G2838" t="s">
        <v>3199</v>
      </c>
    </row>
    <row r="2839" spans="7:7" x14ac:dyDescent="0.3">
      <c r="G2839" t="s">
        <v>473</v>
      </c>
    </row>
    <row r="2840" spans="7:7" x14ac:dyDescent="0.3">
      <c r="G2840" t="s">
        <v>474</v>
      </c>
    </row>
    <row r="2841" spans="7:7" x14ac:dyDescent="0.3">
      <c r="G2841" t="s">
        <v>471</v>
      </c>
    </row>
    <row r="2842" spans="7:7" x14ac:dyDescent="0.3">
      <c r="G2842" t="s">
        <v>3200</v>
      </c>
    </row>
    <row r="2843" spans="7:7" x14ac:dyDescent="0.3">
      <c r="G2843" t="s">
        <v>601</v>
      </c>
    </row>
    <row r="2844" spans="7:7" x14ac:dyDescent="0.3">
      <c r="G2844" t="s">
        <v>474</v>
      </c>
    </row>
    <row r="2845" spans="7:7" x14ac:dyDescent="0.3">
      <c r="G2845" t="s">
        <v>504</v>
      </c>
    </row>
    <row r="2846" spans="7:7" x14ac:dyDescent="0.3">
      <c r="G2846" t="s">
        <v>3201</v>
      </c>
    </row>
    <row r="2847" spans="7:7" x14ac:dyDescent="0.3">
      <c r="G2847" t="s">
        <v>473</v>
      </c>
    </row>
    <row r="2848" spans="7:7" x14ac:dyDescent="0.3">
      <c r="G2848" t="s">
        <v>474</v>
      </c>
    </row>
    <row r="2849" spans="7:7" x14ac:dyDescent="0.3">
      <c r="G2849" t="s">
        <v>2199</v>
      </c>
    </row>
    <row r="2850" spans="7:7" x14ac:dyDescent="0.3">
      <c r="G2850" t="s">
        <v>3202</v>
      </c>
    </row>
    <row r="2851" spans="7:7" x14ac:dyDescent="0.3">
      <c r="G2851" t="s">
        <v>473</v>
      </c>
    </row>
    <row r="2852" spans="7:7" x14ac:dyDescent="0.3">
      <c r="G2852" t="s">
        <v>448</v>
      </c>
    </row>
    <row r="2853" spans="7:7" x14ac:dyDescent="0.3">
      <c r="G2853" t="s">
        <v>409</v>
      </c>
    </row>
    <row r="2854" spans="7:7" x14ac:dyDescent="0.3">
      <c r="G2854" t="s">
        <v>177</v>
      </c>
    </row>
    <row r="2855" spans="7:7" x14ac:dyDescent="0.3">
      <c r="G2855" t="s">
        <v>436</v>
      </c>
    </row>
    <row r="2856" spans="7:7" x14ac:dyDescent="0.3">
      <c r="G2856" t="s">
        <v>437</v>
      </c>
    </row>
    <row r="2857" spans="7:7" x14ac:dyDescent="0.3">
      <c r="G2857" t="s">
        <v>438</v>
      </c>
    </row>
    <row r="2858" spans="7:7" x14ac:dyDescent="0.3">
      <c r="G2858" t="s">
        <v>439</v>
      </c>
    </row>
    <row r="2859" spans="7:7" x14ac:dyDescent="0.3">
      <c r="G2859" t="s">
        <v>440</v>
      </c>
    </row>
    <row r="2860" spans="7:7" x14ac:dyDescent="0.3">
      <c r="G2860" t="s">
        <v>3203</v>
      </c>
    </row>
    <row r="2861" spans="7:7" x14ac:dyDescent="0.3">
      <c r="G2861" t="s">
        <v>2179</v>
      </c>
    </row>
    <row r="2862" spans="7:7" x14ac:dyDescent="0.3">
      <c r="G2862" t="s">
        <v>441</v>
      </c>
    </row>
    <row r="2863" spans="7:7" x14ac:dyDescent="0.3">
      <c r="G2863" t="s">
        <v>3204</v>
      </c>
    </row>
    <row r="2864" spans="7:7" x14ac:dyDescent="0.3">
      <c r="G2864" t="s">
        <v>703</v>
      </c>
    </row>
    <row r="2865" spans="7:7" x14ac:dyDescent="0.3">
      <c r="G2865" t="s">
        <v>3205</v>
      </c>
    </row>
    <row r="2866" spans="7:7" x14ac:dyDescent="0.3">
      <c r="G2866" t="s">
        <v>2183</v>
      </c>
    </row>
    <row r="2867" spans="7:7" x14ac:dyDescent="0.3">
      <c r="G2867" t="s">
        <v>448</v>
      </c>
    </row>
    <row r="2868" spans="7:7" x14ac:dyDescent="0.3">
      <c r="G2868" t="s">
        <v>393</v>
      </c>
    </row>
    <row r="2869" spans="7:7" x14ac:dyDescent="0.3">
      <c r="G2869" t="s">
        <v>449</v>
      </c>
    </row>
    <row r="2870" spans="7:7" x14ac:dyDescent="0.3">
      <c r="G2870" t="s">
        <v>488</v>
      </c>
    </row>
    <row r="2871" spans="7:7" x14ac:dyDescent="0.3">
      <c r="G2871" t="s">
        <v>451</v>
      </c>
    </row>
    <row r="2872" spans="7:7" x14ac:dyDescent="0.3">
      <c r="G2872" t="s">
        <v>452</v>
      </c>
    </row>
    <row r="2873" spans="7:7" x14ac:dyDescent="0.3">
      <c r="G2873" t="s">
        <v>3206</v>
      </c>
    </row>
    <row r="2874" spans="7:7" x14ac:dyDescent="0.3">
      <c r="G2874" t="s">
        <v>3207</v>
      </c>
    </row>
    <row r="2875" spans="7:7" x14ac:dyDescent="0.3">
      <c r="G2875" t="s">
        <v>3208</v>
      </c>
    </row>
    <row r="2876" spans="7:7" x14ac:dyDescent="0.3">
      <c r="G2876" t="s">
        <v>3209</v>
      </c>
    </row>
    <row r="2877" spans="7:7" x14ac:dyDescent="0.3">
      <c r="G2877" t="s">
        <v>3210</v>
      </c>
    </row>
    <row r="2878" spans="7:7" x14ac:dyDescent="0.3">
      <c r="G2878" t="s">
        <v>3211</v>
      </c>
    </row>
    <row r="2879" spans="7:7" x14ac:dyDescent="0.3">
      <c r="G2879" t="s">
        <v>3212</v>
      </c>
    </row>
    <row r="2880" spans="7:7" x14ac:dyDescent="0.3">
      <c r="G2880" t="s">
        <v>3213</v>
      </c>
    </row>
    <row r="2881" spans="7:7" x14ac:dyDescent="0.3">
      <c r="G2881" t="s">
        <v>3214</v>
      </c>
    </row>
    <row r="2882" spans="7:7" x14ac:dyDescent="0.3">
      <c r="G2882" t="s">
        <v>3215</v>
      </c>
    </row>
    <row r="2883" spans="7:7" x14ac:dyDescent="0.3">
      <c r="G2883" t="s">
        <v>448</v>
      </c>
    </row>
    <row r="2884" spans="7:7" x14ac:dyDescent="0.3">
      <c r="G2884" t="s">
        <v>393</v>
      </c>
    </row>
    <row r="2885" spans="7:7" x14ac:dyDescent="0.3">
      <c r="G2885" t="s">
        <v>463</v>
      </c>
    </row>
    <row r="2886" spans="7:7" x14ac:dyDescent="0.3">
      <c r="G2886" t="s">
        <v>464</v>
      </c>
    </row>
    <row r="2887" spans="7:7" x14ac:dyDescent="0.3">
      <c r="G2887" t="s">
        <v>3216</v>
      </c>
    </row>
    <row r="2888" spans="7:7" x14ac:dyDescent="0.3">
      <c r="G2888" t="s">
        <v>3217</v>
      </c>
    </row>
    <row r="2889" spans="7:7" x14ac:dyDescent="0.3">
      <c r="G2889" t="s">
        <v>3218</v>
      </c>
    </row>
    <row r="2890" spans="7:7" x14ac:dyDescent="0.3">
      <c r="G2890" t="s">
        <v>3219</v>
      </c>
    </row>
    <row r="2891" spans="7:7" x14ac:dyDescent="0.3">
      <c r="G2891" t="s">
        <v>3220</v>
      </c>
    </row>
    <row r="2892" spans="7:7" x14ac:dyDescent="0.3">
      <c r="G2892" t="s">
        <v>448</v>
      </c>
    </row>
    <row r="2893" spans="7:7" x14ac:dyDescent="0.3">
      <c r="G2893" t="s">
        <v>393</v>
      </c>
    </row>
    <row r="2894" spans="7:7" x14ac:dyDescent="0.3">
      <c r="G2894" t="s">
        <v>470</v>
      </c>
    </row>
    <row r="2895" spans="7:7" x14ac:dyDescent="0.3">
      <c r="G2895" t="s">
        <v>671</v>
      </c>
    </row>
    <row r="2896" spans="7:7" x14ac:dyDescent="0.3">
      <c r="G2896" t="s">
        <v>3221</v>
      </c>
    </row>
    <row r="2897" spans="7:7" x14ac:dyDescent="0.3">
      <c r="G2897" t="s">
        <v>473</v>
      </c>
    </row>
    <row r="2898" spans="7:7" x14ac:dyDescent="0.3">
      <c r="G2898" t="s">
        <v>474</v>
      </c>
    </row>
    <row r="2899" spans="7:7" x14ac:dyDescent="0.3">
      <c r="G2899" t="s">
        <v>471</v>
      </c>
    </row>
    <row r="2900" spans="7:7" x14ac:dyDescent="0.3">
      <c r="G2900" t="s">
        <v>3222</v>
      </c>
    </row>
    <row r="2901" spans="7:7" x14ac:dyDescent="0.3">
      <c r="G2901" t="s">
        <v>473</v>
      </c>
    </row>
    <row r="2902" spans="7:7" x14ac:dyDescent="0.3">
      <c r="G2902" t="s">
        <v>474</v>
      </c>
    </row>
    <row r="2903" spans="7:7" x14ac:dyDescent="0.3">
      <c r="G2903" t="s">
        <v>2199</v>
      </c>
    </row>
    <row r="2904" spans="7:7" x14ac:dyDescent="0.3">
      <c r="G2904" t="s">
        <v>3223</v>
      </c>
    </row>
    <row r="2905" spans="7:7" x14ac:dyDescent="0.3">
      <c r="G2905" t="s">
        <v>473</v>
      </c>
    </row>
    <row r="2906" spans="7:7" x14ac:dyDescent="0.3">
      <c r="G2906" t="s">
        <v>474</v>
      </c>
    </row>
    <row r="2907" spans="7:7" x14ac:dyDescent="0.3">
      <c r="G2907" t="s">
        <v>2203</v>
      </c>
    </row>
    <row r="2908" spans="7:7" x14ac:dyDescent="0.3">
      <c r="G2908" t="s">
        <v>3224</v>
      </c>
    </row>
    <row r="2909" spans="7:7" x14ac:dyDescent="0.3">
      <c r="G2909" t="s">
        <v>473</v>
      </c>
    </row>
    <row r="2910" spans="7:7" x14ac:dyDescent="0.3">
      <c r="G2910" t="s">
        <v>474</v>
      </c>
    </row>
    <row r="2911" spans="7:7" x14ac:dyDescent="0.3">
      <c r="G2911" t="s">
        <v>481</v>
      </c>
    </row>
    <row r="2912" spans="7:7" x14ac:dyDescent="0.3">
      <c r="G2912" t="s">
        <v>3225</v>
      </c>
    </row>
    <row r="2913" spans="7:7" x14ac:dyDescent="0.3">
      <c r="G2913" t="s">
        <v>473</v>
      </c>
    </row>
    <row r="2914" spans="7:7" x14ac:dyDescent="0.3">
      <c r="G2914" t="s">
        <v>448</v>
      </c>
    </row>
    <row r="2915" spans="7:7" x14ac:dyDescent="0.3">
      <c r="G2915" t="s">
        <v>409</v>
      </c>
    </row>
    <row r="2916" spans="7:7" x14ac:dyDescent="0.3">
      <c r="G2916" t="s">
        <v>177</v>
      </c>
    </row>
    <row r="2917" spans="7:7" x14ac:dyDescent="0.3">
      <c r="G2917" t="s">
        <v>436</v>
      </c>
    </row>
    <row r="2918" spans="7:7" x14ac:dyDescent="0.3">
      <c r="G2918" t="s">
        <v>437</v>
      </c>
    </row>
    <row r="2919" spans="7:7" x14ac:dyDescent="0.3">
      <c r="G2919" t="s">
        <v>438</v>
      </c>
    </row>
    <row r="2920" spans="7:7" x14ac:dyDescent="0.3">
      <c r="G2920" t="s">
        <v>439</v>
      </c>
    </row>
    <row r="2921" spans="7:7" x14ac:dyDescent="0.3">
      <c r="G2921" t="s">
        <v>440</v>
      </c>
    </row>
    <row r="2922" spans="7:7" x14ac:dyDescent="0.3">
      <c r="G2922" t="s">
        <v>3226</v>
      </c>
    </row>
    <row r="2923" spans="7:7" x14ac:dyDescent="0.3">
      <c r="G2923" t="s">
        <v>2179</v>
      </c>
    </row>
    <row r="2924" spans="7:7" x14ac:dyDescent="0.3">
      <c r="G2924" t="s">
        <v>3227</v>
      </c>
    </row>
    <row r="2925" spans="7:7" x14ac:dyDescent="0.3">
      <c r="G2925" t="s">
        <v>441</v>
      </c>
    </row>
    <row r="2926" spans="7:7" x14ac:dyDescent="0.3">
      <c r="G2926" t="s">
        <v>486</v>
      </c>
    </row>
    <row r="2927" spans="7:7" x14ac:dyDescent="0.3">
      <c r="G2927" t="s">
        <v>3228</v>
      </c>
    </row>
    <row r="2928" spans="7:7" x14ac:dyDescent="0.3">
      <c r="G2928" t="s">
        <v>2183</v>
      </c>
    </row>
    <row r="2929" spans="7:7" x14ac:dyDescent="0.3">
      <c r="G2929" t="s">
        <v>448</v>
      </c>
    </row>
    <row r="2930" spans="7:7" x14ac:dyDescent="0.3">
      <c r="G2930" t="s">
        <v>393</v>
      </c>
    </row>
    <row r="2931" spans="7:7" x14ac:dyDescent="0.3">
      <c r="G2931" t="s">
        <v>449</v>
      </c>
    </row>
    <row r="2932" spans="7:7" x14ac:dyDescent="0.3">
      <c r="G2932" t="s">
        <v>450</v>
      </c>
    </row>
    <row r="2933" spans="7:7" x14ac:dyDescent="0.3">
      <c r="G2933" t="s">
        <v>451</v>
      </c>
    </row>
    <row r="2934" spans="7:7" x14ac:dyDescent="0.3">
      <c r="G2934" t="s">
        <v>452</v>
      </c>
    </row>
    <row r="2935" spans="7:7" x14ac:dyDescent="0.3">
      <c r="G2935" t="s">
        <v>3229</v>
      </c>
    </row>
    <row r="2936" spans="7:7" x14ac:dyDescent="0.3">
      <c r="G2936" t="s">
        <v>3230</v>
      </c>
    </row>
    <row r="2937" spans="7:7" x14ac:dyDescent="0.3">
      <c r="G2937" t="s">
        <v>3231</v>
      </c>
    </row>
    <row r="2938" spans="7:7" x14ac:dyDescent="0.3">
      <c r="G2938" t="s">
        <v>3232</v>
      </c>
    </row>
    <row r="2939" spans="7:7" x14ac:dyDescent="0.3">
      <c r="G2939" t="s">
        <v>3233</v>
      </c>
    </row>
    <row r="2940" spans="7:7" x14ac:dyDescent="0.3">
      <c r="G2940" t="s">
        <v>3234</v>
      </c>
    </row>
    <row r="2941" spans="7:7" x14ac:dyDescent="0.3">
      <c r="G2941" t="s">
        <v>3235</v>
      </c>
    </row>
    <row r="2942" spans="7:7" x14ac:dyDescent="0.3">
      <c r="G2942" t="s">
        <v>3236</v>
      </c>
    </row>
    <row r="2943" spans="7:7" x14ac:dyDescent="0.3">
      <c r="G2943" t="s">
        <v>3237</v>
      </c>
    </row>
    <row r="2944" spans="7:7" x14ac:dyDescent="0.3">
      <c r="G2944" t="s">
        <v>3238</v>
      </c>
    </row>
    <row r="2945" spans="7:7" x14ac:dyDescent="0.3">
      <c r="G2945" t="s">
        <v>448</v>
      </c>
    </row>
    <row r="2946" spans="7:7" x14ac:dyDescent="0.3">
      <c r="G2946" t="s">
        <v>393</v>
      </c>
    </row>
    <row r="2947" spans="7:7" x14ac:dyDescent="0.3">
      <c r="G2947" t="s">
        <v>463</v>
      </c>
    </row>
    <row r="2948" spans="7:7" x14ac:dyDescent="0.3">
      <c r="G2948" t="s">
        <v>464</v>
      </c>
    </row>
    <row r="2949" spans="7:7" x14ac:dyDescent="0.3">
      <c r="G2949" t="s">
        <v>3239</v>
      </c>
    </row>
    <row r="2950" spans="7:7" x14ac:dyDescent="0.3">
      <c r="G2950" t="s">
        <v>3240</v>
      </c>
    </row>
    <row r="2951" spans="7:7" x14ac:dyDescent="0.3">
      <c r="G2951" t="s">
        <v>3241</v>
      </c>
    </row>
    <row r="2952" spans="7:7" x14ac:dyDescent="0.3">
      <c r="G2952" t="s">
        <v>3242</v>
      </c>
    </row>
    <row r="2953" spans="7:7" x14ac:dyDescent="0.3">
      <c r="G2953" t="s">
        <v>3243</v>
      </c>
    </row>
    <row r="2954" spans="7:7" x14ac:dyDescent="0.3">
      <c r="G2954" t="s">
        <v>448</v>
      </c>
    </row>
    <row r="2955" spans="7:7" x14ac:dyDescent="0.3">
      <c r="G2955" t="s">
        <v>393</v>
      </c>
    </row>
    <row r="2956" spans="7:7" x14ac:dyDescent="0.3">
      <c r="G2956" t="s">
        <v>470</v>
      </c>
    </row>
    <row r="2957" spans="7:7" x14ac:dyDescent="0.3">
      <c r="G2957" t="s">
        <v>504</v>
      </c>
    </row>
    <row r="2958" spans="7:7" x14ac:dyDescent="0.3">
      <c r="G2958" t="s">
        <v>3244</v>
      </c>
    </row>
    <row r="2959" spans="7:7" x14ac:dyDescent="0.3">
      <c r="G2959" t="s">
        <v>473</v>
      </c>
    </row>
    <row r="2960" spans="7:7" x14ac:dyDescent="0.3">
      <c r="G2960" t="s">
        <v>474</v>
      </c>
    </row>
    <row r="2961" spans="7:7" x14ac:dyDescent="0.3">
      <c r="G2961" t="s">
        <v>471</v>
      </c>
    </row>
    <row r="2962" spans="7:7" x14ac:dyDescent="0.3">
      <c r="G2962" t="s">
        <v>3245</v>
      </c>
    </row>
    <row r="2963" spans="7:7" x14ac:dyDescent="0.3">
      <c r="G2963" t="s">
        <v>473</v>
      </c>
    </row>
    <row r="2964" spans="7:7" x14ac:dyDescent="0.3">
      <c r="G2964" t="s">
        <v>474</v>
      </c>
    </row>
    <row r="2965" spans="7:7" x14ac:dyDescent="0.3">
      <c r="G2965" t="s">
        <v>2199</v>
      </c>
    </row>
    <row r="2966" spans="7:7" x14ac:dyDescent="0.3">
      <c r="G2966" t="s">
        <v>3246</v>
      </c>
    </row>
    <row r="2967" spans="7:7" x14ac:dyDescent="0.3">
      <c r="G2967" t="s">
        <v>473</v>
      </c>
    </row>
    <row r="2968" spans="7:7" x14ac:dyDescent="0.3">
      <c r="G2968" t="s">
        <v>474</v>
      </c>
    </row>
    <row r="2969" spans="7:7" x14ac:dyDescent="0.3">
      <c r="G2969" t="s">
        <v>481</v>
      </c>
    </row>
    <row r="2970" spans="7:7" x14ac:dyDescent="0.3">
      <c r="G2970" t="s">
        <v>3247</v>
      </c>
    </row>
    <row r="2971" spans="7:7" x14ac:dyDescent="0.3">
      <c r="G2971" t="s">
        <v>473</v>
      </c>
    </row>
    <row r="2972" spans="7:7" x14ac:dyDescent="0.3">
      <c r="G2972" t="s">
        <v>474</v>
      </c>
    </row>
    <row r="2973" spans="7:7" x14ac:dyDescent="0.3">
      <c r="G2973" t="s">
        <v>2203</v>
      </c>
    </row>
    <row r="2974" spans="7:7" x14ac:dyDescent="0.3">
      <c r="G2974" t="s">
        <v>3248</v>
      </c>
    </row>
    <row r="2975" spans="7:7" x14ac:dyDescent="0.3">
      <c r="G2975" t="s">
        <v>473</v>
      </c>
    </row>
    <row r="2976" spans="7:7" x14ac:dyDescent="0.3">
      <c r="G2976" t="s">
        <v>448</v>
      </c>
    </row>
    <row r="2977" spans="7:7" x14ac:dyDescent="0.3">
      <c r="G2977" t="s">
        <v>409</v>
      </c>
    </row>
    <row r="2978" spans="7:7" x14ac:dyDescent="0.3">
      <c r="G2978" t="s">
        <v>177</v>
      </c>
    </row>
    <row r="2979" spans="7:7" x14ac:dyDescent="0.3">
      <c r="G2979" t="s">
        <v>436</v>
      </c>
    </row>
    <row r="2980" spans="7:7" x14ac:dyDescent="0.3">
      <c r="G2980" t="s">
        <v>437</v>
      </c>
    </row>
    <row r="2981" spans="7:7" x14ac:dyDescent="0.3">
      <c r="G2981" t="s">
        <v>438</v>
      </c>
    </row>
    <row r="2982" spans="7:7" x14ac:dyDescent="0.3">
      <c r="G2982" t="s">
        <v>439</v>
      </c>
    </row>
    <row r="2983" spans="7:7" x14ac:dyDescent="0.3">
      <c r="G2983" t="s">
        <v>2179</v>
      </c>
    </row>
    <row r="2984" spans="7:7" x14ac:dyDescent="0.3">
      <c r="G2984" t="s">
        <v>441</v>
      </c>
    </row>
    <row r="2985" spans="7:7" x14ac:dyDescent="0.3">
      <c r="G2985" t="s">
        <v>2252</v>
      </c>
    </row>
    <row r="2986" spans="7:7" x14ac:dyDescent="0.3">
      <c r="G2986" t="s">
        <v>3249</v>
      </c>
    </row>
    <row r="2987" spans="7:7" x14ac:dyDescent="0.3">
      <c r="G2987" t="s">
        <v>3250</v>
      </c>
    </row>
    <row r="2988" spans="7:7" x14ac:dyDescent="0.3">
      <c r="G2988" t="s">
        <v>486</v>
      </c>
    </row>
    <row r="2989" spans="7:7" x14ac:dyDescent="0.3">
      <c r="G2989" t="s">
        <v>936</v>
      </c>
    </row>
    <row r="2990" spans="7:7" x14ac:dyDescent="0.3">
      <c r="G2990" t="s">
        <v>2183</v>
      </c>
    </row>
    <row r="2991" spans="7:7" x14ac:dyDescent="0.3">
      <c r="G2991" t="s">
        <v>448</v>
      </c>
    </row>
    <row r="2992" spans="7:7" x14ac:dyDescent="0.3">
      <c r="G2992" t="s">
        <v>393</v>
      </c>
    </row>
    <row r="2993" spans="7:7" x14ac:dyDescent="0.3">
      <c r="G2993" t="s">
        <v>449</v>
      </c>
    </row>
    <row r="2994" spans="7:7" x14ac:dyDescent="0.3">
      <c r="G2994" t="s">
        <v>450</v>
      </c>
    </row>
    <row r="2995" spans="7:7" x14ac:dyDescent="0.3">
      <c r="G2995" t="s">
        <v>451</v>
      </c>
    </row>
    <row r="2996" spans="7:7" x14ac:dyDescent="0.3">
      <c r="G2996" t="s">
        <v>452</v>
      </c>
    </row>
    <row r="2997" spans="7:7" x14ac:dyDescent="0.3">
      <c r="G2997" t="s">
        <v>3251</v>
      </c>
    </row>
    <row r="2998" spans="7:7" x14ac:dyDescent="0.3">
      <c r="G2998" t="s">
        <v>3252</v>
      </c>
    </row>
    <row r="2999" spans="7:7" x14ac:dyDescent="0.3">
      <c r="G2999" t="s">
        <v>3253</v>
      </c>
    </row>
    <row r="3000" spans="7:7" x14ac:dyDescent="0.3">
      <c r="G3000" t="s">
        <v>3254</v>
      </c>
    </row>
    <row r="3001" spans="7:7" x14ac:dyDescent="0.3">
      <c r="G3001" t="s">
        <v>3255</v>
      </c>
    </row>
    <row r="3002" spans="7:7" x14ac:dyDescent="0.3">
      <c r="G3002" t="s">
        <v>3256</v>
      </c>
    </row>
    <row r="3003" spans="7:7" x14ac:dyDescent="0.3">
      <c r="G3003" t="s">
        <v>3257</v>
      </c>
    </row>
    <row r="3004" spans="7:7" x14ac:dyDescent="0.3">
      <c r="G3004" t="s">
        <v>3258</v>
      </c>
    </row>
    <row r="3005" spans="7:7" x14ac:dyDescent="0.3">
      <c r="G3005" t="s">
        <v>3259</v>
      </c>
    </row>
    <row r="3006" spans="7:7" x14ac:dyDescent="0.3">
      <c r="G3006" t="s">
        <v>3260</v>
      </c>
    </row>
    <row r="3007" spans="7:7" x14ac:dyDescent="0.3">
      <c r="G3007" t="s">
        <v>448</v>
      </c>
    </row>
    <row r="3008" spans="7:7" x14ac:dyDescent="0.3">
      <c r="G3008" t="s">
        <v>393</v>
      </c>
    </row>
    <row r="3009" spans="7:7" x14ac:dyDescent="0.3">
      <c r="G3009" t="s">
        <v>463</v>
      </c>
    </row>
    <row r="3010" spans="7:7" x14ac:dyDescent="0.3">
      <c r="G3010" t="s">
        <v>464</v>
      </c>
    </row>
    <row r="3011" spans="7:7" x14ac:dyDescent="0.3">
      <c r="G3011" t="s">
        <v>3261</v>
      </c>
    </row>
    <row r="3012" spans="7:7" x14ac:dyDescent="0.3">
      <c r="G3012" t="s">
        <v>3262</v>
      </c>
    </row>
    <row r="3013" spans="7:7" x14ac:dyDescent="0.3">
      <c r="G3013" t="s">
        <v>3263</v>
      </c>
    </row>
    <row r="3014" spans="7:7" x14ac:dyDescent="0.3">
      <c r="G3014" t="s">
        <v>3264</v>
      </c>
    </row>
    <row r="3015" spans="7:7" x14ac:dyDescent="0.3">
      <c r="G3015" t="s">
        <v>3265</v>
      </c>
    </row>
    <row r="3016" spans="7:7" x14ac:dyDescent="0.3">
      <c r="G3016" t="s">
        <v>448</v>
      </c>
    </row>
    <row r="3017" spans="7:7" x14ac:dyDescent="0.3">
      <c r="G3017" t="s">
        <v>393</v>
      </c>
    </row>
    <row r="3018" spans="7:7" x14ac:dyDescent="0.3">
      <c r="G3018" t="s">
        <v>470</v>
      </c>
    </row>
    <row r="3019" spans="7:7" x14ac:dyDescent="0.3">
      <c r="G3019" t="s">
        <v>504</v>
      </c>
    </row>
    <row r="3020" spans="7:7" x14ac:dyDescent="0.3">
      <c r="G3020" t="s">
        <v>3266</v>
      </c>
    </row>
    <row r="3021" spans="7:7" x14ac:dyDescent="0.3">
      <c r="G3021" t="s">
        <v>473</v>
      </c>
    </row>
    <row r="3022" spans="7:7" x14ac:dyDescent="0.3">
      <c r="G3022" t="s">
        <v>474</v>
      </c>
    </row>
    <row r="3023" spans="7:7" x14ac:dyDescent="0.3">
      <c r="G3023" t="s">
        <v>721</v>
      </c>
    </row>
    <row r="3024" spans="7:7" x14ac:dyDescent="0.3">
      <c r="G3024" t="s">
        <v>3267</v>
      </c>
    </row>
    <row r="3025" spans="7:7" x14ac:dyDescent="0.3">
      <c r="G3025" t="s">
        <v>473</v>
      </c>
    </row>
    <row r="3026" spans="7:7" x14ac:dyDescent="0.3">
      <c r="G3026" t="s">
        <v>474</v>
      </c>
    </row>
    <row r="3027" spans="7:7" x14ac:dyDescent="0.3">
      <c r="G3027" t="s">
        <v>2199</v>
      </c>
    </row>
    <row r="3028" spans="7:7" x14ac:dyDescent="0.3">
      <c r="G3028" t="s">
        <v>3268</v>
      </c>
    </row>
    <row r="3029" spans="7:7" x14ac:dyDescent="0.3">
      <c r="G3029" t="s">
        <v>473</v>
      </c>
    </row>
    <row r="3030" spans="7:7" x14ac:dyDescent="0.3">
      <c r="G3030" t="s">
        <v>474</v>
      </c>
    </row>
    <row r="3031" spans="7:7" x14ac:dyDescent="0.3">
      <c r="G3031" t="s">
        <v>481</v>
      </c>
    </row>
    <row r="3032" spans="7:7" x14ac:dyDescent="0.3">
      <c r="G3032" t="s">
        <v>3269</v>
      </c>
    </row>
    <row r="3033" spans="7:7" x14ac:dyDescent="0.3">
      <c r="G3033" t="s">
        <v>473</v>
      </c>
    </row>
    <row r="3034" spans="7:7" x14ac:dyDescent="0.3">
      <c r="G3034" t="s">
        <v>474</v>
      </c>
    </row>
    <row r="3035" spans="7:7" x14ac:dyDescent="0.3">
      <c r="G3035" t="s">
        <v>2203</v>
      </c>
    </row>
    <row r="3036" spans="7:7" x14ac:dyDescent="0.3">
      <c r="G3036" t="s">
        <v>3270</v>
      </c>
    </row>
    <row r="3037" spans="7:7" x14ac:dyDescent="0.3">
      <c r="G3037" t="s">
        <v>473</v>
      </c>
    </row>
    <row r="3038" spans="7:7" x14ac:dyDescent="0.3">
      <c r="G3038" t="s">
        <v>448</v>
      </c>
    </row>
    <row r="3039" spans="7:7" x14ac:dyDescent="0.3">
      <c r="G3039" t="s">
        <v>409</v>
      </c>
    </row>
    <row r="3040" spans="7:7" x14ac:dyDescent="0.3">
      <c r="G3040" t="s">
        <v>177</v>
      </c>
    </row>
    <row r="3041" spans="7:7" x14ac:dyDescent="0.3">
      <c r="G3041" t="s">
        <v>436</v>
      </c>
    </row>
    <row r="3042" spans="7:7" x14ac:dyDescent="0.3">
      <c r="G3042" t="s">
        <v>437</v>
      </c>
    </row>
    <row r="3043" spans="7:7" x14ac:dyDescent="0.3">
      <c r="G3043" t="s">
        <v>438</v>
      </c>
    </row>
    <row r="3044" spans="7:7" x14ac:dyDescent="0.3">
      <c r="G3044" t="s">
        <v>439</v>
      </c>
    </row>
    <row r="3045" spans="7:7" x14ac:dyDescent="0.3">
      <c r="G3045" t="s">
        <v>440</v>
      </c>
    </row>
    <row r="3046" spans="7:7" x14ac:dyDescent="0.3">
      <c r="G3046" t="s">
        <v>441</v>
      </c>
    </row>
    <row r="3047" spans="7:7" x14ac:dyDescent="0.3">
      <c r="G3047" t="s">
        <v>3271</v>
      </c>
    </row>
    <row r="3048" spans="7:7" x14ac:dyDescent="0.3">
      <c r="G3048" t="s">
        <v>445</v>
      </c>
    </row>
    <row r="3049" spans="7:7" x14ac:dyDescent="0.3">
      <c r="G3049" t="s">
        <v>3272</v>
      </c>
    </row>
    <row r="3050" spans="7:7" x14ac:dyDescent="0.3">
      <c r="G3050" t="s">
        <v>2322</v>
      </c>
    </row>
    <row r="3051" spans="7:7" x14ac:dyDescent="0.3">
      <c r="G3051" t="s">
        <v>1391</v>
      </c>
    </row>
    <row r="3052" spans="7:7" x14ac:dyDescent="0.3">
      <c r="G3052" t="s">
        <v>2183</v>
      </c>
    </row>
    <row r="3053" spans="7:7" x14ac:dyDescent="0.3">
      <c r="G3053" t="s">
        <v>448</v>
      </c>
    </row>
    <row r="3054" spans="7:7" x14ac:dyDescent="0.3">
      <c r="G3054" t="s">
        <v>393</v>
      </c>
    </row>
    <row r="3055" spans="7:7" x14ac:dyDescent="0.3">
      <c r="G3055" t="s">
        <v>449</v>
      </c>
    </row>
    <row r="3056" spans="7:7" x14ac:dyDescent="0.3">
      <c r="G3056" t="s">
        <v>450</v>
      </c>
    </row>
    <row r="3057" spans="7:7" x14ac:dyDescent="0.3">
      <c r="G3057" t="s">
        <v>451</v>
      </c>
    </row>
    <row r="3058" spans="7:7" x14ac:dyDescent="0.3">
      <c r="G3058" t="s">
        <v>452</v>
      </c>
    </row>
    <row r="3059" spans="7:7" x14ac:dyDescent="0.3">
      <c r="G3059" t="s">
        <v>3273</v>
      </c>
    </row>
    <row r="3060" spans="7:7" x14ac:dyDescent="0.3">
      <c r="G3060" t="s">
        <v>3274</v>
      </c>
    </row>
    <row r="3061" spans="7:7" x14ac:dyDescent="0.3">
      <c r="G3061" t="s">
        <v>3275</v>
      </c>
    </row>
    <row r="3062" spans="7:7" x14ac:dyDescent="0.3">
      <c r="G3062" t="s">
        <v>3276</v>
      </c>
    </row>
    <row r="3063" spans="7:7" x14ac:dyDescent="0.3">
      <c r="G3063" t="s">
        <v>3277</v>
      </c>
    </row>
    <row r="3064" spans="7:7" x14ac:dyDescent="0.3">
      <c r="G3064" t="s">
        <v>3278</v>
      </c>
    </row>
    <row r="3065" spans="7:7" x14ac:dyDescent="0.3">
      <c r="G3065" t="s">
        <v>3279</v>
      </c>
    </row>
    <row r="3066" spans="7:7" x14ac:dyDescent="0.3">
      <c r="G3066" t="s">
        <v>3280</v>
      </c>
    </row>
    <row r="3067" spans="7:7" x14ac:dyDescent="0.3">
      <c r="G3067" t="s">
        <v>3281</v>
      </c>
    </row>
    <row r="3068" spans="7:7" x14ac:dyDescent="0.3">
      <c r="G3068" t="s">
        <v>3282</v>
      </c>
    </row>
    <row r="3069" spans="7:7" x14ac:dyDescent="0.3">
      <c r="G3069" t="s">
        <v>448</v>
      </c>
    </row>
    <row r="3070" spans="7:7" x14ac:dyDescent="0.3">
      <c r="G3070" t="s">
        <v>393</v>
      </c>
    </row>
    <row r="3071" spans="7:7" x14ac:dyDescent="0.3">
      <c r="G3071" t="s">
        <v>463</v>
      </c>
    </row>
    <row r="3072" spans="7:7" x14ac:dyDescent="0.3">
      <c r="G3072" t="s">
        <v>464</v>
      </c>
    </row>
    <row r="3073" spans="7:7" x14ac:dyDescent="0.3">
      <c r="G3073" t="s">
        <v>3283</v>
      </c>
    </row>
    <row r="3074" spans="7:7" x14ac:dyDescent="0.3">
      <c r="G3074" t="s">
        <v>3284</v>
      </c>
    </row>
    <row r="3075" spans="7:7" x14ac:dyDescent="0.3">
      <c r="G3075" t="s">
        <v>3285</v>
      </c>
    </row>
    <row r="3076" spans="7:7" x14ac:dyDescent="0.3">
      <c r="G3076" t="s">
        <v>3286</v>
      </c>
    </row>
    <row r="3077" spans="7:7" x14ac:dyDescent="0.3">
      <c r="G3077" t="s">
        <v>3287</v>
      </c>
    </row>
    <row r="3078" spans="7:7" x14ac:dyDescent="0.3">
      <c r="G3078" t="s">
        <v>448</v>
      </c>
    </row>
    <row r="3079" spans="7:7" x14ac:dyDescent="0.3">
      <c r="G3079" t="s">
        <v>393</v>
      </c>
    </row>
    <row r="3080" spans="7:7" x14ac:dyDescent="0.3">
      <c r="G3080" t="s">
        <v>470</v>
      </c>
    </row>
    <row r="3081" spans="7:7" x14ac:dyDescent="0.3">
      <c r="G3081" t="s">
        <v>471</v>
      </c>
    </row>
    <row r="3082" spans="7:7" x14ac:dyDescent="0.3">
      <c r="G3082" t="s">
        <v>3288</v>
      </c>
    </row>
    <row r="3083" spans="7:7" x14ac:dyDescent="0.3">
      <c r="G3083" t="s">
        <v>473</v>
      </c>
    </row>
    <row r="3084" spans="7:7" x14ac:dyDescent="0.3">
      <c r="G3084" t="s">
        <v>474</v>
      </c>
    </row>
    <row r="3085" spans="7:7" x14ac:dyDescent="0.3">
      <c r="G3085" t="s">
        <v>2341</v>
      </c>
    </row>
    <row r="3086" spans="7:7" x14ac:dyDescent="0.3">
      <c r="G3086" t="s">
        <v>3289</v>
      </c>
    </row>
    <row r="3087" spans="7:7" x14ac:dyDescent="0.3">
      <c r="G3087" t="s">
        <v>473</v>
      </c>
    </row>
    <row r="3088" spans="7:7" x14ac:dyDescent="0.3">
      <c r="G3088" t="s">
        <v>474</v>
      </c>
    </row>
    <row r="3089" spans="7:7" x14ac:dyDescent="0.3">
      <c r="G3089" t="s">
        <v>475</v>
      </c>
    </row>
    <row r="3090" spans="7:7" x14ac:dyDescent="0.3">
      <c r="G3090" t="s">
        <v>3290</v>
      </c>
    </row>
    <row r="3091" spans="7:7" x14ac:dyDescent="0.3">
      <c r="G3091" t="s">
        <v>473</v>
      </c>
    </row>
    <row r="3092" spans="7:7" x14ac:dyDescent="0.3">
      <c r="G3092" t="s">
        <v>474</v>
      </c>
    </row>
    <row r="3093" spans="7:7" x14ac:dyDescent="0.3">
      <c r="G3093" t="s">
        <v>2203</v>
      </c>
    </row>
    <row r="3094" spans="7:7" x14ac:dyDescent="0.3">
      <c r="G3094" t="s">
        <v>3291</v>
      </c>
    </row>
    <row r="3095" spans="7:7" x14ac:dyDescent="0.3">
      <c r="G3095" t="s">
        <v>473</v>
      </c>
    </row>
    <row r="3096" spans="7:7" x14ac:dyDescent="0.3">
      <c r="G3096" t="s">
        <v>474</v>
      </c>
    </row>
    <row r="3097" spans="7:7" x14ac:dyDescent="0.3">
      <c r="G3097" t="s">
        <v>481</v>
      </c>
    </row>
    <row r="3098" spans="7:7" x14ac:dyDescent="0.3">
      <c r="G3098" t="s">
        <v>3292</v>
      </c>
    </row>
    <row r="3099" spans="7:7" x14ac:dyDescent="0.3">
      <c r="G3099" t="s">
        <v>473</v>
      </c>
    </row>
    <row r="3100" spans="7:7" x14ac:dyDescent="0.3">
      <c r="G3100" t="s">
        <v>448</v>
      </c>
    </row>
    <row r="3101" spans="7:7" x14ac:dyDescent="0.3">
      <c r="G3101" t="s">
        <v>409</v>
      </c>
    </row>
    <row r="3102" spans="7:7" x14ac:dyDescent="0.3">
      <c r="G3102" t="s">
        <v>177</v>
      </c>
    </row>
    <row r="3103" spans="7:7" x14ac:dyDescent="0.3">
      <c r="G3103" t="s">
        <v>436</v>
      </c>
    </row>
    <row r="3104" spans="7:7" x14ac:dyDescent="0.3">
      <c r="G3104" t="s">
        <v>437</v>
      </c>
    </row>
    <row r="3105" spans="7:7" x14ac:dyDescent="0.3">
      <c r="G3105" t="s">
        <v>438</v>
      </c>
    </row>
    <row r="3106" spans="7:7" x14ac:dyDescent="0.3">
      <c r="G3106" t="s">
        <v>439</v>
      </c>
    </row>
    <row r="3107" spans="7:7" x14ac:dyDescent="0.3">
      <c r="G3107" t="s">
        <v>440</v>
      </c>
    </row>
    <row r="3108" spans="7:7" x14ac:dyDescent="0.3">
      <c r="G3108" t="s">
        <v>3293</v>
      </c>
    </row>
    <row r="3109" spans="7:7" x14ac:dyDescent="0.3">
      <c r="G3109" t="s">
        <v>2179</v>
      </c>
    </row>
    <row r="3110" spans="7:7" x14ac:dyDescent="0.3">
      <c r="G3110" t="s">
        <v>441</v>
      </c>
    </row>
    <row r="3111" spans="7:7" x14ac:dyDescent="0.3">
      <c r="G3111" t="s">
        <v>3294</v>
      </c>
    </row>
    <row r="3112" spans="7:7" x14ac:dyDescent="0.3">
      <c r="G3112" t="s">
        <v>703</v>
      </c>
    </row>
    <row r="3113" spans="7:7" x14ac:dyDescent="0.3">
      <c r="G3113" t="s">
        <v>3295</v>
      </c>
    </row>
    <row r="3114" spans="7:7" x14ac:dyDescent="0.3">
      <c r="G3114" t="s">
        <v>2183</v>
      </c>
    </row>
    <row r="3115" spans="7:7" x14ac:dyDescent="0.3">
      <c r="G3115" t="s">
        <v>448</v>
      </c>
    </row>
    <row r="3116" spans="7:7" x14ac:dyDescent="0.3">
      <c r="G3116" t="s">
        <v>393</v>
      </c>
    </row>
    <row r="3117" spans="7:7" x14ac:dyDescent="0.3">
      <c r="G3117" t="s">
        <v>449</v>
      </c>
    </row>
    <row r="3118" spans="7:7" x14ac:dyDescent="0.3">
      <c r="G3118" t="s">
        <v>450</v>
      </c>
    </row>
    <row r="3119" spans="7:7" x14ac:dyDescent="0.3">
      <c r="G3119" t="s">
        <v>451</v>
      </c>
    </row>
    <row r="3120" spans="7:7" x14ac:dyDescent="0.3">
      <c r="G3120" t="s">
        <v>452</v>
      </c>
    </row>
    <row r="3121" spans="7:7" x14ac:dyDescent="0.3">
      <c r="G3121" t="s">
        <v>3296</v>
      </c>
    </row>
    <row r="3122" spans="7:7" x14ac:dyDescent="0.3">
      <c r="G3122" t="s">
        <v>3297</v>
      </c>
    </row>
    <row r="3123" spans="7:7" x14ac:dyDescent="0.3">
      <c r="G3123" t="s">
        <v>3298</v>
      </c>
    </row>
    <row r="3124" spans="7:7" x14ac:dyDescent="0.3">
      <c r="G3124" t="s">
        <v>3299</v>
      </c>
    </row>
    <row r="3125" spans="7:7" x14ac:dyDescent="0.3">
      <c r="G3125" t="s">
        <v>3300</v>
      </c>
    </row>
    <row r="3126" spans="7:7" x14ac:dyDescent="0.3">
      <c r="G3126" t="s">
        <v>3301</v>
      </c>
    </row>
    <row r="3127" spans="7:7" x14ac:dyDescent="0.3">
      <c r="G3127" t="s">
        <v>3302</v>
      </c>
    </row>
    <row r="3128" spans="7:7" x14ac:dyDescent="0.3">
      <c r="G3128" t="s">
        <v>3303</v>
      </c>
    </row>
    <row r="3129" spans="7:7" x14ac:dyDescent="0.3">
      <c r="G3129" t="s">
        <v>3304</v>
      </c>
    </row>
    <row r="3130" spans="7:7" x14ac:dyDescent="0.3">
      <c r="G3130" t="s">
        <v>3305</v>
      </c>
    </row>
    <row r="3131" spans="7:7" x14ac:dyDescent="0.3">
      <c r="G3131" t="s">
        <v>448</v>
      </c>
    </row>
    <row r="3132" spans="7:7" x14ac:dyDescent="0.3">
      <c r="G3132" t="s">
        <v>393</v>
      </c>
    </row>
    <row r="3133" spans="7:7" x14ac:dyDescent="0.3">
      <c r="G3133" t="s">
        <v>463</v>
      </c>
    </row>
    <row r="3134" spans="7:7" x14ac:dyDescent="0.3">
      <c r="G3134" t="s">
        <v>464</v>
      </c>
    </row>
    <row r="3135" spans="7:7" x14ac:dyDescent="0.3">
      <c r="G3135" t="s">
        <v>3306</v>
      </c>
    </row>
    <row r="3136" spans="7:7" x14ac:dyDescent="0.3">
      <c r="G3136" t="s">
        <v>3307</v>
      </c>
    </row>
    <row r="3137" spans="7:7" x14ac:dyDescent="0.3">
      <c r="G3137" t="s">
        <v>3308</v>
      </c>
    </row>
    <row r="3138" spans="7:7" x14ac:dyDescent="0.3">
      <c r="G3138" t="s">
        <v>3309</v>
      </c>
    </row>
    <row r="3139" spans="7:7" x14ac:dyDescent="0.3">
      <c r="G3139" t="s">
        <v>3310</v>
      </c>
    </row>
    <row r="3140" spans="7:7" x14ac:dyDescent="0.3">
      <c r="G3140" t="s">
        <v>448</v>
      </c>
    </row>
    <row r="3141" spans="7:7" x14ac:dyDescent="0.3">
      <c r="G3141" t="s">
        <v>393</v>
      </c>
    </row>
    <row r="3142" spans="7:7" x14ac:dyDescent="0.3">
      <c r="G3142" t="s">
        <v>470</v>
      </c>
    </row>
    <row r="3143" spans="7:7" x14ac:dyDescent="0.3">
      <c r="G3143" t="s">
        <v>671</v>
      </c>
    </row>
    <row r="3144" spans="7:7" x14ac:dyDescent="0.3">
      <c r="G3144" t="s">
        <v>3311</v>
      </c>
    </row>
    <row r="3145" spans="7:7" x14ac:dyDescent="0.3">
      <c r="G3145" t="s">
        <v>473</v>
      </c>
    </row>
    <row r="3146" spans="7:7" x14ac:dyDescent="0.3">
      <c r="G3146" t="s">
        <v>474</v>
      </c>
    </row>
    <row r="3147" spans="7:7" x14ac:dyDescent="0.3">
      <c r="G3147" t="s">
        <v>471</v>
      </c>
    </row>
    <row r="3148" spans="7:7" x14ac:dyDescent="0.3">
      <c r="G3148" t="s">
        <v>3312</v>
      </c>
    </row>
    <row r="3149" spans="7:7" x14ac:dyDescent="0.3">
      <c r="G3149" t="s">
        <v>473</v>
      </c>
    </row>
    <row r="3150" spans="7:7" x14ac:dyDescent="0.3">
      <c r="G3150" t="s">
        <v>474</v>
      </c>
    </row>
    <row r="3151" spans="7:7" x14ac:dyDescent="0.3">
      <c r="G3151" t="s">
        <v>2199</v>
      </c>
    </row>
    <row r="3152" spans="7:7" x14ac:dyDescent="0.3">
      <c r="G3152" t="s">
        <v>3313</v>
      </c>
    </row>
    <row r="3153" spans="7:7" x14ac:dyDescent="0.3">
      <c r="G3153" t="s">
        <v>473</v>
      </c>
    </row>
    <row r="3154" spans="7:7" x14ac:dyDescent="0.3">
      <c r="G3154" t="s">
        <v>474</v>
      </c>
    </row>
    <row r="3155" spans="7:7" x14ac:dyDescent="0.3">
      <c r="G3155" t="s">
        <v>481</v>
      </c>
    </row>
    <row r="3156" spans="7:7" x14ac:dyDescent="0.3">
      <c r="G3156" t="s">
        <v>3314</v>
      </c>
    </row>
    <row r="3157" spans="7:7" x14ac:dyDescent="0.3">
      <c r="G3157" t="s">
        <v>473</v>
      </c>
    </row>
    <row r="3158" spans="7:7" x14ac:dyDescent="0.3">
      <c r="G3158" t="s">
        <v>474</v>
      </c>
    </row>
    <row r="3159" spans="7:7" x14ac:dyDescent="0.3">
      <c r="G3159" t="s">
        <v>2203</v>
      </c>
    </row>
    <row r="3160" spans="7:7" x14ac:dyDescent="0.3">
      <c r="G3160" t="s">
        <v>3315</v>
      </c>
    </row>
    <row r="3161" spans="7:7" x14ac:dyDescent="0.3">
      <c r="G3161" t="s">
        <v>473</v>
      </c>
    </row>
    <row r="3162" spans="7:7" x14ac:dyDescent="0.3">
      <c r="G3162" t="s">
        <v>448</v>
      </c>
    </row>
    <row r="3163" spans="7:7" x14ac:dyDescent="0.3">
      <c r="G3163" t="s">
        <v>409</v>
      </c>
    </row>
    <row r="3164" spans="7:7" x14ac:dyDescent="0.3">
      <c r="G3164" t="s">
        <v>177</v>
      </c>
    </row>
    <row r="3165" spans="7:7" x14ac:dyDescent="0.3">
      <c r="G3165" t="s">
        <v>436</v>
      </c>
    </row>
    <row r="3166" spans="7:7" x14ac:dyDescent="0.3">
      <c r="G3166" t="s">
        <v>437</v>
      </c>
    </row>
    <row r="3167" spans="7:7" x14ac:dyDescent="0.3">
      <c r="G3167" t="s">
        <v>438</v>
      </c>
    </row>
    <row r="3168" spans="7:7" x14ac:dyDescent="0.3">
      <c r="G3168" t="s">
        <v>439</v>
      </c>
    </row>
    <row r="3169" spans="7:7" x14ac:dyDescent="0.3">
      <c r="G3169" t="s">
        <v>440</v>
      </c>
    </row>
    <row r="3170" spans="7:7" x14ac:dyDescent="0.3">
      <c r="G3170" t="s">
        <v>3316</v>
      </c>
    </row>
    <row r="3171" spans="7:7" x14ac:dyDescent="0.3">
      <c r="G3171" t="s">
        <v>3317</v>
      </c>
    </row>
    <row r="3172" spans="7:7" x14ac:dyDescent="0.3">
      <c r="G3172" t="s">
        <v>2179</v>
      </c>
    </row>
    <row r="3173" spans="7:7" x14ac:dyDescent="0.3">
      <c r="G3173" t="s">
        <v>441</v>
      </c>
    </row>
    <row r="3174" spans="7:7" x14ac:dyDescent="0.3">
      <c r="G3174" t="s">
        <v>3318</v>
      </c>
    </row>
    <row r="3175" spans="7:7" x14ac:dyDescent="0.3">
      <c r="G3175" t="s">
        <v>445</v>
      </c>
    </row>
    <row r="3176" spans="7:7" x14ac:dyDescent="0.3">
      <c r="G3176" t="s">
        <v>2183</v>
      </c>
    </row>
    <row r="3177" spans="7:7" x14ac:dyDescent="0.3">
      <c r="G3177" t="s">
        <v>448</v>
      </c>
    </row>
    <row r="3178" spans="7:7" x14ac:dyDescent="0.3">
      <c r="G3178" t="s">
        <v>393</v>
      </c>
    </row>
    <row r="3179" spans="7:7" x14ac:dyDescent="0.3">
      <c r="G3179" t="s">
        <v>449</v>
      </c>
    </row>
    <row r="3180" spans="7:7" x14ac:dyDescent="0.3">
      <c r="G3180" t="s">
        <v>450</v>
      </c>
    </row>
    <row r="3181" spans="7:7" x14ac:dyDescent="0.3">
      <c r="G3181" t="s">
        <v>451</v>
      </c>
    </row>
    <row r="3182" spans="7:7" x14ac:dyDescent="0.3">
      <c r="G3182" t="s">
        <v>452</v>
      </c>
    </row>
    <row r="3183" spans="7:7" x14ac:dyDescent="0.3">
      <c r="G3183" t="s">
        <v>3319</v>
      </c>
    </row>
    <row r="3184" spans="7:7" x14ac:dyDescent="0.3">
      <c r="G3184" t="s">
        <v>3320</v>
      </c>
    </row>
    <row r="3185" spans="7:7" x14ac:dyDescent="0.3">
      <c r="G3185" t="s">
        <v>3321</v>
      </c>
    </row>
    <row r="3186" spans="7:7" x14ac:dyDescent="0.3">
      <c r="G3186" t="s">
        <v>3322</v>
      </c>
    </row>
    <row r="3187" spans="7:7" x14ac:dyDescent="0.3">
      <c r="G3187" t="s">
        <v>3323</v>
      </c>
    </row>
    <row r="3188" spans="7:7" x14ac:dyDescent="0.3">
      <c r="G3188" t="s">
        <v>3324</v>
      </c>
    </row>
    <row r="3189" spans="7:7" x14ac:dyDescent="0.3">
      <c r="G3189" t="s">
        <v>3325</v>
      </c>
    </row>
    <row r="3190" spans="7:7" x14ac:dyDescent="0.3">
      <c r="G3190" t="s">
        <v>3326</v>
      </c>
    </row>
    <row r="3191" spans="7:7" x14ac:dyDescent="0.3">
      <c r="G3191" t="s">
        <v>3327</v>
      </c>
    </row>
    <row r="3192" spans="7:7" x14ac:dyDescent="0.3">
      <c r="G3192" t="s">
        <v>3328</v>
      </c>
    </row>
    <row r="3193" spans="7:7" x14ac:dyDescent="0.3">
      <c r="G3193" t="s">
        <v>448</v>
      </c>
    </row>
    <row r="3194" spans="7:7" x14ac:dyDescent="0.3">
      <c r="G3194" t="s">
        <v>393</v>
      </c>
    </row>
    <row r="3195" spans="7:7" x14ac:dyDescent="0.3">
      <c r="G3195" t="s">
        <v>463</v>
      </c>
    </row>
    <row r="3196" spans="7:7" x14ac:dyDescent="0.3">
      <c r="G3196" t="s">
        <v>464</v>
      </c>
    </row>
    <row r="3197" spans="7:7" x14ac:dyDescent="0.3">
      <c r="G3197" t="s">
        <v>3329</v>
      </c>
    </row>
    <row r="3198" spans="7:7" x14ac:dyDescent="0.3">
      <c r="G3198" t="s">
        <v>3330</v>
      </c>
    </row>
    <row r="3199" spans="7:7" x14ac:dyDescent="0.3">
      <c r="G3199" t="s">
        <v>3331</v>
      </c>
    </row>
    <row r="3200" spans="7:7" x14ac:dyDescent="0.3">
      <c r="G3200" t="s">
        <v>3332</v>
      </c>
    </row>
    <row r="3201" spans="7:7" x14ac:dyDescent="0.3">
      <c r="G3201" t="s">
        <v>3333</v>
      </c>
    </row>
    <row r="3202" spans="7:7" x14ac:dyDescent="0.3">
      <c r="G3202" t="s">
        <v>448</v>
      </c>
    </row>
    <row r="3203" spans="7:7" x14ac:dyDescent="0.3">
      <c r="G3203" t="s">
        <v>393</v>
      </c>
    </row>
    <row r="3204" spans="7:7" x14ac:dyDescent="0.3">
      <c r="G3204" t="s">
        <v>470</v>
      </c>
    </row>
    <row r="3205" spans="7:7" x14ac:dyDescent="0.3">
      <c r="G3205" t="s">
        <v>471</v>
      </c>
    </row>
    <row r="3206" spans="7:7" x14ac:dyDescent="0.3">
      <c r="G3206" t="s">
        <v>3334</v>
      </c>
    </row>
    <row r="3207" spans="7:7" x14ac:dyDescent="0.3">
      <c r="G3207" t="s">
        <v>473</v>
      </c>
    </row>
    <row r="3208" spans="7:7" x14ac:dyDescent="0.3">
      <c r="G3208" t="s">
        <v>474</v>
      </c>
    </row>
    <row r="3209" spans="7:7" x14ac:dyDescent="0.3">
      <c r="G3209" t="s">
        <v>475</v>
      </c>
    </row>
    <row r="3210" spans="7:7" x14ac:dyDescent="0.3">
      <c r="G3210" t="s">
        <v>3335</v>
      </c>
    </row>
    <row r="3211" spans="7:7" x14ac:dyDescent="0.3">
      <c r="G3211" t="s">
        <v>473</v>
      </c>
    </row>
    <row r="3212" spans="7:7" x14ac:dyDescent="0.3">
      <c r="G3212" t="s">
        <v>474</v>
      </c>
    </row>
    <row r="3213" spans="7:7" x14ac:dyDescent="0.3">
      <c r="G3213" t="s">
        <v>2199</v>
      </c>
    </row>
    <row r="3214" spans="7:7" x14ac:dyDescent="0.3">
      <c r="G3214" t="s">
        <v>3336</v>
      </c>
    </row>
    <row r="3215" spans="7:7" x14ac:dyDescent="0.3">
      <c r="G3215" t="s">
        <v>473</v>
      </c>
    </row>
    <row r="3216" spans="7:7" x14ac:dyDescent="0.3">
      <c r="G3216" t="s">
        <v>474</v>
      </c>
    </row>
    <row r="3217" spans="7:7" x14ac:dyDescent="0.3">
      <c r="G3217" t="s">
        <v>2203</v>
      </c>
    </row>
    <row r="3218" spans="7:7" x14ac:dyDescent="0.3">
      <c r="G3218" t="s">
        <v>3337</v>
      </c>
    </row>
    <row r="3219" spans="7:7" x14ac:dyDescent="0.3">
      <c r="G3219" t="s">
        <v>473</v>
      </c>
    </row>
    <row r="3220" spans="7:7" x14ac:dyDescent="0.3">
      <c r="G3220" t="s">
        <v>474</v>
      </c>
    </row>
    <row r="3221" spans="7:7" x14ac:dyDescent="0.3">
      <c r="G3221" t="s">
        <v>481</v>
      </c>
    </row>
    <row r="3222" spans="7:7" x14ac:dyDescent="0.3">
      <c r="G3222" t="s">
        <v>3338</v>
      </c>
    </row>
    <row r="3223" spans="7:7" x14ac:dyDescent="0.3">
      <c r="G3223" t="s">
        <v>473</v>
      </c>
    </row>
    <row r="3224" spans="7:7" x14ac:dyDescent="0.3">
      <c r="G3224" t="s">
        <v>448</v>
      </c>
    </row>
    <row r="3225" spans="7:7" x14ac:dyDescent="0.3">
      <c r="G3225" t="s">
        <v>409</v>
      </c>
    </row>
    <row r="3226" spans="7:7" x14ac:dyDescent="0.3">
      <c r="G3226" t="s">
        <v>177</v>
      </c>
    </row>
    <row r="3227" spans="7:7" x14ac:dyDescent="0.3">
      <c r="G3227" t="s">
        <v>436</v>
      </c>
    </row>
    <row r="3228" spans="7:7" x14ac:dyDescent="0.3">
      <c r="G3228" t="s">
        <v>437</v>
      </c>
    </row>
    <row r="3229" spans="7:7" x14ac:dyDescent="0.3">
      <c r="G3229" t="s">
        <v>438</v>
      </c>
    </row>
    <row r="3230" spans="7:7" x14ac:dyDescent="0.3">
      <c r="G3230" t="s">
        <v>439</v>
      </c>
    </row>
    <row r="3231" spans="7:7" x14ac:dyDescent="0.3">
      <c r="G3231" t="s">
        <v>440</v>
      </c>
    </row>
    <row r="3232" spans="7:7" x14ac:dyDescent="0.3">
      <c r="G3232" t="s">
        <v>3339</v>
      </c>
    </row>
    <row r="3233" spans="7:7" x14ac:dyDescent="0.3">
      <c r="G3233" t="s">
        <v>3340</v>
      </c>
    </row>
    <row r="3234" spans="7:7" x14ac:dyDescent="0.3">
      <c r="G3234" t="s">
        <v>2179</v>
      </c>
    </row>
    <row r="3235" spans="7:7" x14ac:dyDescent="0.3">
      <c r="G3235" t="s">
        <v>441</v>
      </c>
    </row>
    <row r="3236" spans="7:7" x14ac:dyDescent="0.3">
      <c r="G3236" t="s">
        <v>445</v>
      </c>
    </row>
    <row r="3237" spans="7:7" x14ac:dyDescent="0.3">
      <c r="G3237" t="s">
        <v>2207</v>
      </c>
    </row>
    <row r="3238" spans="7:7" x14ac:dyDescent="0.3">
      <c r="G3238" t="s">
        <v>2183</v>
      </c>
    </row>
    <row r="3239" spans="7:7" x14ac:dyDescent="0.3">
      <c r="G3239" t="s">
        <v>448</v>
      </c>
    </row>
    <row r="3240" spans="7:7" x14ac:dyDescent="0.3">
      <c r="G3240" t="s">
        <v>393</v>
      </c>
    </row>
    <row r="3241" spans="7:7" x14ac:dyDescent="0.3">
      <c r="G3241" t="s">
        <v>449</v>
      </c>
    </row>
    <row r="3242" spans="7:7" x14ac:dyDescent="0.3">
      <c r="G3242" t="s">
        <v>450</v>
      </c>
    </row>
    <row r="3243" spans="7:7" x14ac:dyDescent="0.3">
      <c r="G3243" t="s">
        <v>451</v>
      </c>
    </row>
    <row r="3244" spans="7:7" x14ac:dyDescent="0.3">
      <c r="G3244" t="s">
        <v>452</v>
      </c>
    </row>
    <row r="3245" spans="7:7" x14ac:dyDescent="0.3">
      <c r="G3245" t="s">
        <v>3341</v>
      </c>
    </row>
    <row r="3246" spans="7:7" x14ac:dyDescent="0.3">
      <c r="G3246" t="s">
        <v>3342</v>
      </c>
    </row>
    <row r="3247" spans="7:7" x14ac:dyDescent="0.3">
      <c r="G3247" t="s">
        <v>3343</v>
      </c>
    </row>
    <row r="3248" spans="7:7" x14ac:dyDescent="0.3">
      <c r="G3248" t="s">
        <v>3344</v>
      </c>
    </row>
    <row r="3249" spans="7:7" x14ac:dyDescent="0.3">
      <c r="G3249" t="s">
        <v>3345</v>
      </c>
    </row>
    <row r="3250" spans="7:7" x14ac:dyDescent="0.3">
      <c r="G3250" t="s">
        <v>3346</v>
      </c>
    </row>
    <row r="3251" spans="7:7" x14ac:dyDescent="0.3">
      <c r="G3251" t="s">
        <v>3347</v>
      </c>
    </row>
    <row r="3252" spans="7:7" x14ac:dyDescent="0.3">
      <c r="G3252" t="s">
        <v>3348</v>
      </c>
    </row>
    <row r="3253" spans="7:7" x14ac:dyDescent="0.3">
      <c r="G3253" t="s">
        <v>3349</v>
      </c>
    </row>
    <row r="3254" spans="7:7" x14ac:dyDescent="0.3">
      <c r="G3254" t="s">
        <v>3350</v>
      </c>
    </row>
    <row r="3255" spans="7:7" x14ac:dyDescent="0.3">
      <c r="G3255" t="s">
        <v>448</v>
      </c>
    </row>
    <row r="3256" spans="7:7" x14ac:dyDescent="0.3">
      <c r="G3256" t="s">
        <v>393</v>
      </c>
    </row>
    <row r="3257" spans="7:7" x14ac:dyDescent="0.3">
      <c r="G3257" t="s">
        <v>463</v>
      </c>
    </row>
    <row r="3258" spans="7:7" x14ac:dyDescent="0.3">
      <c r="G3258" t="s">
        <v>464</v>
      </c>
    </row>
    <row r="3259" spans="7:7" x14ac:dyDescent="0.3">
      <c r="G3259" t="s">
        <v>3351</v>
      </c>
    </row>
    <row r="3260" spans="7:7" x14ac:dyDescent="0.3">
      <c r="G3260" t="s">
        <v>3352</v>
      </c>
    </row>
    <row r="3261" spans="7:7" x14ac:dyDescent="0.3">
      <c r="G3261" t="s">
        <v>3353</v>
      </c>
    </row>
    <row r="3262" spans="7:7" x14ac:dyDescent="0.3">
      <c r="G3262" t="s">
        <v>3354</v>
      </c>
    </row>
    <row r="3263" spans="7:7" x14ac:dyDescent="0.3">
      <c r="G3263" t="s">
        <v>3355</v>
      </c>
    </row>
    <row r="3264" spans="7:7" x14ac:dyDescent="0.3">
      <c r="G3264" t="s">
        <v>448</v>
      </c>
    </row>
    <row r="3265" spans="7:7" x14ac:dyDescent="0.3">
      <c r="G3265" t="s">
        <v>393</v>
      </c>
    </row>
    <row r="3266" spans="7:7" x14ac:dyDescent="0.3">
      <c r="G3266" t="s">
        <v>470</v>
      </c>
    </row>
    <row r="3267" spans="7:7" x14ac:dyDescent="0.3">
      <c r="G3267" t="s">
        <v>471</v>
      </c>
    </row>
    <row r="3268" spans="7:7" x14ac:dyDescent="0.3">
      <c r="G3268" t="s">
        <v>3356</v>
      </c>
    </row>
    <row r="3269" spans="7:7" x14ac:dyDescent="0.3">
      <c r="G3269" t="s">
        <v>473</v>
      </c>
    </row>
    <row r="3270" spans="7:7" x14ac:dyDescent="0.3">
      <c r="G3270" t="s">
        <v>474</v>
      </c>
    </row>
    <row r="3271" spans="7:7" x14ac:dyDescent="0.3">
      <c r="G3271" t="s">
        <v>481</v>
      </c>
    </row>
    <row r="3272" spans="7:7" x14ac:dyDescent="0.3">
      <c r="G3272" t="s">
        <v>3357</v>
      </c>
    </row>
    <row r="3273" spans="7:7" x14ac:dyDescent="0.3">
      <c r="G3273" t="s">
        <v>473</v>
      </c>
    </row>
    <row r="3274" spans="7:7" x14ac:dyDescent="0.3">
      <c r="G3274" t="s">
        <v>474</v>
      </c>
    </row>
    <row r="3275" spans="7:7" x14ac:dyDescent="0.3">
      <c r="G3275" t="s">
        <v>2199</v>
      </c>
    </row>
    <row r="3276" spans="7:7" x14ac:dyDescent="0.3">
      <c r="G3276" t="s">
        <v>3358</v>
      </c>
    </row>
    <row r="3277" spans="7:7" x14ac:dyDescent="0.3">
      <c r="G3277" t="s">
        <v>473</v>
      </c>
    </row>
    <row r="3278" spans="7:7" x14ac:dyDescent="0.3">
      <c r="G3278" t="s">
        <v>474</v>
      </c>
    </row>
    <row r="3279" spans="7:7" x14ac:dyDescent="0.3">
      <c r="G3279" t="s">
        <v>475</v>
      </c>
    </row>
    <row r="3280" spans="7:7" x14ac:dyDescent="0.3">
      <c r="G3280" t="s">
        <v>3359</v>
      </c>
    </row>
    <row r="3281" spans="7:7" x14ac:dyDescent="0.3">
      <c r="G3281" t="s">
        <v>473</v>
      </c>
    </row>
    <row r="3282" spans="7:7" x14ac:dyDescent="0.3">
      <c r="G3282" t="s">
        <v>474</v>
      </c>
    </row>
    <row r="3283" spans="7:7" x14ac:dyDescent="0.3">
      <c r="G3283" t="s">
        <v>2203</v>
      </c>
    </row>
    <row r="3284" spans="7:7" x14ac:dyDescent="0.3">
      <c r="G3284" t="s">
        <v>3360</v>
      </c>
    </row>
    <row r="3285" spans="7:7" x14ac:dyDescent="0.3">
      <c r="G3285" t="s">
        <v>473</v>
      </c>
    </row>
    <row r="3286" spans="7:7" x14ac:dyDescent="0.3">
      <c r="G3286" t="s">
        <v>448</v>
      </c>
    </row>
    <row r="3287" spans="7:7" x14ac:dyDescent="0.3">
      <c r="G3287" t="s">
        <v>409</v>
      </c>
    </row>
    <row r="3288" spans="7:7" x14ac:dyDescent="0.3">
      <c r="G3288" t="s">
        <v>177</v>
      </c>
    </row>
    <row r="3289" spans="7:7" x14ac:dyDescent="0.3">
      <c r="G3289" t="s">
        <v>436</v>
      </c>
    </row>
    <row r="3290" spans="7:7" x14ac:dyDescent="0.3">
      <c r="G3290" t="s">
        <v>437</v>
      </c>
    </row>
    <row r="3291" spans="7:7" x14ac:dyDescent="0.3">
      <c r="G3291" t="s">
        <v>438</v>
      </c>
    </row>
    <row r="3292" spans="7:7" x14ac:dyDescent="0.3">
      <c r="G3292" t="s">
        <v>439</v>
      </c>
    </row>
    <row r="3293" spans="7:7" x14ac:dyDescent="0.3">
      <c r="G3293" t="s">
        <v>440</v>
      </c>
    </row>
    <row r="3294" spans="7:7" x14ac:dyDescent="0.3">
      <c r="G3294" t="s">
        <v>3361</v>
      </c>
    </row>
    <row r="3295" spans="7:7" x14ac:dyDescent="0.3">
      <c r="G3295" t="s">
        <v>441</v>
      </c>
    </row>
    <row r="3296" spans="7:7" x14ac:dyDescent="0.3">
      <c r="G3296" t="s">
        <v>2688</v>
      </c>
    </row>
    <row r="3297" spans="7:7" x14ac:dyDescent="0.3">
      <c r="G3297" t="s">
        <v>3362</v>
      </c>
    </row>
    <row r="3298" spans="7:7" x14ac:dyDescent="0.3">
      <c r="G3298" t="s">
        <v>486</v>
      </c>
    </row>
    <row r="3299" spans="7:7" x14ac:dyDescent="0.3">
      <c r="G3299" t="s">
        <v>2322</v>
      </c>
    </row>
    <row r="3300" spans="7:7" x14ac:dyDescent="0.3">
      <c r="G3300" t="s">
        <v>2183</v>
      </c>
    </row>
    <row r="3301" spans="7:7" x14ac:dyDescent="0.3">
      <c r="G3301" t="s">
        <v>448</v>
      </c>
    </row>
    <row r="3302" spans="7:7" x14ac:dyDescent="0.3">
      <c r="G3302" t="s">
        <v>393</v>
      </c>
    </row>
    <row r="3303" spans="7:7" x14ac:dyDescent="0.3">
      <c r="G3303" t="s">
        <v>449</v>
      </c>
    </row>
    <row r="3304" spans="7:7" x14ac:dyDescent="0.3">
      <c r="G3304" t="s">
        <v>488</v>
      </c>
    </row>
    <row r="3305" spans="7:7" x14ac:dyDescent="0.3">
      <c r="G3305" t="s">
        <v>451</v>
      </c>
    </row>
    <row r="3306" spans="7:7" x14ac:dyDescent="0.3">
      <c r="G3306" t="s">
        <v>452</v>
      </c>
    </row>
    <row r="3307" spans="7:7" x14ac:dyDescent="0.3">
      <c r="G3307" t="s">
        <v>3363</v>
      </c>
    </row>
    <row r="3308" spans="7:7" x14ac:dyDescent="0.3">
      <c r="G3308" t="s">
        <v>3364</v>
      </c>
    </row>
    <row r="3309" spans="7:7" x14ac:dyDescent="0.3">
      <c r="G3309" t="s">
        <v>3365</v>
      </c>
    </row>
    <row r="3310" spans="7:7" x14ac:dyDescent="0.3">
      <c r="G3310" t="s">
        <v>3366</v>
      </c>
    </row>
    <row r="3311" spans="7:7" x14ac:dyDescent="0.3">
      <c r="G3311" t="s">
        <v>3367</v>
      </c>
    </row>
    <row r="3312" spans="7:7" x14ac:dyDescent="0.3">
      <c r="G3312" t="s">
        <v>3368</v>
      </c>
    </row>
    <row r="3313" spans="7:7" x14ac:dyDescent="0.3">
      <c r="G3313" t="s">
        <v>3369</v>
      </c>
    </row>
    <row r="3314" spans="7:7" x14ac:dyDescent="0.3">
      <c r="G3314" t="s">
        <v>3370</v>
      </c>
    </row>
    <row r="3315" spans="7:7" x14ac:dyDescent="0.3">
      <c r="G3315" t="s">
        <v>3371</v>
      </c>
    </row>
    <row r="3316" spans="7:7" x14ac:dyDescent="0.3">
      <c r="G3316" t="s">
        <v>3372</v>
      </c>
    </row>
    <row r="3317" spans="7:7" x14ac:dyDescent="0.3">
      <c r="G3317" t="s">
        <v>448</v>
      </c>
    </row>
    <row r="3318" spans="7:7" x14ac:dyDescent="0.3">
      <c r="G3318" t="s">
        <v>393</v>
      </c>
    </row>
    <row r="3319" spans="7:7" x14ac:dyDescent="0.3">
      <c r="G3319" t="s">
        <v>463</v>
      </c>
    </row>
    <row r="3320" spans="7:7" x14ac:dyDescent="0.3">
      <c r="G3320" t="s">
        <v>464</v>
      </c>
    </row>
    <row r="3321" spans="7:7" x14ac:dyDescent="0.3">
      <c r="G3321" t="s">
        <v>3373</v>
      </c>
    </row>
    <row r="3322" spans="7:7" x14ac:dyDescent="0.3">
      <c r="G3322" t="s">
        <v>3374</v>
      </c>
    </row>
    <row r="3323" spans="7:7" x14ac:dyDescent="0.3">
      <c r="G3323" t="s">
        <v>3375</v>
      </c>
    </row>
    <row r="3324" spans="7:7" x14ac:dyDescent="0.3">
      <c r="G3324" t="s">
        <v>3376</v>
      </c>
    </row>
    <row r="3325" spans="7:7" x14ac:dyDescent="0.3">
      <c r="G3325" t="s">
        <v>3377</v>
      </c>
    </row>
    <row r="3326" spans="7:7" x14ac:dyDescent="0.3">
      <c r="G3326" t="s">
        <v>448</v>
      </c>
    </row>
    <row r="3327" spans="7:7" x14ac:dyDescent="0.3">
      <c r="G3327" t="s">
        <v>393</v>
      </c>
    </row>
    <row r="3328" spans="7:7" x14ac:dyDescent="0.3">
      <c r="G3328" t="s">
        <v>470</v>
      </c>
    </row>
    <row r="3329" spans="7:7" x14ac:dyDescent="0.3">
      <c r="G3329" t="s">
        <v>504</v>
      </c>
    </row>
    <row r="3330" spans="7:7" x14ac:dyDescent="0.3">
      <c r="G3330" t="s">
        <v>3378</v>
      </c>
    </row>
    <row r="3331" spans="7:7" x14ac:dyDescent="0.3">
      <c r="G3331" t="s">
        <v>473</v>
      </c>
    </row>
    <row r="3332" spans="7:7" x14ac:dyDescent="0.3">
      <c r="G3332" t="s">
        <v>474</v>
      </c>
    </row>
    <row r="3333" spans="7:7" x14ac:dyDescent="0.3">
      <c r="G3333" t="s">
        <v>471</v>
      </c>
    </row>
    <row r="3334" spans="7:7" x14ac:dyDescent="0.3">
      <c r="G3334" t="s">
        <v>3379</v>
      </c>
    </row>
    <row r="3335" spans="7:7" x14ac:dyDescent="0.3">
      <c r="G3335" t="s">
        <v>473</v>
      </c>
    </row>
    <row r="3336" spans="7:7" x14ac:dyDescent="0.3">
      <c r="G3336" t="s">
        <v>474</v>
      </c>
    </row>
    <row r="3337" spans="7:7" x14ac:dyDescent="0.3">
      <c r="G3337" t="s">
        <v>481</v>
      </c>
    </row>
    <row r="3338" spans="7:7" x14ac:dyDescent="0.3">
      <c r="G3338" t="s">
        <v>3380</v>
      </c>
    </row>
    <row r="3339" spans="7:7" x14ac:dyDescent="0.3">
      <c r="G3339" t="s">
        <v>473</v>
      </c>
    </row>
    <row r="3340" spans="7:7" x14ac:dyDescent="0.3">
      <c r="G3340" t="s">
        <v>474</v>
      </c>
    </row>
    <row r="3341" spans="7:7" x14ac:dyDescent="0.3">
      <c r="G3341" t="s">
        <v>2203</v>
      </c>
    </row>
    <row r="3342" spans="7:7" x14ac:dyDescent="0.3">
      <c r="G3342" t="s">
        <v>3381</v>
      </c>
    </row>
    <row r="3343" spans="7:7" x14ac:dyDescent="0.3">
      <c r="G3343" t="s">
        <v>473</v>
      </c>
    </row>
    <row r="3344" spans="7:7" x14ac:dyDescent="0.3">
      <c r="G3344" t="s">
        <v>474</v>
      </c>
    </row>
    <row r="3345" spans="7:7" x14ac:dyDescent="0.3">
      <c r="G3345" t="s">
        <v>2341</v>
      </c>
    </row>
    <row r="3346" spans="7:7" x14ac:dyDescent="0.3">
      <c r="G3346" t="s">
        <v>3382</v>
      </c>
    </row>
    <row r="3347" spans="7:7" x14ac:dyDescent="0.3">
      <c r="G3347" t="s">
        <v>473</v>
      </c>
    </row>
    <row r="3348" spans="7:7" x14ac:dyDescent="0.3">
      <c r="G3348" t="s">
        <v>448</v>
      </c>
    </row>
    <row r="3349" spans="7:7" x14ac:dyDescent="0.3">
      <c r="G3349" t="s">
        <v>409</v>
      </c>
    </row>
    <row r="3350" spans="7:7" x14ac:dyDescent="0.3">
      <c r="G3350" t="s">
        <v>177</v>
      </c>
    </row>
    <row r="3351" spans="7:7" x14ac:dyDescent="0.3">
      <c r="G3351" t="s">
        <v>436</v>
      </c>
    </row>
    <row r="3352" spans="7:7" x14ac:dyDescent="0.3">
      <c r="G3352" t="s">
        <v>437</v>
      </c>
    </row>
    <row r="3353" spans="7:7" x14ac:dyDescent="0.3">
      <c r="G3353" t="s">
        <v>438</v>
      </c>
    </row>
    <row r="3354" spans="7:7" x14ac:dyDescent="0.3">
      <c r="G3354" t="s">
        <v>439</v>
      </c>
    </row>
    <row r="3355" spans="7:7" x14ac:dyDescent="0.3">
      <c r="G3355" t="s">
        <v>440</v>
      </c>
    </row>
    <row r="3356" spans="7:7" x14ac:dyDescent="0.3">
      <c r="G3356" t="s">
        <v>2179</v>
      </c>
    </row>
    <row r="3357" spans="7:7" x14ac:dyDescent="0.3">
      <c r="G3357" t="s">
        <v>441</v>
      </c>
    </row>
    <row r="3358" spans="7:7" x14ac:dyDescent="0.3">
      <c r="G3358" t="s">
        <v>445</v>
      </c>
    </row>
    <row r="3359" spans="7:7" x14ac:dyDescent="0.3">
      <c r="G3359" t="s">
        <v>2277</v>
      </c>
    </row>
    <row r="3360" spans="7:7" x14ac:dyDescent="0.3">
      <c r="G3360" t="s">
        <v>3383</v>
      </c>
    </row>
    <row r="3361" spans="7:7" x14ac:dyDescent="0.3">
      <c r="G3361" t="s">
        <v>3384</v>
      </c>
    </row>
    <row r="3362" spans="7:7" x14ac:dyDescent="0.3">
      <c r="G3362" t="s">
        <v>2183</v>
      </c>
    </row>
    <row r="3363" spans="7:7" x14ac:dyDescent="0.3">
      <c r="G3363" t="s">
        <v>448</v>
      </c>
    </row>
    <row r="3364" spans="7:7" x14ac:dyDescent="0.3">
      <c r="G3364" t="s">
        <v>393</v>
      </c>
    </row>
    <row r="3365" spans="7:7" x14ac:dyDescent="0.3">
      <c r="G3365" t="s">
        <v>449</v>
      </c>
    </row>
    <row r="3366" spans="7:7" x14ac:dyDescent="0.3">
      <c r="G3366" t="s">
        <v>488</v>
      </c>
    </row>
    <row r="3367" spans="7:7" x14ac:dyDescent="0.3">
      <c r="G3367" t="s">
        <v>451</v>
      </c>
    </row>
    <row r="3368" spans="7:7" x14ac:dyDescent="0.3">
      <c r="G3368" t="s">
        <v>452</v>
      </c>
    </row>
    <row r="3369" spans="7:7" x14ac:dyDescent="0.3">
      <c r="G3369" t="s">
        <v>3385</v>
      </c>
    </row>
    <row r="3370" spans="7:7" x14ac:dyDescent="0.3">
      <c r="G3370" t="s">
        <v>448</v>
      </c>
    </row>
    <row r="3371" spans="7:7" x14ac:dyDescent="0.3">
      <c r="G3371" t="s">
        <v>393</v>
      </c>
    </row>
    <row r="3372" spans="7:7" x14ac:dyDescent="0.3">
      <c r="G3372" t="s">
        <v>463</v>
      </c>
    </row>
    <row r="3373" spans="7:7" x14ac:dyDescent="0.3">
      <c r="G3373" t="s">
        <v>464</v>
      </c>
    </row>
    <row r="3374" spans="7:7" x14ac:dyDescent="0.3">
      <c r="G3374" t="s">
        <v>3386</v>
      </c>
    </row>
    <row r="3375" spans="7:7" x14ac:dyDescent="0.3">
      <c r="G3375" t="s">
        <v>3387</v>
      </c>
    </row>
    <row r="3376" spans="7:7" x14ac:dyDescent="0.3">
      <c r="G3376" t="s">
        <v>3388</v>
      </c>
    </row>
    <row r="3377" spans="7:7" x14ac:dyDescent="0.3">
      <c r="G3377" t="s">
        <v>3389</v>
      </c>
    </row>
    <row r="3378" spans="7:7" x14ac:dyDescent="0.3">
      <c r="G3378" t="s">
        <v>3390</v>
      </c>
    </row>
    <row r="3379" spans="7:7" x14ac:dyDescent="0.3">
      <c r="G3379" t="s">
        <v>448</v>
      </c>
    </row>
    <row r="3380" spans="7:7" x14ac:dyDescent="0.3">
      <c r="G3380" t="s">
        <v>393</v>
      </c>
    </row>
    <row r="3381" spans="7:7" x14ac:dyDescent="0.3">
      <c r="G3381" t="s">
        <v>470</v>
      </c>
    </row>
    <row r="3382" spans="7:7" x14ac:dyDescent="0.3">
      <c r="G3382" t="s">
        <v>471</v>
      </c>
    </row>
    <row r="3383" spans="7:7" x14ac:dyDescent="0.3">
      <c r="G3383" t="s">
        <v>3391</v>
      </c>
    </row>
    <row r="3384" spans="7:7" x14ac:dyDescent="0.3">
      <c r="G3384" t="s">
        <v>473</v>
      </c>
    </row>
    <row r="3385" spans="7:7" x14ac:dyDescent="0.3">
      <c r="G3385" t="s">
        <v>474</v>
      </c>
    </row>
    <row r="3386" spans="7:7" x14ac:dyDescent="0.3">
      <c r="G3386" t="s">
        <v>475</v>
      </c>
    </row>
    <row r="3387" spans="7:7" x14ac:dyDescent="0.3">
      <c r="G3387" t="s">
        <v>3392</v>
      </c>
    </row>
    <row r="3388" spans="7:7" x14ac:dyDescent="0.3">
      <c r="G3388" t="s">
        <v>473</v>
      </c>
    </row>
    <row r="3389" spans="7:7" x14ac:dyDescent="0.3">
      <c r="G3389" t="s">
        <v>474</v>
      </c>
    </row>
    <row r="3390" spans="7:7" x14ac:dyDescent="0.3">
      <c r="G3390" t="s">
        <v>2199</v>
      </c>
    </row>
    <row r="3391" spans="7:7" x14ac:dyDescent="0.3">
      <c r="G3391" t="s">
        <v>3393</v>
      </c>
    </row>
    <row r="3392" spans="7:7" x14ac:dyDescent="0.3">
      <c r="G3392" t="s">
        <v>473</v>
      </c>
    </row>
    <row r="3393" spans="7:7" x14ac:dyDescent="0.3">
      <c r="G3393" t="s">
        <v>474</v>
      </c>
    </row>
    <row r="3394" spans="7:7" x14ac:dyDescent="0.3">
      <c r="G3394" t="s">
        <v>2203</v>
      </c>
    </row>
    <row r="3395" spans="7:7" x14ac:dyDescent="0.3">
      <c r="G3395" t="s">
        <v>3394</v>
      </c>
    </row>
    <row r="3396" spans="7:7" x14ac:dyDescent="0.3">
      <c r="G3396" t="s">
        <v>473</v>
      </c>
    </row>
    <row r="3397" spans="7:7" x14ac:dyDescent="0.3">
      <c r="G3397" t="s">
        <v>474</v>
      </c>
    </row>
    <row r="3398" spans="7:7" x14ac:dyDescent="0.3">
      <c r="G3398" t="s">
        <v>481</v>
      </c>
    </row>
    <row r="3399" spans="7:7" x14ac:dyDescent="0.3">
      <c r="G3399" t="s">
        <v>3395</v>
      </c>
    </row>
    <row r="3400" spans="7:7" x14ac:dyDescent="0.3">
      <c r="G3400" t="s">
        <v>473</v>
      </c>
    </row>
    <row r="3401" spans="7:7" x14ac:dyDescent="0.3">
      <c r="G3401" t="s">
        <v>448</v>
      </c>
    </row>
    <row r="3402" spans="7:7" x14ac:dyDescent="0.3">
      <c r="G3402" t="s">
        <v>409</v>
      </c>
    </row>
    <row r="3403" spans="7:7" x14ac:dyDescent="0.3">
      <c r="G3403" t="s">
        <v>177</v>
      </c>
    </row>
    <row r="3404" spans="7:7" x14ac:dyDescent="0.3">
      <c r="G3404" t="s">
        <v>436</v>
      </c>
    </row>
    <row r="3405" spans="7:7" x14ac:dyDescent="0.3">
      <c r="G3405" t="s">
        <v>437</v>
      </c>
    </row>
    <row r="3406" spans="7:7" x14ac:dyDescent="0.3">
      <c r="G3406" t="s">
        <v>438</v>
      </c>
    </row>
    <row r="3407" spans="7:7" x14ac:dyDescent="0.3">
      <c r="G3407" t="s">
        <v>439</v>
      </c>
    </row>
    <row r="3408" spans="7:7" x14ac:dyDescent="0.3">
      <c r="G3408" t="s">
        <v>2915</v>
      </c>
    </row>
    <row r="3409" spans="7:7" x14ac:dyDescent="0.3">
      <c r="G3409" t="s">
        <v>440</v>
      </c>
    </row>
    <row r="3410" spans="7:7" x14ac:dyDescent="0.3">
      <c r="G3410" t="s">
        <v>2179</v>
      </c>
    </row>
    <row r="3411" spans="7:7" x14ac:dyDescent="0.3">
      <c r="G3411" t="s">
        <v>441</v>
      </c>
    </row>
    <row r="3412" spans="7:7" x14ac:dyDescent="0.3">
      <c r="G3412" t="s">
        <v>3396</v>
      </c>
    </row>
    <row r="3413" spans="7:7" x14ac:dyDescent="0.3">
      <c r="G3413" t="s">
        <v>3397</v>
      </c>
    </row>
    <row r="3414" spans="7:7" x14ac:dyDescent="0.3">
      <c r="G3414" t="s">
        <v>703</v>
      </c>
    </row>
    <row r="3415" spans="7:7" x14ac:dyDescent="0.3">
      <c r="G3415" t="s">
        <v>2183</v>
      </c>
    </row>
    <row r="3416" spans="7:7" x14ac:dyDescent="0.3">
      <c r="G3416" t="s">
        <v>448</v>
      </c>
    </row>
    <row r="3417" spans="7:7" x14ac:dyDescent="0.3">
      <c r="G3417" t="s">
        <v>393</v>
      </c>
    </row>
    <row r="3418" spans="7:7" x14ac:dyDescent="0.3">
      <c r="G3418" t="s">
        <v>449</v>
      </c>
    </row>
    <row r="3419" spans="7:7" x14ac:dyDescent="0.3">
      <c r="G3419" t="s">
        <v>488</v>
      </c>
    </row>
    <row r="3420" spans="7:7" x14ac:dyDescent="0.3">
      <c r="G3420" t="s">
        <v>451</v>
      </c>
    </row>
    <row r="3421" spans="7:7" x14ac:dyDescent="0.3">
      <c r="G3421" t="s">
        <v>452</v>
      </c>
    </row>
    <row r="3422" spans="7:7" x14ac:dyDescent="0.3">
      <c r="G3422" t="s">
        <v>3398</v>
      </c>
    </row>
    <row r="3423" spans="7:7" x14ac:dyDescent="0.3">
      <c r="G3423" t="s">
        <v>3399</v>
      </c>
    </row>
    <row r="3424" spans="7:7" x14ac:dyDescent="0.3">
      <c r="G3424" t="s">
        <v>3400</v>
      </c>
    </row>
    <row r="3425" spans="7:7" x14ac:dyDescent="0.3">
      <c r="G3425" t="s">
        <v>3401</v>
      </c>
    </row>
    <row r="3426" spans="7:7" x14ac:dyDescent="0.3">
      <c r="G3426" t="s">
        <v>3402</v>
      </c>
    </row>
    <row r="3427" spans="7:7" x14ac:dyDescent="0.3">
      <c r="G3427" t="s">
        <v>3403</v>
      </c>
    </row>
    <row r="3428" spans="7:7" x14ac:dyDescent="0.3">
      <c r="G3428" t="s">
        <v>3404</v>
      </c>
    </row>
    <row r="3429" spans="7:7" x14ac:dyDescent="0.3">
      <c r="G3429" t="s">
        <v>3405</v>
      </c>
    </row>
    <row r="3430" spans="7:7" x14ac:dyDescent="0.3">
      <c r="G3430" t="s">
        <v>3406</v>
      </c>
    </row>
    <row r="3431" spans="7:7" x14ac:dyDescent="0.3">
      <c r="G3431" t="s">
        <v>3407</v>
      </c>
    </row>
    <row r="3432" spans="7:7" x14ac:dyDescent="0.3">
      <c r="G3432" t="s">
        <v>448</v>
      </c>
    </row>
    <row r="3433" spans="7:7" x14ac:dyDescent="0.3">
      <c r="G3433" t="s">
        <v>393</v>
      </c>
    </row>
    <row r="3434" spans="7:7" x14ac:dyDescent="0.3">
      <c r="G3434" t="s">
        <v>463</v>
      </c>
    </row>
    <row r="3435" spans="7:7" x14ac:dyDescent="0.3">
      <c r="G3435" t="s">
        <v>464</v>
      </c>
    </row>
    <row r="3436" spans="7:7" x14ac:dyDescent="0.3">
      <c r="G3436" t="s">
        <v>3408</v>
      </c>
    </row>
    <row r="3437" spans="7:7" x14ac:dyDescent="0.3">
      <c r="G3437" t="s">
        <v>3409</v>
      </c>
    </row>
    <row r="3438" spans="7:7" x14ac:dyDescent="0.3">
      <c r="G3438" t="s">
        <v>3410</v>
      </c>
    </row>
    <row r="3439" spans="7:7" x14ac:dyDescent="0.3">
      <c r="G3439" t="s">
        <v>3411</v>
      </c>
    </row>
    <row r="3440" spans="7:7" x14ac:dyDescent="0.3">
      <c r="G3440" t="s">
        <v>3412</v>
      </c>
    </row>
    <row r="3441" spans="7:7" x14ac:dyDescent="0.3">
      <c r="G3441" t="s">
        <v>448</v>
      </c>
    </row>
    <row r="3442" spans="7:7" x14ac:dyDescent="0.3">
      <c r="G3442" t="s">
        <v>393</v>
      </c>
    </row>
    <row r="3443" spans="7:7" x14ac:dyDescent="0.3">
      <c r="G3443" t="s">
        <v>470</v>
      </c>
    </row>
    <row r="3444" spans="7:7" x14ac:dyDescent="0.3">
      <c r="G3444" t="s">
        <v>671</v>
      </c>
    </row>
    <row r="3445" spans="7:7" x14ac:dyDescent="0.3">
      <c r="G3445" t="s">
        <v>3413</v>
      </c>
    </row>
    <row r="3446" spans="7:7" x14ac:dyDescent="0.3">
      <c r="G3446" t="s">
        <v>473</v>
      </c>
    </row>
    <row r="3447" spans="7:7" x14ac:dyDescent="0.3">
      <c r="G3447" t="s">
        <v>474</v>
      </c>
    </row>
    <row r="3448" spans="7:7" x14ac:dyDescent="0.3">
      <c r="G3448" t="s">
        <v>471</v>
      </c>
    </row>
    <row r="3449" spans="7:7" x14ac:dyDescent="0.3">
      <c r="G3449" t="s">
        <v>3414</v>
      </c>
    </row>
    <row r="3450" spans="7:7" x14ac:dyDescent="0.3">
      <c r="G3450" t="s">
        <v>473</v>
      </c>
    </row>
    <row r="3451" spans="7:7" x14ac:dyDescent="0.3">
      <c r="G3451" t="s">
        <v>474</v>
      </c>
    </row>
    <row r="3452" spans="7:7" x14ac:dyDescent="0.3">
      <c r="G3452" t="s">
        <v>2199</v>
      </c>
    </row>
    <row r="3453" spans="7:7" x14ac:dyDescent="0.3">
      <c r="G3453" t="s">
        <v>3415</v>
      </c>
    </row>
    <row r="3454" spans="7:7" x14ac:dyDescent="0.3">
      <c r="G3454" t="s">
        <v>473</v>
      </c>
    </row>
    <row r="3455" spans="7:7" x14ac:dyDescent="0.3">
      <c r="G3455" t="s">
        <v>474</v>
      </c>
    </row>
    <row r="3456" spans="7:7" x14ac:dyDescent="0.3">
      <c r="G3456" t="s">
        <v>2203</v>
      </c>
    </row>
    <row r="3457" spans="7:7" x14ac:dyDescent="0.3">
      <c r="G3457" t="s">
        <v>3416</v>
      </c>
    </row>
    <row r="3458" spans="7:7" x14ac:dyDescent="0.3">
      <c r="G3458" t="s">
        <v>473</v>
      </c>
    </row>
    <row r="3459" spans="7:7" x14ac:dyDescent="0.3">
      <c r="G3459" t="s">
        <v>474</v>
      </c>
    </row>
    <row r="3460" spans="7:7" x14ac:dyDescent="0.3">
      <c r="G3460" t="s">
        <v>481</v>
      </c>
    </row>
    <row r="3461" spans="7:7" x14ac:dyDescent="0.3">
      <c r="G3461" t="s">
        <v>3417</v>
      </c>
    </row>
    <row r="3462" spans="7:7" x14ac:dyDescent="0.3">
      <c r="G3462" t="s">
        <v>473</v>
      </c>
    </row>
    <row r="3463" spans="7:7" x14ac:dyDescent="0.3">
      <c r="G3463" t="s">
        <v>448</v>
      </c>
    </row>
    <row r="3464" spans="7:7" x14ac:dyDescent="0.3">
      <c r="G3464" t="s">
        <v>409</v>
      </c>
    </row>
    <row r="3465" spans="7:7" x14ac:dyDescent="0.3">
      <c r="G3465" t="s">
        <v>177</v>
      </c>
    </row>
    <row r="3466" spans="7:7" x14ac:dyDescent="0.3">
      <c r="G3466" t="s">
        <v>436</v>
      </c>
    </row>
    <row r="3467" spans="7:7" x14ac:dyDescent="0.3">
      <c r="G3467" t="s">
        <v>437</v>
      </c>
    </row>
    <row r="3468" spans="7:7" x14ac:dyDescent="0.3">
      <c r="G3468" t="s">
        <v>438</v>
      </c>
    </row>
    <row r="3469" spans="7:7" x14ac:dyDescent="0.3">
      <c r="G3469" t="s">
        <v>439</v>
      </c>
    </row>
    <row r="3470" spans="7:7" x14ac:dyDescent="0.3">
      <c r="G3470" t="s">
        <v>440</v>
      </c>
    </row>
    <row r="3471" spans="7:7" x14ac:dyDescent="0.3">
      <c r="G3471" t="s">
        <v>3418</v>
      </c>
    </row>
    <row r="3472" spans="7:7" x14ac:dyDescent="0.3">
      <c r="G3472" t="s">
        <v>3419</v>
      </c>
    </row>
    <row r="3473" spans="7:7" x14ac:dyDescent="0.3">
      <c r="G3473" t="s">
        <v>2179</v>
      </c>
    </row>
    <row r="3474" spans="7:7" x14ac:dyDescent="0.3">
      <c r="G3474" t="s">
        <v>441</v>
      </c>
    </row>
    <row r="3475" spans="7:7" x14ac:dyDescent="0.3">
      <c r="G3475" t="s">
        <v>3420</v>
      </c>
    </row>
    <row r="3476" spans="7:7" x14ac:dyDescent="0.3">
      <c r="G3476" t="s">
        <v>486</v>
      </c>
    </row>
    <row r="3477" spans="7:7" x14ac:dyDescent="0.3">
      <c r="G3477" t="s">
        <v>2183</v>
      </c>
    </row>
    <row r="3478" spans="7:7" x14ac:dyDescent="0.3">
      <c r="G3478" t="s">
        <v>448</v>
      </c>
    </row>
    <row r="3479" spans="7:7" x14ac:dyDescent="0.3">
      <c r="G3479" t="s">
        <v>393</v>
      </c>
    </row>
    <row r="3480" spans="7:7" x14ac:dyDescent="0.3">
      <c r="G3480" t="s">
        <v>449</v>
      </c>
    </row>
    <row r="3481" spans="7:7" x14ac:dyDescent="0.3">
      <c r="G3481" t="s">
        <v>450</v>
      </c>
    </row>
    <row r="3482" spans="7:7" x14ac:dyDescent="0.3">
      <c r="G3482" t="s">
        <v>451</v>
      </c>
    </row>
    <row r="3483" spans="7:7" x14ac:dyDescent="0.3">
      <c r="G3483" t="s">
        <v>452</v>
      </c>
    </row>
    <row r="3484" spans="7:7" x14ac:dyDescent="0.3">
      <c r="G3484" t="s">
        <v>3421</v>
      </c>
    </row>
    <row r="3485" spans="7:7" x14ac:dyDescent="0.3">
      <c r="G3485" t="s">
        <v>3422</v>
      </c>
    </row>
    <row r="3486" spans="7:7" x14ac:dyDescent="0.3">
      <c r="G3486" t="s">
        <v>3423</v>
      </c>
    </row>
    <row r="3487" spans="7:7" x14ac:dyDescent="0.3">
      <c r="G3487" t="s">
        <v>3424</v>
      </c>
    </row>
    <row r="3488" spans="7:7" x14ac:dyDescent="0.3">
      <c r="G3488" t="s">
        <v>3425</v>
      </c>
    </row>
    <row r="3489" spans="7:7" x14ac:dyDescent="0.3">
      <c r="G3489" t="s">
        <v>3426</v>
      </c>
    </row>
    <row r="3490" spans="7:7" x14ac:dyDescent="0.3">
      <c r="G3490" t="s">
        <v>3427</v>
      </c>
    </row>
    <row r="3491" spans="7:7" x14ac:dyDescent="0.3">
      <c r="G3491" t="s">
        <v>3428</v>
      </c>
    </row>
    <row r="3492" spans="7:7" x14ac:dyDescent="0.3">
      <c r="G3492" t="s">
        <v>3429</v>
      </c>
    </row>
    <row r="3493" spans="7:7" x14ac:dyDescent="0.3">
      <c r="G3493" t="s">
        <v>3430</v>
      </c>
    </row>
    <row r="3494" spans="7:7" x14ac:dyDescent="0.3">
      <c r="G3494" t="s">
        <v>448</v>
      </c>
    </row>
    <row r="3495" spans="7:7" x14ac:dyDescent="0.3">
      <c r="G3495" t="s">
        <v>393</v>
      </c>
    </row>
    <row r="3496" spans="7:7" x14ac:dyDescent="0.3">
      <c r="G3496" t="s">
        <v>463</v>
      </c>
    </row>
    <row r="3497" spans="7:7" x14ac:dyDescent="0.3">
      <c r="G3497" t="s">
        <v>464</v>
      </c>
    </row>
    <row r="3498" spans="7:7" x14ac:dyDescent="0.3">
      <c r="G3498" t="s">
        <v>3431</v>
      </c>
    </row>
    <row r="3499" spans="7:7" x14ac:dyDescent="0.3">
      <c r="G3499" t="s">
        <v>3432</v>
      </c>
    </row>
    <row r="3500" spans="7:7" x14ac:dyDescent="0.3">
      <c r="G3500" t="s">
        <v>3433</v>
      </c>
    </row>
    <row r="3501" spans="7:7" x14ac:dyDescent="0.3">
      <c r="G3501" t="s">
        <v>3434</v>
      </c>
    </row>
    <row r="3502" spans="7:7" x14ac:dyDescent="0.3">
      <c r="G3502" t="s">
        <v>3435</v>
      </c>
    </row>
    <row r="3503" spans="7:7" x14ac:dyDescent="0.3">
      <c r="G3503" t="s">
        <v>448</v>
      </c>
    </row>
    <row r="3504" spans="7:7" x14ac:dyDescent="0.3">
      <c r="G3504" t="s">
        <v>393</v>
      </c>
    </row>
    <row r="3505" spans="7:7" x14ac:dyDescent="0.3">
      <c r="G3505" t="s">
        <v>470</v>
      </c>
    </row>
    <row r="3506" spans="7:7" x14ac:dyDescent="0.3">
      <c r="G3506" t="s">
        <v>504</v>
      </c>
    </row>
    <row r="3507" spans="7:7" x14ac:dyDescent="0.3">
      <c r="G3507" t="s">
        <v>3436</v>
      </c>
    </row>
    <row r="3508" spans="7:7" x14ac:dyDescent="0.3">
      <c r="G3508" t="s">
        <v>473</v>
      </c>
    </row>
    <row r="3509" spans="7:7" x14ac:dyDescent="0.3">
      <c r="G3509" t="s">
        <v>474</v>
      </c>
    </row>
    <row r="3510" spans="7:7" x14ac:dyDescent="0.3">
      <c r="G3510" t="s">
        <v>471</v>
      </c>
    </row>
    <row r="3511" spans="7:7" x14ac:dyDescent="0.3">
      <c r="G3511" t="s">
        <v>3437</v>
      </c>
    </row>
    <row r="3512" spans="7:7" x14ac:dyDescent="0.3">
      <c r="G3512" t="s">
        <v>473</v>
      </c>
    </row>
    <row r="3513" spans="7:7" x14ac:dyDescent="0.3">
      <c r="G3513" t="s">
        <v>474</v>
      </c>
    </row>
    <row r="3514" spans="7:7" x14ac:dyDescent="0.3">
      <c r="G3514" t="s">
        <v>2199</v>
      </c>
    </row>
    <row r="3515" spans="7:7" x14ac:dyDescent="0.3">
      <c r="G3515" t="s">
        <v>3438</v>
      </c>
    </row>
    <row r="3516" spans="7:7" x14ac:dyDescent="0.3">
      <c r="G3516" t="s">
        <v>473</v>
      </c>
    </row>
    <row r="3517" spans="7:7" x14ac:dyDescent="0.3">
      <c r="G3517" t="s">
        <v>474</v>
      </c>
    </row>
    <row r="3518" spans="7:7" x14ac:dyDescent="0.3">
      <c r="G3518" t="s">
        <v>481</v>
      </c>
    </row>
    <row r="3519" spans="7:7" x14ac:dyDescent="0.3">
      <c r="G3519" t="s">
        <v>3439</v>
      </c>
    </row>
    <row r="3520" spans="7:7" x14ac:dyDescent="0.3">
      <c r="G3520" t="s">
        <v>473</v>
      </c>
    </row>
    <row r="3521" spans="7:7" x14ac:dyDescent="0.3">
      <c r="G3521" t="s">
        <v>474</v>
      </c>
    </row>
    <row r="3522" spans="7:7" x14ac:dyDescent="0.3">
      <c r="G3522" t="s">
        <v>2203</v>
      </c>
    </row>
    <row r="3523" spans="7:7" x14ac:dyDescent="0.3">
      <c r="G3523" t="s">
        <v>3440</v>
      </c>
    </row>
    <row r="3524" spans="7:7" x14ac:dyDescent="0.3">
      <c r="G3524" t="s">
        <v>473</v>
      </c>
    </row>
    <row r="3525" spans="7:7" x14ac:dyDescent="0.3">
      <c r="G3525" t="s">
        <v>448</v>
      </c>
    </row>
    <row r="3526" spans="7:7" x14ac:dyDescent="0.3">
      <c r="G3526" t="s">
        <v>409</v>
      </c>
    </row>
    <row r="3527" spans="7:7" x14ac:dyDescent="0.3">
      <c r="G3527" t="s">
        <v>177</v>
      </c>
    </row>
    <row r="3528" spans="7:7" x14ac:dyDescent="0.3">
      <c r="G3528" t="s">
        <v>436</v>
      </c>
    </row>
    <row r="3529" spans="7:7" x14ac:dyDescent="0.3">
      <c r="G3529" t="s">
        <v>437</v>
      </c>
    </row>
    <row r="3530" spans="7:7" x14ac:dyDescent="0.3">
      <c r="G3530" t="s">
        <v>438</v>
      </c>
    </row>
    <row r="3531" spans="7:7" x14ac:dyDescent="0.3">
      <c r="G3531" t="s">
        <v>439</v>
      </c>
    </row>
    <row r="3532" spans="7:7" x14ac:dyDescent="0.3">
      <c r="G3532" t="s">
        <v>3441</v>
      </c>
    </row>
    <row r="3533" spans="7:7" x14ac:dyDescent="0.3">
      <c r="G3533" t="s">
        <v>440</v>
      </c>
    </row>
    <row r="3534" spans="7:7" x14ac:dyDescent="0.3">
      <c r="G3534" t="s">
        <v>2179</v>
      </c>
    </row>
    <row r="3535" spans="7:7" x14ac:dyDescent="0.3">
      <c r="G3535" t="s">
        <v>441</v>
      </c>
    </row>
    <row r="3536" spans="7:7" x14ac:dyDescent="0.3">
      <c r="G3536" t="s">
        <v>445</v>
      </c>
    </row>
    <row r="3537" spans="7:7" x14ac:dyDescent="0.3">
      <c r="G3537" t="s">
        <v>3442</v>
      </c>
    </row>
    <row r="3538" spans="7:7" x14ac:dyDescent="0.3">
      <c r="G3538" t="s">
        <v>3443</v>
      </c>
    </row>
    <row r="3539" spans="7:7" x14ac:dyDescent="0.3">
      <c r="G3539" t="s">
        <v>2183</v>
      </c>
    </row>
    <row r="3540" spans="7:7" x14ac:dyDescent="0.3">
      <c r="G3540" t="s">
        <v>448</v>
      </c>
    </row>
    <row r="3541" spans="7:7" x14ac:dyDescent="0.3">
      <c r="G3541" t="s">
        <v>393</v>
      </c>
    </row>
    <row r="3542" spans="7:7" x14ac:dyDescent="0.3">
      <c r="G3542" t="s">
        <v>449</v>
      </c>
    </row>
    <row r="3543" spans="7:7" x14ac:dyDescent="0.3">
      <c r="G3543" t="s">
        <v>488</v>
      </c>
    </row>
    <row r="3544" spans="7:7" x14ac:dyDescent="0.3">
      <c r="G3544" t="s">
        <v>451</v>
      </c>
    </row>
    <row r="3545" spans="7:7" x14ac:dyDescent="0.3">
      <c r="G3545" t="s">
        <v>452</v>
      </c>
    </row>
    <row r="3546" spans="7:7" x14ac:dyDescent="0.3">
      <c r="G3546" t="s">
        <v>3444</v>
      </c>
    </row>
    <row r="3547" spans="7:7" x14ac:dyDescent="0.3">
      <c r="G3547" t="s">
        <v>3445</v>
      </c>
    </row>
    <row r="3548" spans="7:7" x14ac:dyDescent="0.3">
      <c r="G3548" t="s">
        <v>3446</v>
      </c>
    </row>
    <row r="3549" spans="7:7" x14ac:dyDescent="0.3">
      <c r="G3549" t="s">
        <v>3447</v>
      </c>
    </row>
    <row r="3550" spans="7:7" x14ac:dyDescent="0.3">
      <c r="G3550" t="s">
        <v>3448</v>
      </c>
    </row>
    <row r="3551" spans="7:7" x14ac:dyDescent="0.3">
      <c r="G3551" t="s">
        <v>3449</v>
      </c>
    </row>
    <row r="3552" spans="7:7" x14ac:dyDescent="0.3">
      <c r="G3552" t="s">
        <v>3450</v>
      </c>
    </row>
    <row r="3553" spans="7:7" x14ac:dyDescent="0.3">
      <c r="G3553" t="s">
        <v>3451</v>
      </c>
    </row>
    <row r="3554" spans="7:7" x14ac:dyDescent="0.3">
      <c r="G3554" t="s">
        <v>3452</v>
      </c>
    </row>
    <row r="3555" spans="7:7" x14ac:dyDescent="0.3">
      <c r="G3555" t="s">
        <v>3453</v>
      </c>
    </row>
    <row r="3556" spans="7:7" x14ac:dyDescent="0.3">
      <c r="G3556" t="s">
        <v>448</v>
      </c>
    </row>
    <row r="3557" spans="7:7" x14ac:dyDescent="0.3">
      <c r="G3557" t="s">
        <v>393</v>
      </c>
    </row>
    <row r="3558" spans="7:7" x14ac:dyDescent="0.3">
      <c r="G3558" t="s">
        <v>463</v>
      </c>
    </row>
    <row r="3559" spans="7:7" x14ac:dyDescent="0.3">
      <c r="G3559" t="s">
        <v>464</v>
      </c>
    </row>
    <row r="3560" spans="7:7" x14ac:dyDescent="0.3">
      <c r="G3560" t="s">
        <v>3454</v>
      </c>
    </row>
    <row r="3561" spans="7:7" x14ac:dyDescent="0.3">
      <c r="G3561" t="s">
        <v>3455</v>
      </c>
    </row>
    <row r="3562" spans="7:7" x14ac:dyDescent="0.3">
      <c r="G3562" t="s">
        <v>3456</v>
      </c>
    </row>
    <row r="3563" spans="7:7" x14ac:dyDescent="0.3">
      <c r="G3563" t="s">
        <v>3457</v>
      </c>
    </row>
    <row r="3564" spans="7:7" x14ac:dyDescent="0.3">
      <c r="G3564" t="s">
        <v>3458</v>
      </c>
    </row>
    <row r="3565" spans="7:7" x14ac:dyDescent="0.3">
      <c r="G3565" t="s">
        <v>448</v>
      </c>
    </row>
    <row r="3566" spans="7:7" x14ac:dyDescent="0.3">
      <c r="G3566" t="s">
        <v>393</v>
      </c>
    </row>
    <row r="3567" spans="7:7" x14ac:dyDescent="0.3">
      <c r="G3567" t="s">
        <v>470</v>
      </c>
    </row>
    <row r="3568" spans="7:7" x14ac:dyDescent="0.3">
      <c r="G3568" t="s">
        <v>481</v>
      </c>
    </row>
    <row r="3569" spans="7:7" x14ac:dyDescent="0.3">
      <c r="G3569" t="s">
        <v>3459</v>
      </c>
    </row>
    <row r="3570" spans="7:7" x14ac:dyDescent="0.3">
      <c r="G3570" t="s">
        <v>473</v>
      </c>
    </row>
    <row r="3571" spans="7:7" x14ac:dyDescent="0.3">
      <c r="G3571" t="s">
        <v>474</v>
      </c>
    </row>
    <row r="3572" spans="7:7" x14ac:dyDescent="0.3">
      <c r="G3572" t="s">
        <v>2203</v>
      </c>
    </row>
    <row r="3573" spans="7:7" x14ac:dyDescent="0.3">
      <c r="G3573" t="s">
        <v>3460</v>
      </c>
    </row>
    <row r="3574" spans="7:7" x14ac:dyDescent="0.3">
      <c r="G3574" t="s">
        <v>473</v>
      </c>
    </row>
    <row r="3575" spans="7:7" x14ac:dyDescent="0.3">
      <c r="G3575" t="s">
        <v>474</v>
      </c>
    </row>
    <row r="3576" spans="7:7" x14ac:dyDescent="0.3">
      <c r="G3576" t="s">
        <v>2199</v>
      </c>
    </row>
    <row r="3577" spans="7:7" x14ac:dyDescent="0.3">
      <c r="G3577" t="s">
        <v>3461</v>
      </c>
    </row>
    <row r="3578" spans="7:7" x14ac:dyDescent="0.3">
      <c r="G3578" t="s">
        <v>473</v>
      </c>
    </row>
    <row r="3579" spans="7:7" x14ac:dyDescent="0.3">
      <c r="G3579" t="s">
        <v>474</v>
      </c>
    </row>
    <row r="3580" spans="7:7" x14ac:dyDescent="0.3">
      <c r="G3580" t="s">
        <v>475</v>
      </c>
    </row>
    <row r="3581" spans="7:7" x14ac:dyDescent="0.3">
      <c r="G3581" t="s">
        <v>3462</v>
      </c>
    </row>
    <row r="3582" spans="7:7" x14ac:dyDescent="0.3">
      <c r="G3582" t="s">
        <v>473</v>
      </c>
    </row>
    <row r="3583" spans="7:7" x14ac:dyDescent="0.3">
      <c r="G3583" t="s">
        <v>474</v>
      </c>
    </row>
    <row r="3584" spans="7:7" x14ac:dyDescent="0.3">
      <c r="G3584" t="s">
        <v>471</v>
      </c>
    </row>
    <row r="3585" spans="7:7" x14ac:dyDescent="0.3">
      <c r="G3585" t="s">
        <v>3463</v>
      </c>
    </row>
    <row r="3586" spans="7:7" x14ac:dyDescent="0.3">
      <c r="G3586" t="s">
        <v>473</v>
      </c>
    </row>
    <row r="3587" spans="7:7" x14ac:dyDescent="0.3">
      <c r="G3587" t="s">
        <v>448</v>
      </c>
    </row>
    <row r="3588" spans="7:7" x14ac:dyDescent="0.3">
      <c r="G3588" t="s">
        <v>409</v>
      </c>
    </row>
    <row r="3589" spans="7:7" x14ac:dyDescent="0.3">
      <c r="G3589" t="s">
        <v>177</v>
      </c>
    </row>
    <row r="3590" spans="7:7" x14ac:dyDescent="0.3">
      <c r="G3590" t="s">
        <v>436</v>
      </c>
    </row>
    <row r="3591" spans="7:7" x14ac:dyDescent="0.3">
      <c r="G3591" t="s">
        <v>437</v>
      </c>
    </row>
    <row r="3592" spans="7:7" x14ac:dyDescent="0.3">
      <c r="G3592" t="s">
        <v>438</v>
      </c>
    </row>
    <row r="3593" spans="7:7" x14ac:dyDescent="0.3">
      <c r="G3593" t="s">
        <v>439</v>
      </c>
    </row>
    <row r="3594" spans="7:7" x14ac:dyDescent="0.3">
      <c r="G3594" t="s">
        <v>440</v>
      </c>
    </row>
    <row r="3595" spans="7:7" x14ac:dyDescent="0.3">
      <c r="G3595" t="s">
        <v>2179</v>
      </c>
    </row>
    <row r="3596" spans="7:7" x14ac:dyDescent="0.3">
      <c r="G3596" t="s">
        <v>3464</v>
      </c>
    </row>
    <row r="3597" spans="7:7" x14ac:dyDescent="0.3">
      <c r="G3597" t="s">
        <v>441</v>
      </c>
    </row>
    <row r="3598" spans="7:7" x14ac:dyDescent="0.3">
      <c r="G3598" t="s">
        <v>3465</v>
      </c>
    </row>
    <row r="3599" spans="7:7" x14ac:dyDescent="0.3">
      <c r="G3599" t="s">
        <v>3466</v>
      </c>
    </row>
    <row r="3600" spans="7:7" x14ac:dyDescent="0.3">
      <c r="G3600" t="s">
        <v>486</v>
      </c>
    </row>
    <row r="3601" spans="7:7" x14ac:dyDescent="0.3">
      <c r="G3601" t="s">
        <v>2183</v>
      </c>
    </row>
    <row r="3602" spans="7:7" x14ac:dyDescent="0.3">
      <c r="G3602" t="s">
        <v>448</v>
      </c>
    </row>
    <row r="3603" spans="7:7" x14ac:dyDescent="0.3">
      <c r="G3603" t="s">
        <v>393</v>
      </c>
    </row>
    <row r="3604" spans="7:7" x14ac:dyDescent="0.3">
      <c r="G3604" t="s">
        <v>449</v>
      </c>
    </row>
    <row r="3605" spans="7:7" x14ac:dyDescent="0.3">
      <c r="G3605" t="s">
        <v>450</v>
      </c>
    </row>
    <row r="3606" spans="7:7" x14ac:dyDescent="0.3">
      <c r="G3606" t="s">
        <v>451</v>
      </c>
    </row>
    <row r="3607" spans="7:7" x14ac:dyDescent="0.3">
      <c r="G3607" t="s">
        <v>452</v>
      </c>
    </row>
    <row r="3608" spans="7:7" x14ac:dyDescent="0.3">
      <c r="G3608" t="s">
        <v>3467</v>
      </c>
    </row>
    <row r="3609" spans="7:7" x14ac:dyDescent="0.3">
      <c r="G3609" t="s">
        <v>3468</v>
      </c>
    </row>
    <row r="3610" spans="7:7" x14ac:dyDescent="0.3">
      <c r="G3610" t="s">
        <v>3469</v>
      </c>
    </row>
    <row r="3611" spans="7:7" x14ac:dyDescent="0.3">
      <c r="G3611" t="s">
        <v>3470</v>
      </c>
    </row>
    <row r="3612" spans="7:7" x14ac:dyDescent="0.3">
      <c r="G3612" t="s">
        <v>3471</v>
      </c>
    </row>
    <row r="3613" spans="7:7" x14ac:dyDescent="0.3">
      <c r="G3613" t="s">
        <v>3472</v>
      </c>
    </row>
    <row r="3614" spans="7:7" x14ac:dyDescent="0.3">
      <c r="G3614" t="s">
        <v>3473</v>
      </c>
    </row>
    <row r="3615" spans="7:7" x14ac:dyDescent="0.3">
      <c r="G3615" t="s">
        <v>3474</v>
      </c>
    </row>
    <row r="3616" spans="7:7" x14ac:dyDescent="0.3">
      <c r="G3616" t="s">
        <v>3475</v>
      </c>
    </row>
    <row r="3617" spans="7:7" x14ac:dyDescent="0.3">
      <c r="G3617" t="s">
        <v>3476</v>
      </c>
    </row>
    <row r="3618" spans="7:7" x14ac:dyDescent="0.3">
      <c r="G3618" t="s">
        <v>448</v>
      </c>
    </row>
    <row r="3619" spans="7:7" x14ac:dyDescent="0.3">
      <c r="G3619" t="s">
        <v>393</v>
      </c>
    </row>
    <row r="3620" spans="7:7" x14ac:dyDescent="0.3">
      <c r="G3620" t="s">
        <v>463</v>
      </c>
    </row>
    <row r="3621" spans="7:7" x14ac:dyDescent="0.3">
      <c r="G3621" t="s">
        <v>464</v>
      </c>
    </row>
    <row r="3622" spans="7:7" x14ac:dyDescent="0.3">
      <c r="G3622" t="s">
        <v>3477</v>
      </c>
    </row>
    <row r="3623" spans="7:7" x14ac:dyDescent="0.3">
      <c r="G3623" t="s">
        <v>3478</v>
      </c>
    </row>
    <row r="3624" spans="7:7" x14ac:dyDescent="0.3">
      <c r="G3624" t="s">
        <v>3479</v>
      </c>
    </row>
    <row r="3625" spans="7:7" x14ac:dyDescent="0.3">
      <c r="G3625" t="s">
        <v>3480</v>
      </c>
    </row>
    <row r="3626" spans="7:7" x14ac:dyDescent="0.3">
      <c r="G3626" t="s">
        <v>3481</v>
      </c>
    </row>
    <row r="3627" spans="7:7" x14ac:dyDescent="0.3">
      <c r="G3627" t="s">
        <v>448</v>
      </c>
    </row>
    <row r="3628" spans="7:7" x14ac:dyDescent="0.3">
      <c r="G3628" t="s">
        <v>393</v>
      </c>
    </row>
    <row r="3629" spans="7:7" x14ac:dyDescent="0.3">
      <c r="G3629" t="s">
        <v>470</v>
      </c>
    </row>
    <row r="3630" spans="7:7" x14ac:dyDescent="0.3">
      <c r="G3630" t="s">
        <v>504</v>
      </c>
    </row>
    <row r="3631" spans="7:7" x14ac:dyDescent="0.3">
      <c r="G3631" t="s">
        <v>3482</v>
      </c>
    </row>
    <row r="3632" spans="7:7" x14ac:dyDescent="0.3">
      <c r="G3632" t="s">
        <v>473</v>
      </c>
    </row>
    <row r="3633" spans="7:7" x14ac:dyDescent="0.3">
      <c r="G3633" t="s">
        <v>474</v>
      </c>
    </row>
    <row r="3634" spans="7:7" x14ac:dyDescent="0.3">
      <c r="G3634" t="s">
        <v>471</v>
      </c>
    </row>
    <row r="3635" spans="7:7" x14ac:dyDescent="0.3">
      <c r="G3635" t="s">
        <v>3483</v>
      </c>
    </row>
    <row r="3636" spans="7:7" x14ac:dyDescent="0.3">
      <c r="G3636" t="s">
        <v>601</v>
      </c>
    </row>
    <row r="3637" spans="7:7" x14ac:dyDescent="0.3">
      <c r="G3637" t="s">
        <v>474</v>
      </c>
    </row>
    <row r="3638" spans="7:7" x14ac:dyDescent="0.3">
      <c r="G3638" t="s">
        <v>2199</v>
      </c>
    </row>
    <row r="3639" spans="7:7" x14ac:dyDescent="0.3">
      <c r="G3639" t="s">
        <v>3484</v>
      </c>
    </row>
    <row r="3640" spans="7:7" x14ac:dyDescent="0.3">
      <c r="G3640" t="s">
        <v>473</v>
      </c>
    </row>
    <row r="3641" spans="7:7" x14ac:dyDescent="0.3">
      <c r="G3641" t="s">
        <v>474</v>
      </c>
    </row>
    <row r="3642" spans="7:7" x14ac:dyDescent="0.3">
      <c r="G3642" t="s">
        <v>2203</v>
      </c>
    </row>
    <row r="3643" spans="7:7" x14ac:dyDescent="0.3">
      <c r="G3643" t="s">
        <v>3485</v>
      </c>
    </row>
    <row r="3644" spans="7:7" x14ac:dyDescent="0.3">
      <c r="G3644" t="s">
        <v>473</v>
      </c>
    </row>
    <row r="3645" spans="7:7" x14ac:dyDescent="0.3">
      <c r="G3645" t="s">
        <v>474</v>
      </c>
    </row>
    <row r="3646" spans="7:7" x14ac:dyDescent="0.3">
      <c r="G3646" t="s">
        <v>481</v>
      </c>
    </row>
    <row r="3647" spans="7:7" x14ac:dyDescent="0.3">
      <c r="G3647" t="s">
        <v>3486</v>
      </c>
    </row>
    <row r="3648" spans="7:7" x14ac:dyDescent="0.3">
      <c r="G3648" t="s">
        <v>473</v>
      </c>
    </row>
    <row r="3649" spans="7:7" x14ac:dyDescent="0.3">
      <c r="G3649" t="s">
        <v>448</v>
      </c>
    </row>
    <row r="3650" spans="7:7" x14ac:dyDescent="0.3">
      <c r="G3650" t="s">
        <v>409</v>
      </c>
    </row>
    <row r="3651" spans="7:7" x14ac:dyDescent="0.3">
      <c r="G3651" t="s">
        <v>165</v>
      </c>
    </row>
    <row r="3652" spans="7:7" x14ac:dyDescent="0.3">
      <c r="G3652" t="s">
        <v>1921</v>
      </c>
    </row>
    <row r="3653" spans="7:7" x14ac:dyDescent="0.3">
      <c r="G3653" t="s">
        <v>77</v>
      </c>
    </row>
    <row r="3655" spans="7:7" x14ac:dyDescent="0.3">
      <c r="G3655" t="s">
        <v>300</v>
      </c>
    </row>
    <row r="3657" spans="7:7" x14ac:dyDescent="0.3">
      <c r="G3657" t="s">
        <v>280</v>
      </c>
    </row>
    <row r="3658" spans="7:7" x14ac:dyDescent="0.3">
      <c r="G3658" t="s">
        <v>281</v>
      </c>
    </row>
    <row r="3659" spans="7:7" x14ac:dyDescent="0.3">
      <c r="G3659" t="s">
        <v>85</v>
      </c>
    </row>
    <row r="3660" spans="7:7" x14ac:dyDescent="0.3">
      <c r="G3660" t="s">
        <v>86</v>
      </c>
    </row>
    <row r="3661" spans="7:7" x14ac:dyDescent="0.3">
      <c r="G3661" t="s">
        <v>282</v>
      </c>
    </row>
    <row r="3662" spans="7:7" x14ac:dyDescent="0.3">
      <c r="G3662" t="s">
        <v>200</v>
      </c>
    </row>
    <row r="3664" spans="7:7" x14ac:dyDescent="0.3">
      <c r="G3664" t="s">
        <v>221</v>
      </c>
    </row>
    <row r="3665" spans="7:7" x14ac:dyDescent="0.3">
      <c r="G3665" t="s">
        <v>222</v>
      </c>
    </row>
    <row r="3666" spans="7:7" x14ac:dyDescent="0.3">
      <c r="G3666" t="s">
        <v>223</v>
      </c>
    </row>
    <row r="3667" spans="7:7" x14ac:dyDescent="0.3">
      <c r="G3667" t="s">
        <v>224</v>
      </c>
    </row>
    <row r="3668" spans="7:7" x14ac:dyDescent="0.3">
      <c r="G3668" t="s">
        <v>243</v>
      </c>
    </row>
    <row r="3669" spans="7:7" x14ac:dyDescent="0.3">
      <c r="G3669" t="s">
        <v>226</v>
      </c>
    </row>
    <row r="3670" spans="7:7" x14ac:dyDescent="0.3">
      <c r="G3670" t="s">
        <v>227</v>
      </c>
    </row>
    <row r="3671" spans="7:7" x14ac:dyDescent="0.3">
      <c r="G3671" t="s">
        <v>228</v>
      </c>
    </row>
    <row r="3672" spans="7:7" x14ac:dyDescent="0.3">
      <c r="G3672" t="s">
        <v>229</v>
      </c>
    </row>
    <row r="3673" spans="7:7" x14ac:dyDescent="0.3">
      <c r="G3673" t="s">
        <v>230</v>
      </c>
    </row>
    <row r="3675" spans="7:7" x14ac:dyDescent="0.3">
      <c r="G3675" t="s">
        <v>231</v>
      </c>
    </row>
    <row r="3676" spans="7:7" x14ac:dyDescent="0.3">
      <c r="G3676" t="s">
        <v>283</v>
      </c>
    </row>
    <row r="3678" spans="7:7" x14ac:dyDescent="0.3">
      <c r="G3678" t="s">
        <v>233</v>
      </c>
    </row>
    <row r="3679" spans="7:7" x14ac:dyDescent="0.3">
      <c r="G3679" t="s">
        <v>284</v>
      </c>
    </row>
    <row r="3680" spans="7:7" x14ac:dyDescent="0.3">
      <c r="G3680" t="s">
        <v>285</v>
      </c>
    </row>
    <row r="3681" spans="7:7" x14ac:dyDescent="0.3">
      <c r="G3681" t="s">
        <v>286</v>
      </c>
    </row>
    <row r="3682" spans="7:7" x14ac:dyDescent="0.3">
      <c r="G3682" t="s">
        <v>287</v>
      </c>
    </row>
    <row r="3683" spans="7:7" x14ac:dyDescent="0.3">
      <c r="G3683" t="s">
        <v>288</v>
      </c>
    </row>
    <row r="3685" spans="7:7" x14ac:dyDescent="0.3">
      <c r="G3685" t="s">
        <v>237</v>
      </c>
    </row>
    <row r="3687" spans="7:7" x14ac:dyDescent="0.3">
      <c r="G3687" t="s">
        <v>238</v>
      </c>
    </row>
    <row r="3688" spans="7:7" x14ac:dyDescent="0.3">
      <c r="G3688" t="s">
        <v>244</v>
      </c>
    </row>
    <row r="3689" spans="7:7" x14ac:dyDescent="0.3">
      <c r="G3689" t="s">
        <v>245</v>
      </c>
    </row>
    <row r="3690" spans="7:7" x14ac:dyDescent="0.3">
      <c r="G3690" t="s">
        <v>241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850E9-802A-4D52-9279-36424651BA9C}">
  <dimension ref="A1:G618"/>
  <sheetViews>
    <sheetView topLeftCell="A79" zoomScale="87" workbookViewId="0">
      <selection activeCell="C74" sqref="C74"/>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381</v>
      </c>
    </row>
    <row r="5" spans="1:7" x14ac:dyDescent="0.3">
      <c r="A5" t="s">
        <v>205</v>
      </c>
      <c r="B5" s="3">
        <v>0.15</v>
      </c>
      <c r="C5">
        <v>3</v>
      </c>
      <c r="D5">
        <f>C5*B5</f>
        <v>0.44999999999999996</v>
      </c>
      <c r="G5" s="7" t="s">
        <v>382</v>
      </c>
    </row>
    <row r="6" spans="1:7" x14ac:dyDescent="0.3">
      <c r="A6" t="s">
        <v>202</v>
      </c>
      <c r="B6" s="3">
        <v>0.1</v>
      </c>
      <c r="C6">
        <v>3</v>
      </c>
      <c r="D6">
        <f t="shared" ref="D6:D12" si="0">C6*B6</f>
        <v>0.30000000000000004</v>
      </c>
      <c r="G6" s="7" t="s">
        <v>1922</v>
      </c>
    </row>
    <row r="7" spans="1:7" x14ac:dyDescent="0.3">
      <c r="A7" t="s">
        <v>206</v>
      </c>
      <c r="B7" s="3">
        <v>0.1</v>
      </c>
      <c r="C7">
        <v>4</v>
      </c>
      <c r="D7">
        <f t="shared" si="0"/>
        <v>0.4</v>
      </c>
      <c r="G7" s="7" t="s">
        <v>384</v>
      </c>
    </row>
    <row r="8" spans="1:7" x14ac:dyDescent="0.3">
      <c r="A8" t="s">
        <v>91</v>
      </c>
      <c r="B8" s="3">
        <v>0.15</v>
      </c>
      <c r="C8">
        <v>3</v>
      </c>
      <c r="D8">
        <f t="shared" si="0"/>
        <v>0.44999999999999996</v>
      </c>
      <c r="G8" s="7" t="s">
        <v>1923</v>
      </c>
    </row>
    <row r="9" spans="1:7" x14ac:dyDescent="0.3">
      <c r="A9" t="s">
        <v>90</v>
      </c>
      <c r="B9" s="3">
        <v>0.15</v>
      </c>
      <c r="C9">
        <v>3</v>
      </c>
      <c r="D9">
        <f t="shared" si="0"/>
        <v>0.44999999999999996</v>
      </c>
      <c r="G9" s="7" t="s">
        <v>1924</v>
      </c>
    </row>
    <row r="10" spans="1:7" x14ac:dyDescent="0.3">
      <c r="A10" t="s">
        <v>203</v>
      </c>
      <c r="B10" s="3">
        <v>0.05</v>
      </c>
      <c r="C10">
        <v>4</v>
      </c>
      <c r="D10">
        <f t="shared" si="0"/>
        <v>0.2</v>
      </c>
      <c r="G10" s="7" t="s">
        <v>1925</v>
      </c>
    </row>
    <row r="11" spans="1:7" x14ac:dyDescent="0.3">
      <c r="A11" t="s">
        <v>204</v>
      </c>
      <c r="B11" s="3">
        <v>0.05</v>
      </c>
      <c r="C11">
        <v>4</v>
      </c>
      <c r="D11">
        <f t="shared" si="0"/>
        <v>0.2</v>
      </c>
      <c r="G11" s="7" t="s">
        <v>1926</v>
      </c>
    </row>
    <row r="12" spans="1:7" x14ac:dyDescent="0.3">
      <c r="A12" t="s">
        <v>89</v>
      </c>
      <c r="B12" s="3">
        <v>0.1</v>
      </c>
      <c r="C12">
        <v>4</v>
      </c>
      <c r="D12">
        <f t="shared" si="0"/>
        <v>0.4</v>
      </c>
      <c r="G12" s="7" t="s">
        <v>389</v>
      </c>
    </row>
    <row r="13" spans="1:7" x14ac:dyDescent="0.3">
      <c r="A13" t="s">
        <v>88</v>
      </c>
      <c r="B13" s="3">
        <v>0.15</v>
      </c>
      <c r="C13">
        <v>3</v>
      </c>
      <c r="D13">
        <f>C13*B13</f>
        <v>0.44999999999999996</v>
      </c>
      <c r="G13" s="7" t="s">
        <v>390</v>
      </c>
    </row>
    <row r="14" spans="1:7" ht="15" thickBot="1" x14ac:dyDescent="0.35">
      <c r="B14" s="4">
        <f>SUM(B5:B13)</f>
        <v>1</v>
      </c>
      <c r="D14" s="6">
        <f>SUM(D5:D13)</f>
        <v>3.3</v>
      </c>
      <c r="G14" s="7" t="s">
        <v>1927</v>
      </c>
    </row>
    <row r="15" spans="1:7" ht="15" thickTop="1" x14ac:dyDescent="0.3">
      <c r="G15" s="7" t="s">
        <v>1928</v>
      </c>
    </row>
    <row r="16" spans="1:7" x14ac:dyDescent="0.3">
      <c r="A16" t="s">
        <v>103</v>
      </c>
      <c r="G16" s="7" t="s">
        <v>393</v>
      </c>
    </row>
    <row r="17" spans="1:7" x14ac:dyDescent="0.3">
      <c r="A17" s="1" t="s">
        <v>0</v>
      </c>
      <c r="B17" s="1" t="s">
        <v>1</v>
      </c>
      <c r="C17" s="1" t="s">
        <v>201</v>
      </c>
      <c r="D17" s="1" t="s">
        <v>3</v>
      </c>
      <c r="G17" s="7" t="s">
        <v>1929</v>
      </c>
    </row>
    <row r="18" spans="1:7" x14ac:dyDescent="0.3">
      <c r="A18" t="s">
        <v>205</v>
      </c>
      <c r="B18" s="3">
        <v>0.15</v>
      </c>
      <c r="C18">
        <v>4</v>
      </c>
      <c r="D18">
        <f>C18*B18</f>
        <v>0.6</v>
      </c>
      <c r="G18" s="7" t="s">
        <v>177</v>
      </c>
    </row>
    <row r="19" spans="1:7" x14ac:dyDescent="0.3">
      <c r="A19" t="s">
        <v>202</v>
      </c>
      <c r="B19" s="3">
        <v>0.1</v>
      </c>
      <c r="C19">
        <v>3</v>
      </c>
      <c r="D19">
        <f t="shared" ref="D19:D25" si="1">C19*B19</f>
        <v>0.30000000000000004</v>
      </c>
      <c r="G19" s="7" t="s">
        <v>395</v>
      </c>
    </row>
    <row r="20" spans="1:7" x14ac:dyDescent="0.3">
      <c r="A20" t="s">
        <v>206</v>
      </c>
      <c r="B20" s="3">
        <v>0.1</v>
      </c>
      <c r="C20">
        <v>4</v>
      </c>
      <c r="D20">
        <f t="shared" si="1"/>
        <v>0.4</v>
      </c>
      <c r="G20" s="7" t="s">
        <v>396</v>
      </c>
    </row>
    <row r="21" spans="1:7" x14ac:dyDescent="0.3">
      <c r="A21" t="s">
        <v>91</v>
      </c>
      <c r="B21" s="3">
        <v>0.15</v>
      </c>
      <c r="C21">
        <v>4</v>
      </c>
      <c r="D21">
        <f t="shared" si="1"/>
        <v>0.6</v>
      </c>
      <c r="G21" s="7" t="s">
        <v>397</v>
      </c>
    </row>
    <row r="22" spans="1:7" x14ac:dyDescent="0.3">
      <c r="A22" t="s">
        <v>90</v>
      </c>
      <c r="B22" s="3">
        <v>0.15</v>
      </c>
      <c r="C22">
        <v>3</v>
      </c>
      <c r="D22">
        <f t="shared" si="1"/>
        <v>0.44999999999999996</v>
      </c>
      <c r="G22" s="7" t="s">
        <v>398</v>
      </c>
    </row>
    <row r="23" spans="1:7" x14ac:dyDescent="0.3">
      <c r="A23" t="s">
        <v>203</v>
      </c>
      <c r="B23" s="3">
        <v>0.05</v>
      </c>
      <c r="C23">
        <v>4</v>
      </c>
      <c r="D23">
        <f t="shared" si="1"/>
        <v>0.2</v>
      </c>
      <c r="G23" s="7" t="s">
        <v>1930</v>
      </c>
    </row>
    <row r="24" spans="1:7" x14ac:dyDescent="0.3">
      <c r="A24" t="s">
        <v>204</v>
      </c>
      <c r="B24" s="3">
        <v>0.05</v>
      </c>
      <c r="C24">
        <v>4</v>
      </c>
      <c r="D24">
        <f t="shared" si="1"/>
        <v>0.2</v>
      </c>
      <c r="G24" s="7" t="s">
        <v>1931</v>
      </c>
    </row>
    <row r="25" spans="1:7" x14ac:dyDescent="0.3">
      <c r="A25" t="s">
        <v>89</v>
      </c>
      <c r="B25" s="3">
        <v>0.1</v>
      </c>
      <c r="C25">
        <v>4</v>
      </c>
      <c r="D25">
        <f t="shared" si="1"/>
        <v>0.4</v>
      </c>
      <c r="G25" s="7" t="s">
        <v>1932</v>
      </c>
    </row>
    <row r="26" spans="1:7" x14ac:dyDescent="0.3">
      <c r="A26" t="s">
        <v>88</v>
      </c>
      <c r="B26" s="3">
        <v>0.15</v>
      </c>
      <c r="C26">
        <v>4</v>
      </c>
      <c r="D26">
        <f>C26*B26</f>
        <v>0.6</v>
      </c>
      <c r="G26" s="7" t="s">
        <v>1933</v>
      </c>
    </row>
    <row r="27" spans="1:7" ht="15" thickBot="1" x14ac:dyDescent="0.35">
      <c r="B27" s="4">
        <f>SUM(B18:B26)</f>
        <v>1</v>
      </c>
      <c r="D27" s="6">
        <f>SUM(D18:D26)</f>
        <v>3.75</v>
      </c>
      <c r="G27" s="7" t="s">
        <v>1934</v>
      </c>
    </row>
    <row r="28" spans="1:7" ht="15" thickTop="1" x14ac:dyDescent="0.3">
      <c r="G28" s="7" t="s">
        <v>1935</v>
      </c>
    </row>
    <row r="29" spans="1:7" x14ac:dyDescent="0.3">
      <c r="A29" t="s">
        <v>104</v>
      </c>
      <c r="G29" s="7" t="s">
        <v>1936</v>
      </c>
    </row>
    <row r="30" spans="1:7" x14ac:dyDescent="0.3">
      <c r="A30" s="1" t="s">
        <v>0</v>
      </c>
      <c r="B30" s="1" t="s">
        <v>1</v>
      </c>
      <c r="C30" s="1" t="s">
        <v>201</v>
      </c>
      <c r="D30" s="1" t="s">
        <v>3</v>
      </c>
      <c r="G30" s="7" t="s">
        <v>1937</v>
      </c>
    </row>
    <row r="31" spans="1:7" x14ac:dyDescent="0.3">
      <c r="A31" t="s">
        <v>205</v>
      </c>
      <c r="B31" s="3">
        <v>0.15</v>
      </c>
      <c r="C31">
        <v>3</v>
      </c>
      <c r="D31">
        <f>C31*B31</f>
        <v>0.44999999999999996</v>
      </c>
      <c r="G31" s="7" t="s">
        <v>1938</v>
      </c>
    </row>
    <row r="32" spans="1:7" x14ac:dyDescent="0.3">
      <c r="A32" t="s">
        <v>202</v>
      </c>
      <c r="B32" s="3">
        <v>0.1</v>
      </c>
      <c r="C32">
        <v>4</v>
      </c>
      <c r="D32">
        <f t="shared" ref="D32:D38" si="2">C32*B32</f>
        <v>0.4</v>
      </c>
      <c r="G32" s="7" t="s">
        <v>1939</v>
      </c>
    </row>
    <row r="33" spans="1:7" x14ac:dyDescent="0.3">
      <c r="A33" t="s">
        <v>206</v>
      </c>
      <c r="B33" s="3">
        <v>0.1</v>
      </c>
      <c r="C33">
        <v>4</v>
      </c>
      <c r="D33">
        <f t="shared" si="2"/>
        <v>0.4</v>
      </c>
      <c r="G33" s="7" t="s">
        <v>409</v>
      </c>
    </row>
    <row r="34" spans="1:7" x14ac:dyDescent="0.3">
      <c r="A34" t="s">
        <v>91</v>
      </c>
      <c r="B34" s="3">
        <v>0.15</v>
      </c>
      <c r="C34">
        <v>3</v>
      </c>
      <c r="D34">
        <f t="shared" si="2"/>
        <v>0.44999999999999996</v>
      </c>
      <c r="G34" s="7" t="s">
        <v>177</v>
      </c>
    </row>
    <row r="35" spans="1:7" x14ac:dyDescent="0.3">
      <c r="A35" t="s">
        <v>90</v>
      </c>
      <c r="B35" s="3">
        <v>0.15</v>
      </c>
      <c r="C35">
        <v>3</v>
      </c>
      <c r="D35">
        <f t="shared" si="2"/>
        <v>0.44999999999999996</v>
      </c>
      <c r="G35" s="7" t="s">
        <v>410</v>
      </c>
    </row>
    <row r="36" spans="1:7" x14ac:dyDescent="0.3">
      <c r="A36" t="s">
        <v>203</v>
      </c>
      <c r="B36" s="3">
        <v>0.05</v>
      </c>
      <c r="C36">
        <v>4</v>
      </c>
      <c r="D36">
        <f t="shared" si="2"/>
        <v>0.2</v>
      </c>
      <c r="G36" s="7" t="s">
        <v>411</v>
      </c>
    </row>
    <row r="37" spans="1:7" x14ac:dyDescent="0.3">
      <c r="A37" t="s">
        <v>204</v>
      </c>
      <c r="B37" s="3">
        <v>0.05</v>
      </c>
      <c r="C37">
        <v>4</v>
      </c>
      <c r="D37">
        <f t="shared" si="2"/>
        <v>0.2</v>
      </c>
      <c r="G37" s="7" t="s">
        <v>1940</v>
      </c>
    </row>
    <row r="38" spans="1:7" x14ac:dyDescent="0.3">
      <c r="A38" t="s">
        <v>89</v>
      </c>
      <c r="B38" s="3">
        <v>0.1</v>
      </c>
      <c r="C38">
        <v>4</v>
      </c>
      <c r="D38">
        <f t="shared" si="2"/>
        <v>0.4</v>
      </c>
      <c r="G38" s="7" t="s">
        <v>1941</v>
      </c>
    </row>
    <row r="39" spans="1:7" x14ac:dyDescent="0.3">
      <c r="A39" t="s">
        <v>88</v>
      </c>
      <c r="B39" s="3">
        <v>0.15</v>
      </c>
      <c r="C39">
        <v>3</v>
      </c>
      <c r="D39">
        <f>C39*B39</f>
        <v>0.44999999999999996</v>
      </c>
      <c r="G39" s="7" t="s">
        <v>1942</v>
      </c>
    </row>
    <row r="40" spans="1:7" ht="15" thickBot="1" x14ac:dyDescent="0.35">
      <c r="B40" s="4">
        <f>SUM(B31:B39)</f>
        <v>1</v>
      </c>
      <c r="D40" s="6">
        <f>SUM(D31:D39)</f>
        <v>3.4000000000000004</v>
      </c>
      <c r="G40" s="7" t="s">
        <v>1943</v>
      </c>
    </row>
    <row r="41" spans="1:7" ht="15" thickTop="1" x14ac:dyDescent="0.3">
      <c r="G41" s="7" t="s">
        <v>1944</v>
      </c>
    </row>
    <row r="42" spans="1:7" x14ac:dyDescent="0.3">
      <c r="A42" t="s">
        <v>105</v>
      </c>
      <c r="G42" s="7" t="s">
        <v>409</v>
      </c>
    </row>
    <row r="43" spans="1:7" x14ac:dyDescent="0.3">
      <c r="A43" s="1" t="s">
        <v>0</v>
      </c>
      <c r="B43" s="1" t="s">
        <v>1</v>
      </c>
      <c r="C43" s="1" t="s">
        <v>201</v>
      </c>
      <c r="D43" s="1" t="s">
        <v>3</v>
      </c>
      <c r="G43" s="7" t="s">
        <v>177</v>
      </c>
    </row>
    <row r="44" spans="1:7" x14ac:dyDescent="0.3">
      <c r="A44" t="s">
        <v>205</v>
      </c>
      <c r="B44" s="3">
        <v>0.15</v>
      </c>
      <c r="C44">
        <v>4</v>
      </c>
      <c r="D44">
        <f>C44*B44</f>
        <v>0.6</v>
      </c>
      <c r="G44" s="7" t="s">
        <v>417</v>
      </c>
    </row>
    <row r="45" spans="1:7" x14ac:dyDescent="0.3">
      <c r="A45" t="s">
        <v>202</v>
      </c>
      <c r="B45" s="3">
        <v>0.1</v>
      </c>
      <c r="C45">
        <v>4</v>
      </c>
      <c r="D45">
        <f t="shared" ref="D45:D51" si="3">C45*B45</f>
        <v>0.4</v>
      </c>
      <c r="G45" s="7" t="s">
        <v>421</v>
      </c>
    </row>
    <row r="46" spans="1:7" x14ac:dyDescent="0.3">
      <c r="A46" t="s">
        <v>206</v>
      </c>
      <c r="B46" s="3">
        <v>0.1</v>
      </c>
      <c r="C46">
        <v>4</v>
      </c>
      <c r="D46">
        <f t="shared" si="3"/>
        <v>0.4</v>
      </c>
      <c r="G46" s="7" t="s">
        <v>1945</v>
      </c>
    </row>
    <row r="47" spans="1:7" x14ac:dyDescent="0.3">
      <c r="A47" t="s">
        <v>91</v>
      </c>
      <c r="B47" s="3">
        <v>0.15</v>
      </c>
      <c r="C47">
        <v>3</v>
      </c>
      <c r="D47">
        <f t="shared" si="3"/>
        <v>0.44999999999999996</v>
      </c>
      <c r="G47" s="7" t="s">
        <v>423</v>
      </c>
    </row>
    <row r="48" spans="1:7" x14ac:dyDescent="0.3">
      <c r="A48" t="s">
        <v>90</v>
      </c>
      <c r="B48" s="3">
        <v>0.15</v>
      </c>
      <c r="C48">
        <v>4</v>
      </c>
      <c r="D48">
        <f t="shared" si="3"/>
        <v>0.6</v>
      </c>
      <c r="G48" s="7" t="s">
        <v>393</v>
      </c>
    </row>
    <row r="49" spans="1:7" x14ac:dyDescent="0.3">
      <c r="A49" t="s">
        <v>203</v>
      </c>
      <c r="B49" s="3">
        <v>0.05</v>
      </c>
      <c r="C49">
        <v>4</v>
      </c>
      <c r="D49">
        <f t="shared" si="3"/>
        <v>0.2</v>
      </c>
      <c r="G49" s="7" t="s">
        <v>1946</v>
      </c>
    </row>
    <row r="50" spans="1:7" x14ac:dyDescent="0.3">
      <c r="A50" t="s">
        <v>204</v>
      </c>
      <c r="B50" s="3">
        <v>0.05</v>
      </c>
      <c r="C50">
        <v>4</v>
      </c>
      <c r="D50">
        <f t="shared" si="3"/>
        <v>0.2</v>
      </c>
      <c r="G50" s="7" t="s">
        <v>1947</v>
      </c>
    </row>
    <row r="51" spans="1:7" x14ac:dyDescent="0.3">
      <c r="A51" t="s">
        <v>89</v>
      </c>
      <c r="B51" s="3">
        <v>0.1</v>
      </c>
      <c r="C51">
        <v>4</v>
      </c>
      <c r="D51">
        <f t="shared" si="3"/>
        <v>0.4</v>
      </c>
      <c r="G51" s="7" t="s">
        <v>423</v>
      </c>
    </row>
    <row r="52" spans="1:7" x14ac:dyDescent="0.3">
      <c r="A52" t="s">
        <v>88</v>
      </c>
      <c r="B52" s="3">
        <v>0.15</v>
      </c>
      <c r="C52">
        <v>3</v>
      </c>
      <c r="D52">
        <f>C52*B52</f>
        <v>0.44999999999999996</v>
      </c>
      <c r="G52" s="7" t="s">
        <v>393</v>
      </c>
    </row>
    <row r="53" spans="1:7" ht="15" thickBot="1" x14ac:dyDescent="0.35">
      <c r="B53" s="4">
        <f>SUM(B44:B52)</f>
        <v>1</v>
      </c>
      <c r="D53" s="6">
        <f>SUM(D44:D52)</f>
        <v>3.7</v>
      </c>
      <c r="G53" s="7" t="s">
        <v>1948</v>
      </c>
    </row>
    <row r="54" spans="1:7" ht="15" thickTop="1" x14ac:dyDescent="0.3">
      <c r="G54" s="7" t="s">
        <v>1949</v>
      </c>
    </row>
    <row r="55" spans="1:7" x14ac:dyDescent="0.3">
      <c r="A55" t="s">
        <v>106</v>
      </c>
      <c r="G55" s="7" t="s">
        <v>420</v>
      </c>
    </row>
    <row r="56" spans="1:7" x14ac:dyDescent="0.3">
      <c r="A56" s="1" t="s">
        <v>0</v>
      </c>
      <c r="B56" s="1" t="s">
        <v>1</v>
      </c>
      <c r="C56" s="1" t="s">
        <v>201</v>
      </c>
      <c r="D56" s="1" t="s">
        <v>3</v>
      </c>
      <c r="G56" s="7" t="s">
        <v>393</v>
      </c>
    </row>
    <row r="57" spans="1:7" x14ac:dyDescent="0.3">
      <c r="A57" t="s">
        <v>205</v>
      </c>
      <c r="B57" s="3">
        <v>0.15</v>
      </c>
      <c r="C57">
        <v>4</v>
      </c>
      <c r="D57">
        <f>C57*B57</f>
        <v>0.6</v>
      </c>
      <c r="G57" s="7" t="s">
        <v>424</v>
      </c>
    </row>
    <row r="58" spans="1:7" x14ac:dyDescent="0.3">
      <c r="A58" t="s">
        <v>202</v>
      </c>
      <c r="B58" s="3">
        <v>0.1</v>
      </c>
      <c r="C58">
        <v>4</v>
      </c>
      <c r="D58">
        <f t="shared" ref="D58:D64" si="4">C58*B58</f>
        <v>0.4</v>
      </c>
      <c r="G58" s="7" t="s">
        <v>1950</v>
      </c>
    </row>
    <row r="59" spans="1:7" x14ac:dyDescent="0.3">
      <c r="A59" t="s">
        <v>206</v>
      </c>
      <c r="B59" s="3">
        <v>0.1</v>
      </c>
      <c r="C59">
        <v>3</v>
      </c>
      <c r="D59">
        <f t="shared" si="4"/>
        <v>0.30000000000000004</v>
      </c>
      <c r="G59" s="7" t="s">
        <v>420</v>
      </c>
    </row>
    <row r="60" spans="1:7" x14ac:dyDescent="0.3">
      <c r="A60" t="s">
        <v>91</v>
      </c>
      <c r="B60" s="3">
        <v>0.15</v>
      </c>
      <c r="C60">
        <v>4</v>
      </c>
      <c r="D60">
        <f t="shared" si="4"/>
        <v>0.6</v>
      </c>
      <c r="G60" s="7" t="s">
        <v>409</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430</v>
      </c>
    </row>
    <row r="63" spans="1:7" x14ac:dyDescent="0.3">
      <c r="A63" t="s">
        <v>204</v>
      </c>
      <c r="B63" s="3">
        <v>0.05</v>
      </c>
      <c r="C63">
        <v>4</v>
      </c>
      <c r="D63">
        <f t="shared" si="4"/>
        <v>0.2</v>
      </c>
      <c r="G63" s="7" t="s">
        <v>1951</v>
      </c>
    </row>
    <row r="64" spans="1:7" x14ac:dyDescent="0.3">
      <c r="A64" t="s">
        <v>89</v>
      </c>
      <c r="B64" s="3">
        <v>0.1</v>
      </c>
      <c r="C64">
        <v>4</v>
      </c>
      <c r="D64">
        <f t="shared" si="4"/>
        <v>0.4</v>
      </c>
      <c r="G64" s="7" t="s">
        <v>432</v>
      </c>
    </row>
    <row r="65" spans="1:7" x14ac:dyDescent="0.3">
      <c r="A65" t="s">
        <v>88</v>
      </c>
      <c r="B65" s="3">
        <v>0.15</v>
      </c>
      <c r="C65">
        <v>3</v>
      </c>
      <c r="D65">
        <f>C65*B65</f>
        <v>0.44999999999999996</v>
      </c>
      <c r="G65" s="7" t="s">
        <v>1952</v>
      </c>
    </row>
    <row r="66" spans="1:7" ht="15" thickBot="1" x14ac:dyDescent="0.35">
      <c r="B66" s="4">
        <f>SUM(B57:B65)</f>
        <v>1</v>
      </c>
      <c r="D66" s="6">
        <f>SUM(D57:D65)</f>
        <v>3.5999999999999996</v>
      </c>
      <c r="G66" t="s">
        <v>1953</v>
      </c>
    </row>
    <row r="67" spans="1:7" ht="15" thickTop="1" x14ac:dyDescent="0.3">
      <c r="G67" s="7" t="s">
        <v>165</v>
      </c>
    </row>
    <row r="68" spans="1:7" x14ac:dyDescent="0.3">
      <c r="A68" t="s">
        <v>107</v>
      </c>
      <c r="G68" s="7" t="s">
        <v>166</v>
      </c>
    </row>
    <row r="69" spans="1:7" x14ac:dyDescent="0.3">
      <c r="A69" s="1" t="s">
        <v>0</v>
      </c>
      <c r="B69" s="1" t="s">
        <v>1</v>
      </c>
      <c r="C69" s="1" t="s">
        <v>201</v>
      </c>
      <c r="D69" s="1" t="s">
        <v>3</v>
      </c>
      <c r="G69" t="s">
        <v>435</v>
      </c>
    </row>
    <row r="70" spans="1:7" x14ac:dyDescent="0.3">
      <c r="A70" t="s">
        <v>205</v>
      </c>
      <c r="B70" s="3">
        <v>0.15</v>
      </c>
      <c r="C70">
        <v>3</v>
      </c>
      <c r="D70">
        <f>C70*B70</f>
        <v>0.44999999999999996</v>
      </c>
      <c r="G70" s="7" t="s">
        <v>436</v>
      </c>
    </row>
    <row r="71" spans="1:7" x14ac:dyDescent="0.3">
      <c r="A71" t="s">
        <v>202</v>
      </c>
      <c r="B71" s="3">
        <v>0.1</v>
      </c>
      <c r="C71">
        <v>4</v>
      </c>
      <c r="D71">
        <f t="shared" ref="D71:D77" si="5">C71*B71</f>
        <v>0.4</v>
      </c>
      <c r="G71" s="7" t="s">
        <v>437</v>
      </c>
    </row>
    <row r="72" spans="1:7" x14ac:dyDescent="0.3">
      <c r="A72" t="s">
        <v>206</v>
      </c>
      <c r="B72" s="3">
        <v>0.1</v>
      </c>
      <c r="C72">
        <v>4</v>
      </c>
      <c r="D72">
        <f t="shared" si="5"/>
        <v>0.4</v>
      </c>
      <c r="G72" s="7" t="s">
        <v>438</v>
      </c>
    </row>
    <row r="73" spans="1:7" x14ac:dyDescent="0.3">
      <c r="A73" t="s">
        <v>91</v>
      </c>
      <c r="B73" s="3">
        <v>0.15</v>
      </c>
      <c r="C73">
        <v>4</v>
      </c>
      <c r="D73">
        <f t="shared" si="5"/>
        <v>0.6</v>
      </c>
      <c r="G73" s="7" t="s">
        <v>439</v>
      </c>
    </row>
    <row r="74" spans="1:7" x14ac:dyDescent="0.3">
      <c r="A74" t="s">
        <v>90</v>
      </c>
      <c r="B74" s="3">
        <v>0.15</v>
      </c>
      <c r="C74">
        <v>3</v>
      </c>
      <c r="D74">
        <f t="shared" si="5"/>
        <v>0.44999999999999996</v>
      </c>
      <c r="G74" s="7" t="s">
        <v>1954</v>
      </c>
    </row>
    <row r="75" spans="1:7" x14ac:dyDescent="0.3">
      <c r="A75" t="s">
        <v>203</v>
      </c>
      <c r="B75" s="3">
        <v>0.05</v>
      </c>
      <c r="C75">
        <v>4</v>
      </c>
      <c r="D75">
        <f t="shared" si="5"/>
        <v>0.2</v>
      </c>
      <c r="G75" t="s">
        <v>1955</v>
      </c>
    </row>
    <row r="76" spans="1:7" x14ac:dyDescent="0.3">
      <c r="A76" t="s">
        <v>204</v>
      </c>
      <c r="B76" s="3">
        <v>0.05</v>
      </c>
      <c r="C76">
        <v>4</v>
      </c>
      <c r="D76">
        <f t="shared" si="5"/>
        <v>0.2</v>
      </c>
      <c r="G76" s="7" t="s">
        <v>1956</v>
      </c>
    </row>
    <row r="77" spans="1:7" x14ac:dyDescent="0.3">
      <c r="A77" t="s">
        <v>89</v>
      </c>
      <c r="B77" s="3">
        <v>0.1</v>
      </c>
      <c r="C77">
        <v>5</v>
      </c>
      <c r="D77">
        <f t="shared" si="5"/>
        <v>0.5</v>
      </c>
      <c r="G77" s="7" t="s">
        <v>1957</v>
      </c>
    </row>
    <row r="78" spans="1:7" x14ac:dyDescent="0.3">
      <c r="A78" t="s">
        <v>88</v>
      </c>
      <c r="B78" s="3">
        <v>0.15</v>
      </c>
      <c r="C78">
        <v>4</v>
      </c>
      <c r="D78">
        <f>C78*B78</f>
        <v>0.6</v>
      </c>
      <c r="G78" s="7" t="s">
        <v>444</v>
      </c>
    </row>
    <row r="79" spans="1:7" ht="15" thickBot="1" x14ac:dyDescent="0.35">
      <c r="B79" s="4">
        <f>SUM(B70:B78)</f>
        <v>1</v>
      </c>
      <c r="D79" s="6">
        <f>SUM(D70:D78)</f>
        <v>3.8000000000000003</v>
      </c>
      <c r="G79" t="s">
        <v>1808</v>
      </c>
    </row>
    <row r="80" spans="1:7" ht="15" thickTop="1" x14ac:dyDescent="0.3">
      <c r="G80" s="7" t="s">
        <v>486</v>
      </c>
    </row>
    <row r="81" spans="1:7" x14ac:dyDescent="0.3">
      <c r="A81" t="s">
        <v>108</v>
      </c>
      <c r="G81" s="7" t="s">
        <v>1958</v>
      </c>
    </row>
    <row r="82" spans="1:7" x14ac:dyDescent="0.3">
      <c r="A82" s="1" t="s">
        <v>0</v>
      </c>
      <c r="B82" s="1" t="s">
        <v>1</v>
      </c>
      <c r="C82" s="1" t="s">
        <v>201</v>
      </c>
      <c r="D82" s="1" t="s">
        <v>3</v>
      </c>
      <c r="G82" s="7" t="s">
        <v>448</v>
      </c>
    </row>
    <row r="83" spans="1:7" x14ac:dyDescent="0.3">
      <c r="A83" t="s">
        <v>205</v>
      </c>
      <c r="B83" s="3">
        <v>0.15</v>
      </c>
      <c r="C83">
        <v>4</v>
      </c>
      <c r="D83">
        <f>C83*B83</f>
        <v>0.6</v>
      </c>
      <c r="G83" t="s">
        <v>393</v>
      </c>
    </row>
    <row r="84" spans="1:7" x14ac:dyDescent="0.3">
      <c r="A84" t="s">
        <v>202</v>
      </c>
      <c r="B84" s="3">
        <v>0.1</v>
      </c>
      <c r="C84">
        <v>4</v>
      </c>
      <c r="D84">
        <f t="shared" ref="D84:D90" si="6">C84*B84</f>
        <v>0.4</v>
      </c>
      <c r="G84" t="s">
        <v>449</v>
      </c>
    </row>
    <row r="85" spans="1:7" x14ac:dyDescent="0.3">
      <c r="A85" t="s">
        <v>206</v>
      </c>
      <c r="B85" s="3">
        <v>0.1</v>
      </c>
      <c r="C85">
        <v>4</v>
      </c>
      <c r="D85">
        <f t="shared" si="6"/>
        <v>0.4</v>
      </c>
      <c r="G85" t="s">
        <v>488</v>
      </c>
    </row>
    <row r="86" spans="1:7" x14ac:dyDescent="0.3">
      <c r="A86" t="s">
        <v>91</v>
      </c>
      <c r="B86" s="3">
        <v>0.15</v>
      </c>
      <c r="C86">
        <v>4</v>
      </c>
      <c r="D86">
        <f t="shared" si="6"/>
        <v>0.6</v>
      </c>
      <c r="G86" t="s">
        <v>655</v>
      </c>
    </row>
    <row r="87" spans="1:7" x14ac:dyDescent="0.3">
      <c r="A87" t="s">
        <v>90</v>
      </c>
      <c r="B87" s="3">
        <v>0.15</v>
      </c>
      <c r="C87">
        <v>5</v>
      </c>
      <c r="D87">
        <f t="shared" si="6"/>
        <v>0.75</v>
      </c>
      <c r="G87" t="s">
        <v>452</v>
      </c>
    </row>
    <row r="88" spans="1:7" x14ac:dyDescent="0.3">
      <c r="A88" t="s">
        <v>203</v>
      </c>
      <c r="B88" s="3">
        <v>0.05</v>
      </c>
      <c r="C88">
        <v>4</v>
      </c>
      <c r="D88">
        <f t="shared" si="6"/>
        <v>0.2</v>
      </c>
      <c r="G88" t="s">
        <v>1959</v>
      </c>
    </row>
    <row r="89" spans="1:7" x14ac:dyDescent="0.3">
      <c r="A89" t="s">
        <v>204</v>
      </c>
      <c r="B89" s="3">
        <v>0.05</v>
      </c>
      <c r="C89">
        <v>4</v>
      </c>
      <c r="D89">
        <f t="shared" si="6"/>
        <v>0.2</v>
      </c>
      <c r="G89" t="s">
        <v>1960</v>
      </c>
    </row>
    <row r="90" spans="1:7" x14ac:dyDescent="0.3">
      <c r="A90" t="s">
        <v>89</v>
      </c>
      <c r="B90" s="3">
        <v>0.1</v>
      </c>
      <c r="C90">
        <v>4</v>
      </c>
      <c r="D90">
        <f t="shared" si="6"/>
        <v>0.4</v>
      </c>
      <c r="G90" t="s">
        <v>1961</v>
      </c>
    </row>
    <row r="91" spans="1:7" x14ac:dyDescent="0.3">
      <c r="A91" t="s">
        <v>88</v>
      </c>
      <c r="B91" s="3">
        <v>0.15</v>
      </c>
      <c r="C91">
        <v>5</v>
      </c>
      <c r="D91">
        <f>C91*B91</f>
        <v>0.75</v>
      </c>
      <c r="G91" t="s">
        <v>1962</v>
      </c>
    </row>
    <row r="92" spans="1:7" ht="15" thickBot="1" x14ac:dyDescent="0.35">
      <c r="B92" s="4">
        <f>SUM(B83:B91)</f>
        <v>1</v>
      </c>
      <c r="D92" s="6">
        <f>SUM(D83:D91)</f>
        <v>4.3000000000000007</v>
      </c>
      <c r="G92" t="s">
        <v>1963</v>
      </c>
    </row>
    <row r="93" spans="1:7" ht="15" thickTop="1" x14ac:dyDescent="0.3">
      <c r="G93" t="s">
        <v>1964</v>
      </c>
    </row>
    <row r="94" spans="1:7" x14ac:dyDescent="0.3">
      <c r="A94" t="s">
        <v>109</v>
      </c>
      <c r="G94" t="s">
        <v>1965</v>
      </c>
    </row>
    <row r="95" spans="1:7" x14ac:dyDescent="0.3">
      <c r="A95" s="1" t="s">
        <v>0</v>
      </c>
      <c r="B95" s="1" t="s">
        <v>1</v>
      </c>
      <c r="C95" s="1" t="s">
        <v>201</v>
      </c>
      <c r="D95" s="1" t="s">
        <v>3</v>
      </c>
      <c r="G95" t="s">
        <v>1966</v>
      </c>
    </row>
    <row r="96" spans="1:7" x14ac:dyDescent="0.3">
      <c r="A96" t="s">
        <v>205</v>
      </c>
      <c r="B96" s="3">
        <v>0.15</v>
      </c>
      <c r="C96">
        <v>4</v>
      </c>
      <c r="D96">
        <f>C96*B96</f>
        <v>0.6</v>
      </c>
      <c r="G96" t="s">
        <v>1967</v>
      </c>
    </row>
    <row r="97" spans="1:7" x14ac:dyDescent="0.3">
      <c r="A97" t="s">
        <v>202</v>
      </c>
      <c r="B97" s="3">
        <v>0.1</v>
      </c>
      <c r="C97">
        <v>4</v>
      </c>
      <c r="D97">
        <f t="shared" ref="D97:D103" si="7">C97*B97</f>
        <v>0.4</v>
      </c>
      <c r="G97" t="s">
        <v>1968</v>
      </c>
    </row>
    <row r="98" spans="1:7" x14ac:dyDescent="0.3">
      <c r="A98" t="s">
        <v>206</v>
      </c>
      <c r="B98" s="3">
        <v>0.1</v>
      </c>
      <c r="C98">
        <v>5</v>
      </c>
      <c r="D98">
        <f t="shared" si="7"/>
        <v>0.5</v>
      </c>
      <c r="G98" t="s">
        <v>448</v>
      </c>
    </row>
    <row r="99" spans="1:7" x14ac:dyDescent="0.3">
      <c r="A99" t="s">
        <v>91</v>
      </c>
      <c r="B99" s="3">
        <v>0.15</v>
      </c>
      <c r="C99">
        <v>4</v>
      </c>
      <c r="D99">
        <f t="shared" si="7"/>
        <v>0.6</v>
      </c>
      <c r="G99" t="s">
        <v>393</v>
      </c>
    </row>
    <row r="100" spans="1:7" x14ac:dyDescent="0.3">
      <c r="A100" t="s">
        <v>90</v>
      </c>
      <c r="B100" s="3">
        <v>0.15</v>
      </c>
      <c r="C100">
        <v>4</v>
      </c>
      <c r="D100">
        <f t="shared" si="7"/>
        <v>0.6</v>
      </c>
      <c r="G100" t="s">
        <v>463</v>
      </c>
    </row>
    <row r="101" spans="1:7" x14ac:dyDescent="0.3">
      <c r="A101" t="s">
        <v>203</v>
      </c>
      <c r="B101" s="3">
        <v>0.05</v>
      </c>
      <c r="C101">
        <v>4</v>
      </c>
      <c r="D101">
        <f t="shared" si="7"/>
        <v>0.2</v>
      </c>
      <c r="G101" t="s">
        <v>464</v>
      </c>
    </row>
    <row r="102" spans="1:7" x14ac:dyDescent="0.3">
      <c r="A102" t="s">
        <v>204</v>
      </c>
      <c r="B102" s="3">
        <v>0.05</v>
      </c>
      <c r="C102">
        <v>4</v>
      </c>
      <c r="D102">
        <f t="shared" si="7"/>
        <v>0.2</v>
      </c>
      <c r="G102" t="s">
        <v>1969</v>
      </c>
    </row>
    <row r="103" spans="1:7" x14ac:dyDescent="0.3">
      <c r="A103" t="s">
        <v>89</v>
      </c>
      <c r="B103" s="3">
        <v>0.1</v>
      </c>
      <c r="C103">
        <v>4</v>
      </c>
      <c r="D103">
        <f t="shared" si="7"/>
        <v>0.4</v>
      </c>
      <c r="G103" t="s">
        <v>1970</v>
      </c>
    </row>
    <row r="104" spans="1:7" x14ac:dyDescent="0.3">
      <c r="A104" t="s">
        <v>88</v>
      </c>
      <c r="B104" s="3">
        <v>0.15</v>
      </c>
      <c r="C104">
        <v>4</v>
      </c>
      <c r="D104">
        <f>C104*B104</f>
        <v>0.6</v>
      </c>
      <c r="G104" t="s">
        <v>1971</v>
      </c>
    </row>
    <row r="105" spans="1:7" ht="15" thickBot="1" x14ac:dyDescent="0.35">
      <c r="B105" s="4">
        <f>SUM(B96:B104)</f>
        <v>1</v>
      </c>
      <c r="D105" s="6">
        <f>SUM(D96:D104)</f>
        <v>4.1000000000000005</v>
      </c>
      <c r="G105" t="s">
        <v>1972</v>
      </c>
    </row>
    <row r="106" spans="1:7" ht="15" thickTop="1" x14ac:dyDescent="0.3">
      <c r="G106" t="s">
        <v>1973</v>
      </c>
    </row>
    <row r="107" spans="1:7" x14ac:dyDescent="0.3">
      <c r="A107" t="s">
        <v>110</v>
      </c>
      <c r="G107" t="s">
        <v>448</v>
      </c>
    </row>
    <row r="108" spans="1:7" x14ac:dyDescent="0.3">
      <c r="A108" s="1" t="s">
        <v>0</v>
      </c>
      <c r="B108" s="1" t="s">
        <v>1</v>
      </c>
      <c r="C108" s="1" t="s">
        <v>201</v>
      </c>
      <c r="D108" s="1" t="s">
        <v>3</v>
      </c>
      <c r="G108" t="s">
        <v>393</v>
      </c>
    </row>
    <row r="109" spans="1:7" x14ac:dyDescent="0.3">
      <c r="A109" t="s">
        <v>205</v>
      </c>
      <c r="B109" s="3">
        <v>0.15</v>
      </c>
      <c r="C109">
        <v>4</v>
      </c>
      <c r="D109">
        <f>C109*B109</f>
        <v>0.6</v>
      </c>
      <c r="G109" t="s">
        <v>470</v>
      </c>
    </row>
    <row r="110" spans="1:7" x14ac:dyDescent="0.3">
      <c r="A110" t="s">
        <v>202</v>
      </c>
      <c r="B110" s="3">
        <v>0.1</v>
      </c>
      <c r="C110">
        <v>4</v>
      </c>
      <c r="D110">
        <f t="shared" ref="D110:D116" si="8">C110*B110</f>
        <v>0.4</v>
      </c>
      <c r="G110" t="s">
        <v>477</v>
      </c>
    </row>
    <row r="111" spans="1:7" x14ac:dyDescent="0.3">
      <c r="A111" t="s">
        <v>206</v>
      </c>
      <c r="B111" s="3">
        <v>0.1</v>
      </c>
      <c r="C111">
        <v>5</v>
      </c>
      <c r="D111">
        <f t="shared" si="8"/>
        <v>0.5</v>
      </c>
      <c r="G111" t="s">
        <v>1974</v>
      </c>
    </row>
    <row r="112" spans="1:7" x14ac:dyDescent="0.3">
      <c r="A112" t="s">
        <v>91</v>
      </c>
      <c r="B112" s="3">
        <v>0.15</v>
      </c>
      <c r="C112">
        <v>4</v>
      </c>
      <c r="D112">
        <f t="shared" si="8"/>
        <v>0.6</v>
      </c>
      <c r="G112" t="s">
        <v>473</v>
      </c>
    </row>
    <row r="113" spans="1:7" x14ac:dyDescent="0.3">
      <c r="A113" t="s">
        <v>90</v>
      </c>
      <c r="B113" s="3">
        <v>0.15</v>
      </c>
      <c r="C113">
        <v>4</v>
      </c>
      <c r="D113">
        <f t="shared" si="8"/>
        <v>0.6</v>
      </c>
      <c r="G113" t="s">
        <v>474</v>
      </c>
    </row>
    <row r="114" spans="1:7" x14ac:dyDescent="0.3">
      <c r="A114" t="s">
        <v>203</v>
      </c>
      <c r="B114" s="3">
        <v>0.05</v>
      </c>
      <c r="C114">
        <v>4</v>
      </c>
      <c r="D114">
        <f t="shared" si="8"/>
        <v>0.2</v>
      </c>
      <c r="G114" t="s">
        <v>504</v>
      </c>
    </row>
    <row r="115" spans="1:7" x14ac:dyDescent="0.3">
      <c r="A115" t="s">
        <v>204</v>
      </c>
      <c r="B115" s="3">
        <v>0.05</v>
      </c>
      <c r="C115">
        <v>4</v>
      </c>
      <c r="D115">
        <f t="shared" si="8"/>
        <v>0.2</v>
      </c>
      <c r="G115" t="s">
        <v>1975</v>
      </c>
    </row>
    <row r="116" spans="1:7" x14ac:dyDescent="0.3">
      <c r="A116" t="s">
        <v>89</v>
      </c>
      <c r="B116" s="3">
        <v>0.1</v>
      </c>
      <c r="C116">
        <v>4</v>
      </c>
      <c r="D116">
        <f t="shared" si="8"/>
        <v>0.4</v>
      </c>
      <c r="G116" t="s">
        <v>473</v>
      </c>
    </row>
    <row r="117" spans="1:7" x14ac:dyDescent="0.3">
      <c r="A117" t="s">
        <v>88</v>
      </c>
      <c r="B117" s="3">
        <v>0.15</v>
      </c>
      <c r="C117">
        <v>4</v>
      </c>
      <c r="D117">
        <f>C117*B117</f>
        <v>0.6</v>
      </c>
      <c r="G117" t="s">
        <v>474</v>
      </c>
    </row>
    <row r="118" spans="1:7" ht="15" thickBot="1" x14ac:dyDescent="0.35">
      <c r="B118" s="4">
        <f>SUM(B109:B117)</f>
        <v>1</v>
      </c>
      <c r="D118" s="6">
        <f>SUM(D109:D117)</f>
        <v>4.1000000000000005</v>
      </c>
      <c r="G118" t="s">
        <v>1824</v>
      </c>
    </row>
    <row r="119" spans="1:7" ht="15" thickTop="1" x14ac:dyDescent="0.3">
      <c r="G119" t="s">
        <v>1976</v>
      </c>
    </row>
    <row r="120" spans="1:7" x14ac:dyDescent="0.3">
      <c r="G120" t="s">
        <v>473</v>
      </c>
    </row>
    <row r="121" spans="1:7" x14ac:dyDescent="0.3">
      <c r="G121" t="s">
        <v>474</v>
      </c>
    </row>
    <row r="122" spans="1:7" x14ac:dyDescent="0.3">
      <c r="G122" t="s">
        <v>1977</v>
      </c>
    </row>
    <row r="123" spans="1:7" x14ac:dyDescent="0.3">
      <c r="G123" t="s">
        <v>1978</v>
      </c>
    </row>
    <row r="124" spans="1:7" x14ac:dyDescent="0.3">
      <c r="G124" t="s">
        <v>473</v>
      </c>
    </row>
    <row r="125" spans="1:7" x14ac:dyDescent="0.3">
      <c r="G125" t="s">
        <v>474</v>
      </c>
    </row>
    <row r="126" spans="1:7" x14ac:dyDescent="0.3">
      <c r="G126" t="s">
        <v>1979</v>
      </c>
    </row>
    <row r="127" spans="1:7" x14ac:dyDescent="0.3">
      <c r="G127" t="s">
        <v>1980</v>
      </c>
    </row>
    <row r="128" spans="1:7" x14ac:dyDescent="0.3">
      <c r="G128" t="s">
        <v>473</v>
      </c>
    </row>
    <row r="129" spans="7:7" x14ac:dyDescent="0.3">
      <c r="G129" t="s">
        <v>448</v>
      </c>
    </row>
    <row r="130" spans="7:7" x14ac:dyDescent="0.3">
      <c r="G130" t="s">
        <v>409</v>
      </c>
    </row>
    <row r="131" spans="7:7" x14ac:dyDescent="0.3">
      <c r="G131" t="s">
        <v>177</v>
      </c>
    </row>
    <row r="132" spans="7:7" x14ac:dyDescent="0.3">
      <c r="G132" t="s">
        <v>436</v>
      </c>
    </row>
    <row r="133" spans="7:7" x14ac:dyDescent="0.3">
      <c r="G133" t="s">
        <v>437</v>
      </c>
    </row>
    <row r="134" spans="7:7" x14ac:dyDescent="0.3">
      <c r="G134" t="s">
        <v>438</v>
      </c>
    </row>
    <row r="135" spans="7:7" x14ac:dyDescent="0.3">
      <c r="G135" t="s">
        <v>439</v>
      </c>
    </row>
    <row r="136" spans="7:7" x14ac:dyDescent="0.3">
      <c r="G136" t="s">
        <v>1956</v>
      </c>
    </row>
    <row r="137" spans="7:7" x14ac:dyDescent="0.3">
      <c r="G137" t="s">
        <v>1957</v>
      </c>
    </row>
    <row r="138" spans="7:7" x14ac:dyDescent="0.3">
      <c r="G138" t="s">
        <v>444</v>
      </c>
    </row>
    <row r="139" spans="7:7" x14ac:dyDescent="0.3">
      <c r="G139" t="s">
        <v>1981</v>
      </c>
    </row>
    <row r="140" spans="7:7" x14ac:dyDescent="0.3">
      <c r="G140" t="s">
        <v>445</v>
      </c>
    </row>
    <row r="141" spans="7:7" x14ac:dyDescent="0.3">
      <c r="G141" t="s">
        <v>1982</v>
      </c>
    </row>
    <row r="142" spans="7:7" x14ac:dyDescent="0.3">
      <c r="G142" t="s">
        <v>1983</v>
      </c>
    </row>
    <row r="143" spans="7:7" x14ac:dyDescent="0.3">
      <c r="G143" t="s">
        <v>1506</v>
      </c>
    </row>
    <row r="144" spans="7:7" x14ac:dyDescent="0.3">
      <c r="G144" t="s">
        <v>448</v>
      </c>
    </row>
    <row r="145" spans="7:7" x14ac:dyDescent="0.3">
      <c r="G145" t="s">
        <v>393</v>
      </c>
    </row>
    <row r="146" spans="7:7" x14ac:dyDescent="0.3">
      <c r="G146" t="s">
        <v>449</v>
      </c>
    </row>
    <row r="147" spans="7:7" x14ac:dyDescent="0.3">
      <c r="G147" t="s">
        <v>820</v>
      </c>
    </row>
    <row r="148" spans="7:7" x14ac:dyDescent="0.3">
      <c r="G148" t="s">
        <v>451</v>
      </c>
    </row>
    <row r="149" spans="7:7" x14ac:dyDescent="0.3">
      <c r="G149" t="s">
        <v>452</v>
      </c>
    </row>
    <row r="150" spans="7:7" x14ac:dyDescent="0.3">
      <c r="G150" t="s">
        <v>1984</v>
      </c>
    </row>
    <row r="151" spans="7:7" x14ac:dyDescent="0.3">
      <c r="G151" t="s">
        <v>1985</v>
      </c>
    </row>
    <row r="152" spans="7:7" x14ac:dyDescent="0.3">
      <c r="G152" t="s">
        <v>1986</v>
      </c>
    </row>
    <row r="153" spans="7:7" x14ac:dyDescent="0.3">
      <c r="G153" t="s">
        <v>1987</v>
      </c>
    </row>
    <row r="154" spans="7:7" x14ac:dyDescent="0.3">
      <c r="G154" t="s">
        <v>1988</v>
      </c>
    </row>
    <row r="155" spans="7:7" x14ac:dyDescent="0.3">
      <c r="G155" t="s">
        <v>1989</v>
      </c>
    </row>
    <row r="156" spans="7:7" x14ac:dyDescent="0.3">
      <c r="G156" t="s">
        <v>1990</v>
      </c>
    </row>
    <row r="157" spans="7:7" x14ac:dyDescent="0.3">
      <c r="G157" t="s">
        <v>1991</v>
      </c>
    </row>
    <row r="158" spans="7:7" x14ac:dyDescent="0.3">
      <c r="G158" t="s">
        <v>1992</v>
      </c>
    </row>
    <row r="159" spans="7:7" x14ac:dyDescent="0.3">
      <c r="G159" t="s">
        <v>1993</v>
      </c>
    </row>
    <row r="160" spans="7:7" x14ac:dyDescent="0.3">
      <c r="G160" t="s">
        <v>448</v>
      </c>
    </row>
    <row r="161" spans="7:7" x14ac:dyDescent="0.3">
      <c r="G161" t="s">
        <v>393</v>
      </c>
    </row>
    <row r="162" spans="7:7" x14ac:dyDescent="0.3">
      <c r="G162" t="s">
        <v>463</v>
      </c>
    </row>
    <row r="163" spans="7:7" x14ac:dyDescent="0.3">
      <c r="G163" t="s">
        <v>464</v>
      </c>
    </row>
    <row r="164" spans="7:7" x14ac:dyDescent="0.3">
      <c r="G164" t="s">
        <v>1994</v>
      </c>
    </row>
    <row r="165" spans="7:7" x14ac:dyDescent="0.3">
      <c r="G165" t="s">
        <v>1995</v>
      </c>
    </row>
    <row r="166" spans="7:7" x14ac:dyDescent="0.3">
      <c r="G166" t="s">
        <v>1996</v>
      </c>
    </row>
    <row r="167" spans="7:7" x14ac:dyDescent="0.3">
      <c r="G167" t="s">
        <v>1997</v>
      </c>
    </row>
    <row r="168" spans="7:7" x14ac:dyDescent="0.3">
      <c r="G168" t="s">
        <v>1998</v>
      </c>
    </row>
    <row r="169" spans="7:7" x14ac:dyDescent="0.3">
      <c r="G169" t="s">
        <v>448</v>
      </c>
    </row>
    <row r="170" spans="7:7" x14ac:dyDescent="0.3">
      <c r="G170" t="s">
        <v>393</v>
      </c>
    </row>
    <row r="171" spans="7:7" x14ac:dyDescent="0.3">
      <c r="G171" t="s">
        <v>470</v>
      </c>
    </row>
    <row r="172" spans="7:7" x14ac:dyDescent="0.3">
      <c r="G172" t="s">
        <v>477</v>
      </c>
    </row>
    <row r="173" spans="7:7" x14ac:dyDescent="0.3">
      <c r="G173" t="s">
        <v>1999</v>
      </c>
    </row>
    <row r="174" spans="7:7" x14ac:dyDescent="0.3">
      <c r="G174" t="s">
        <v>473</v>
      </c>
    </row>
    <row r="175" spans="7:7" x14ac:dyDescent="0.3">
      <c r="G175" t="s">
        <v>474</v>
      </c>
    </row>
    <row r="176" spans="7:7" x14ac:dyDescent="0.3">
      <c r="G176" t="s">
        <v>1977</v>
      </c>
    </row>
    <row r="177" spans="7:7" x14ac:dyDescent="0.3">
      <c r="G177" t="s">
        <v>2000</v>
      </c>
    </row>
    <row r="178" spans="7:7" x14ac:dyDescent="0.3">
      <c r="G178" t="s">
        <v>473</v>
      </c>
    </row>
    <row r="179" spans="7:7" x14ac:dyDescent="0.3">
      <c r="G179" t="s">
        <v>474</v>
      </c>
    </row>
    <row r="180" spans="7:7" x14ac:dyDescent="0.3">
      <c r="G180" t="s">
        <v>1522</v>
      </c>
    </row>
    <row r="181" spans="7:7" x14ac:dyDescent="0.3">
      <c r="G181" t="s">
        <v>2001</v>
      </c>
    </row>
    <row r="182" spans="7:7" x14ac:dyDescent="0.3">
      <c r="G182" t="s">
        <v>473</v>
      </c>
    </row>
    <row r="183" spans="7:7" x14ac:dyDescent="0.3">
      <c r="G183" t="s">
        <v>474</v>
      </c>
    </row>
    <row r="184" spans="7:7" x14ac:dyDescent="0.3">
      <c r="G184" t="s">
        <v>475</v>
      </c>
    </row>
    <row r="185" spans="7:7" x14ac:dyDescent="0.3">
      <c r="G185" t="s">
        <v>2002</v>
      </c>
    </row>
    <row r="186" spans="7:7" x14ac:dyDescent="0.3">
      <c r="G186" t="s">
        <v>473</v>
      </c>
    </row>
    <row r="187" spans="7:7" x14ac:dyDescent="0.3">
      <c r="G187" t="s">
        <v>448</v>
      </c>
    </row>
    <row r="188" spans="7:7" x14ac:dyDescent="0.3">
      <c r="G188" t="s">
        <v>409</v>
      </c>
    </row>
    <row r="189" spans="7:7" x14ac:dyDescent="0.3">
      <c r="G189" t="s">
        <v>177</v>
      </c>
    </row>
    <row r="190" spans="7:7" x14ac:dyDescent="0.3">
      <c r="G190" t="s">
        <v>436</v>
      </c>
    </row>
    <row r="191" spans="7:7" x14ac:dyDescent="0.3">
      <c r="G191" t="s">
        <v>437</v>
      </c>
    </row>
    <row r="192" spans="7:7" x14ac:dyDescent="0.3">
      <c r="G192" t="s">
        <v>438</v>
      </c>
    </row>
    <row r="193" spans="7:7" x14ac:dyDescent="0.3">
      <c r="G193" t="s">
        <v>439</v>
      </c>
    </row>
    <row r="194" spans="7:7" x14ac:dyDescent="0.3">
      <c r="G194" t="s">
        <v>2003</v>
      </c>
    </row>
    <row r="195" spans="7:7" x14ac:dyDescent="0.3">
      <c r="G195" t="s">
        <v>1956</v>
      </c>
    </row>
    <row r="196" spans="7:7" x14ac:dyDescent="0.3">
      <c r="G196" t="s">
        <v>1957</v>
      </c>
    </row>
    <row r="197" spans="7:7" x14ac:dyDescent="0.3">
      <c r="G197" t="s">
        <v>444</v>
      </c>
    </row>
    <row r="198" spans="7:7" x14ac:dyDescent="0.3">
      <c r="G198" t="s">
        <v>486</v>
      </c>
    </row>
    <row r="199" spans="7:7" x14ac:dyDescent="0.3">
      <c r="G199" t="s">
        <v>2004</v>
      </c>
    </row>
    <row r="200" spans="7:7" x14ac:dyDescent="0.3">
      <c r="G200" t="s">
        <v>2005</v>
      </c>
    </row>
    <row r="201" spans="7:7" x14ac:dyDescent="0.3">
      <c r="G201" t="s">
        <v>2006</v>
      </c>
    </row>
    <row r="202" spans="7:7" x14ac:dyDescent="0.3">
      <c r="G202" t="s">
        <v>448</v>
      </c>
    </row>
    <row r="203" spans="7:7" x14ac:dyDescent="0.3">
      <c r="G203" t="s">
        <v>393</v>
      </c>
    </row>
    <row r="204" spans="7:7" x14ac:dyDescent="0.3">
      <c r="G204" t="s">
        <v>449</v>
      </c>
    </row>
    <row r="205" spans="7:7" x14ac:dyDescent="0.3">
      <c r="G205" t="s">
        <v>488</v>
      </c>
    </row>
    <row r="206" spans="7:7" x14ac:dyDescent="0.3">
      <c r="G206" t="s">
        <v>451</v>
      </c>
    </row>
    <row r="207" spans="7:7" x14ac:dyDescent="0.3">
      <c r="G207" t="s">
        <v>452</v>
      </c>
    </row>
    <row r="208" spans="7:7" x14ac:dyDescent="0.3">
      <c r="G208" t="s">
        <v>2007</v>
      </c>
    </row>
    <row r="209" spans="7:7" x14ac:dyDescent="0.3">
      <c r="G209" t="s">
        <v>2008</v>
      </c>
    </row>
    <row r="210" spans="7:7" x14ac:dyDescent="0.3">
      <c r="G210" t="s">
        <v>2009</v>
      </c>
    </row>
    <row r="211" spans="7:7" x14ac:dyDescent="0.3">
      <c r="G211" t="s">
        <v>2010</v>
      </c>
    </row>
    <row r="212" spans="7:7" x14ac:dyDescent="0.3">
      <c r="G212" t="s">
        <v>2011</v>
      </c>
    </row>
    <row r="213" spans="7:7" x14ac:dyDescent="0.3">
      <c r="G213" t="s">
        <v>2012</v>
      </c>
    </row>
    <row r="214" spans="7:7" x14ac:dyDescent="0.3">
      <c r="G214" t="s">
        <v>2013</v>
      </c>
    </row>
    <row r="215" spans="7:7" x14ac:dyDescent="0.3">
      <c r="G215" t="s">
        <v>2014</v>
      </c>
    </row>
    <row r="216" spans="7:7" x14ac:dyDescent="0.3">
      <c r="G216" t="s">
        <v>2015</v>
      </c>
    </row>
    <row r="217" spans="7:7" x14ac:dyDescent="0.3">
      <c r="G217" t="s">
        <v>2016</v>
      </c>
    </row>
    <row r="218" spans="7:7" x14ac:dyDescent="0.3">
      <c r="G218" t="s">
        <v>448</v>
      </c>
    </row>
    <row r="219" spans="7:7" x14ac:dyDescent="0.3">
      <c r="G219" t="s">
        <v>393</v>
      </c>
    </row>
    <row r="220" spans="7:7" x14ac:dyDescent="0.3">
      <c r="G220" t="s">
        <v>463</v>
      </c>
    </row>
    <row r="221" spans="7:7" x14ac:dyDescent="0.3">
      <c r="G221" t="s">
        <v>464</v>
      </c>
    </row>
    <row r="222" spans="7:7" x14ac:dyDescent="0.3">
      <c r="G222" t="s">
        <v>2017</v>
      </c>
    </row>
    <row r="223" spans="7:7" x14ac:dyDescent="0.3">
      <c r="G223" t="s">
        <v>2018</v>
      </c>
    </row>
    <row r="224" spans="7:7" x14ac:dyDescent="0.3">
      <c r="G224" t="s">
        <v>2019</v>
      </c>
    </row>
    <row r="225" spans="7:7" x14ac:dyDescent="0.3">
      <c r="G225" t="s">
        <v>2020</v>
      </c>
    </row>
    <row r="226" spans="7:7" x14ac:dyDescent="0.3">
      <c r="G226" t="s">
        <v>2021</v>
      </c>
    </row>
    <row r="227" spans="7:7" x14ac:dyDescent="0.3">
      <c r="G227" t="s">
        <v>448</v>
      </c>
    </row>
    <row r="228" spans="7:7" x14ac:dyDescent="0.3">
      <c r="G228" t="s">
        <v>393</v>
      </c>
    </row>
    <row r="229" spans="7:7" x14ac:dyDescent="0.3">
      <c r="G229" t="s">
        <v>470</v>
      </c>
    </row>
    <row r="230" spans="7:7" x14ac:dyDescent="0.3">
      <c r="G230" t="s">
        <v>504</v>
      </c>
    </row>
    <row r="231" spans="7:7" x14ac:dyDescent="0.3">
      <c r="G231" t="s">
        <v>2022</v>
      </c>
    </row>
    <row r="232" spans="7:7" x14ac:dyDescent="0.3">
      <c r="G232" t="s">
        <v>473</v>
      </c>
    </row>
    <row r="233" spans="7:7" x14ac:dyDescent="0.3">
      <c r="G233" t="s">
        <v>474</v>
      </c>
    </row>
    <row r="234" spans="7:7" x14ac:dyDescent="0.3">
      <c r="G234" t="s">
        <v>1522</v>
      </c>
    </row>
    <row r="235" spans="7:7" x14ac:dyDescent="0.3">
      <c r="G235" t="s">
        <v>2023</v>
      </c>
    </row>
    <row r="236" spans="7:7" x14ac:dyDescent="0.3">
      <c r="G236" t="s">
        <v>473</v>
      </c>
    </row>
    <row r="237" spans="7:7" x14ac:dyDescent="0.3">
      <c r="G237" t="s">
        <v>474</v>
      </c>
    </row>
    <row r="238" spans="7:7" x14ac:dyDescent="0.3">
      <c r="G238" t="s">
        <v>1977</v>
      </c>
    </row>
    <row r="239" spans="7:7" x14ac:dyDescent="0.3">
      <c r="G239" t="s">
        <v>2024</v>
      </c>
    </row>
    <row r="240" spans="7:7" x14ac:dyDescent="0.3">
      <c r="G240" t="s">
        <v>473</v>
      </c>
    </row>
    <row r="241" spans="7:7" x14ac:dyDescent="0.3">
      <c r="G241" t="s">
        <v>474</v>
      </c>
    </row>
    <row r="242" spans="7:7" x14ac:dyDescent="0.3">
      <c r="G242" t="s">
        <v>477</v>
      </c>
    </row>
    <row r="243" spans="7:7" x14ac:dyDescent="0.3">
      <c r="G243" t="s">
        <v>2025</v>
      </c>
    </row>
    <row r="244" spans="7:7" x14ac:dyDescent="0.3">
      <c r="G244" t="s">
        <v>473</v>
      </c>
    </row>
    <row r="245" spans="7:7" x14ac:dyDescent="0.3">
      <c r="G245" t="s">
        <v>448</v>
      </c>
    </row>
    <row r="246" spans="7:7" x14ac:dyDescent="0.3">
      <c r="G246" t="s">
        <v>409</v>
      </c>
    </row>
    <row r="247" spans="7:7" x14ac:dyDescent="0.3">
      <c r="G247" t="s">
        <v>177</v>
      </c>
    </row>
    <row r="248" spans="7:7" x14ac:dyDescent="0.3">
      <c r="G248" t="s">
        <v>436</v>
      </c>
    </row>
    <row r="249" spans="7:7" x14ac:dyDescent="0.3">
      <c r="G249" t="s">
        <v>437</v>
      </c>
    </row>
    <row r="250" spans="7:7" x14ac:dyDescent="0.3">
      <c r="G250" t="s">
        <v>438</v>
      </c>
    </row>
    <row r="251" spans="7:7" x14ac:dyDescent="0.3">
      <c r="G251" t="s">
        <v>439</v>
      </c>
    </row>
    <row r="252" spans="7:7" x14ac:dyDescent="0.3">
      <c r="G252" t="s">
        <v>2026</v>
      </c>
    </row>
    <row r="253" spans="7:7" x14ac:dyDescent="0.3">
      <c r="G253" t="s">
        <v>1956</v>
      </c>
    </row>
    <row r="254" spans="7:7" x14ac:dyDescent="0.3">
      <c r="G254" t="s">
        <v>1957</v>
      </c>
    </row>
    <row r="255" spans="7:7" x14ac:dyDescent="0.3">
      <c r="G255" t="s">
        <v>444</v>
      </c>
    </row>
    <row r="256" spans="7:7" x14ac:dyDescent="0.3">
      <c r="G256" t="s">
        <v>1808</v>
      </c>
    </row>
    <row r="257" spans="7:7" x14ac:dyDescent="0.3">
      <c r="G257" t="s">
        <v>445</v>
      </c>
    </row>
    <row r="258" spans="7:7" x14ac:dyDescent="0.3">
      <c r="G258" t="s">
        <v>2027</v>
      </c>
    </row>
    <row r="259" spans="7:7" x14ac:dyDescent="0.3">
      <c r="G259" t="s">
        <v>2028</v>
      </c>
    </row>
    <row r="260" spans="7:7" x14ac:dyDescent="0.3">
      <c r="G260" t="s">
        <v>448</v>
      </c>
    </row>
    <row r="261" spans="7:7" x14ac:dyDescent="0.3">
      <c r="G261" t="s">
        <v>393</v>
      </c>
    </row>
    <row r="262" spans="7:7" x14ac:dyDescent="0.3">
      <c r="G262" t="s">
        <v>449</v>
      </c>
    </row>
    <row r="263" spans="7:7" x14ac:dyDescent="0.3">
      <c r="G263" t="s">
        <v>488</v>
      </c>
    </row>
    <row r="264" spans="7:7" x14ac:dyDescent="0.3">
      <c r="G264" t="s">
        <v>451</v>
      </c>
    </row>
    <row r="265" spans="7:7" x14ac:dyDescent="0.3">
      <c r="G265" t="s">
        <v>452</v>
      </c>
    </row>
    <row r="266" spans="7:7" x14ac:dyDescent="0.3">
      <c r="G266" t="s">
        <v>2029</v>
      </c>
    </row>
    <row r="267" spans="7:7" x14ac:dyDescent="0.3">
      <c r="G267" t="s">
        <v>2030</v>
      </c>
    </row>
    <row r="268" spans="7:7" x14ac:dyDescent="0.3">
      <c r="G268" t="s">
        <v>2031</v>
      </c>
    </row>
    <row r="269" spans="7:7" x14ac:dyDescent="0.3">
      <c r="G269" t="s">
        <v>448</v>
      </c>
    </row>
    <row r="270" spans="7:7" x14ac:dyDescent="0.3">
      <c r="G270" t="s">
        <v>393</v>
      </c>
    </row>
    <row r="271" spans="7:7" x14ac:dyDescent="0.3">
      <c r="G271" t="s">
        <v>463</v>
      </c>
    </row>
    <row r="272" spans="7:7" x14ac:dyDescent="0.3">
      <c r="G272" t="s">
        <v>464</v>
      </c>
    </row>
    <row r="273" spans="7:7" x14ac:dyDescent="0.3">
      <c r="G273" t="s">
        <v>2032</v>
      </c>
    </row>
    <row r="274" spans="7:7" x14ac:dyDescent="0.3">
      <c r="G274" t="s">
        <v>2033</v>
      </c>
    </row>
    <row r="275" spans="7:7" x14ac:dyDescent="0.3">
      <c r="G275" t="s">
        <v>2034</v>
      </c>
    </row>
    <row r="276" spans="7:7" x14ac:dyDescent="0.3">
      <c r="G276" t="s">
        <v>2035</v>
      </c>
    </row>
    <row r="277" spans="7:7" x14ac:dyDescent="0.3">
      <c r="G277" t="s">
        <v>2036</v>
      </c>
    </row>
    <row r="278" spans="7:7" x14ac:dyDescent="0.3">
      <c r="G278" t="s">
        <v>448</v>
      </c>
    </row>
    <row r="279" spans="7:7" x14ac:dyDescent="0.3">
      <c r="G279" t="s">
        <v>393</v>
      </c>
    </row>
    <row r="280" spans="7:7" x14ac:dyDescent="0.3">
      <c r="G280" t="s">
        <v>470</v>
      </c>
    </row>
    <row r="281" spans="7:7" x14ac:dyDescent="0.3">
      <c r="G281" t="s">
        <v>477</v>
      </c>
    </row>
    <row r="282" spans="7:7" x14ac:dyDescent="0.3">
      <c r="G282" t="s">
        <v>2037</v>
      </c>
    </row>
    <row r="283" spans="7:7" x14ac:dyDescent="0.3">
      <c r="G283" t="s">
        <v>473</v>
      </c>
    </row>
    <row r="284" spans="7:7" x14ac:dyDescent="0.3">
      <c r="G284" t="s">
        <v>474</v>
      </c>
    </row>
    <row r="285" spans="7:7" x14ac:dyDescent="0.3">
      <c r="G285" t="s">
        <v>475</v>
      </c>
    </row>
    <row r="286" spans="7:7" x14ac:dyDescent="0.3">
      <c r="G286" t="s">
        <v>2038</v>
      </c>
    </row>
    <row r="287" spans="7:7" x14ac:dyDescent="0.3">
      <c r="G287" t="s">
        <v>473</v>
      </c>
    </row>
    <row r="288" spans="7:7" x14ac:dyDescent="0.3">
      <c r="G288" t="s">
        <v>474</v>
      </c>
    </row>
    <row r="289" spans="7:7" x14ac:dyDescent="0.3">
      <c r="G289" t="s">
        <v>1977</v>
      </c>
    </row>
    <row r="290" spans="7:7" x14ac:dyDescent="0.3">
      <c r="G290" t="s">
        <v>2039</v>
      </c>
    </row>
    <row r="291" spans="7:7" x14ac:dyDescent="0.3">
      <c r="G291" t="s">
        <v>473</v>
      </c>
    </row>
    <row r="292" spans="7:7" x14ac:dyDescent="0.3">
      <c r="G292" t="s">
        <v>474</v>
      </c>
    </row>
    <row r="293" spans="7:7" x14ac:dyDescent="0.3">
      <c r="G293" t="s">
        <v>1824</v>
      </c>
    </row>
    <row r="294" spans="7:7" x14ac:dyDescent="0.3">
      <c r="G294" t="s">
        <v>2040</v>
      </c>
    </row>
    <row r="295" spans="7:7" x14ac:dyDescent="0.3">
      <c r="G295" t="s">
        <v>473</v>
      </c>
    </row>
    <row r="296" spans="7:7" x14ac:dyDescent="0.3">
      <c r="G296" t="s">
        <v>448</v>
      </c>
    </row>
    <row r="297" spans="7:7" x14ac:dyDescent="0.3">
      <c r="G297" t="s">
        <v>409</v>
      </c>
    </row>
    <row r="298" spans="7:7" x14ac:dyDescent="0.3">
      <c r="G298" t="s">
        <v>177</v>
      </c>
    </row>
    <row r="299" spans="7:7" x14ac:dyDescent="0.3">
      <c r="G299" t="s">
        <v>436</v>
      </c>
    </row>
    <row r="300" spans="7:7" x14ac:dyDescent="0.3">
      <c r="G300" t="s">
        <v>437</v>
      </c>
    </row>
    <row r="301" spans="7:7" x14ac:dyDescent="0.3">
      <c r="G301" t="s">
        <v>438</v>
      </c>
    </row>
    <row r="302" spans="7:7" x14ac:dyDescent="0.3">
      <c r="G302" t="s">
        <v>439</v>
      </c>
    </row>
    <row r="303" spans="7:7" x14ac:dyDescent="0.3">
      <c r="G303" t="s">
        <v>2041</v>
      </c>
    </row>
    <row r="304" spans="7:7" x14ac:dyDescent="0.3">
      <c r="G304" t="s">
        <v>1956</v>
      </c>
    </row>
    <row r="305" spans="7:7" x14ac:dyDescent="0.3">
      <c r="G305" t="s">
        <v>1957</v>
      </c>
    </row>
    <row r="306" spans="7:7" x14ac:dyDescent="0.3">
      <c r="G306" t="s">
        <v>444</v>
      </c>
    </row>
    <row r="307" spans="7:7" x14ac:dyDescent="0.3">
      <c r="G307" t="s">
        <v>1808</v>
      </c>
    </row>
    <row r="308" spans="7:7" x14ac:dyDescent="0.3">
      <c r="G308" t="s">
        <v>2042</v>
      </c>
    </row>
    <row r="309" spans="7:7" x14ac:dyDescent="0.3">
      <c r="G309" t="s">
        <v>486</v>
      </c>
    </row>
    <row r="310" spans="7:7" x14ac:dyDescent="0.3">
      <c r="G310" t="s">
        <v>2043</v>
      </c>
    </row>
    <row r="311" spans="7:7" x14ac:dyDescent="0.3">
      <c r="G311" t="s">
        <v>448</v>
      </c>
    </row>
    <row r="312" spans="7:7" x14ac:dyDescent="0.3">
      <c r="G312" t="s">
        <v>393</v>
      </c>
    </row>
    <row r="313" spans="7:7" x14ac:dyDescent="0.3">
      <c r="G313" t="s">
        <v>449</v>
      </c>
    </row>
    <row r="314" spans="7:7" x14ac:dyDescent="0.3">
      <c r="G314" t="s">
        <v>820</v>
      </c>
    </row>
    <row r="315" spans="7:7" x14ac:dyDescent="0.3">
      <c r="G315" t="s">
        <v>451</v>
      </c>
    </row>
    <row r="316" spans="7:7" x14ac:dyDescent="0.3">
      <c r="G316" t="s">
        <v>452</v>
      </c>
    </row>
    <row r="317" spans="7:7" x14ac:dyDescent="0.3">
      <c r="G317" t="s">
        <v>2044</v>
      </c>
    </row>
    <row r="318" spans="7:7" x14ac:dyDescent="0.3">
      <c r="G318" t="s">
        <v>2045</v>
      </c>
    </row>
    <row r="319" spans="7:7" x14ac:dyDescent="0.3">
      <c r="G319" t="s">
        <v>2046</v>
      </c>
    </row>
    <row r="320" spans="7:7" x14ac:dyDescent="0.3">
      <c r="G320" t="s">
        <v>2047</v>
      </c>
    </row>
    <row r="321" spans="7:7" x14ac:dyDescent="0.3">
      <c r="G321" t="s">
        <v>2048</v>
      </c>
    </row>
    <row r="322" spans="7:7" x14ac:dyDescent="0.3">
      <c r="G322" t="s">
        <v>2049</v>
      </c>
    </row>
    <row r="323" spans="7:7" x14ac:dyDescent="0.3">
      <c r="G323" t="s">
        <v>2050</v>
      </c>
    </row>
    <row r="324" spans="7:7" x14ac:dyDescent="0.3">
      <c r="G324" t="s">
        <v>2051</v>
      </c>
    </row>
    <row r="325" spans="7:7" x14ac:dyDescent="0.3">
      <c r="G325" t="s">
        <v>2052</v>
      </c>
    </row>
    <row r="326" spans="7:7" x14ac:dyDescent="0.3">
      <c r="G326" t="s">
        <v>2053</v>
      </c>
    </row>
    <row r="327" spans="7:7" x14ac:dyDescent="0.3">
      <c r="G327" t="s">
        <v>448</v>
      </c>
    </row>
    <row r="328" spans="7:7" x14ac:dyDescent="0.3">
      <c r="G328" t="s">
        <v>393</v>
      </c>
    </row>
    <row r="329" spans="7:7" x14ac:dyDescent="0.3">
      <c r="G329" t="s">
        <v>463</v>
      </c>
    </row>
    <row r="330" spans="7:7" x14ac:dyDescent="0.3">
      <c r="G330" t="s">
        <v>464</v>
      </c>
    </row>
    <row r="331" spans="7:7" x14ac:dyDescent="0.3">
      <c r="G331" t="s">
        <v>2054</v>
      </c>
    </row>
    <row r="332" spans="7:7" x14ac:dyDescent="0.3">
      <c r="G332" t="s">
        <v>2055</v>
      </c>
    </row>
    <row r="333" spans="7:7" x14ac:dyDescent="0.3">
      <c r="G333" t="s">
        <v>2056</v>
      </c>
    </row>
    <row r="334" spans="7:7" x14ac:dyDescent="0.3">
      <c r="G334" t="s">
        <v>2057</v>
      </c>
    </row>
    <row r="335" spans="7:7" x14ac:dyDescent="0.3">
      <c r="G335" t="s">
        <v>2058</v>
      </c>
    </row>
    <row r="336" spans="7:7" x14ac:dyDescent="0.3">
      <c r="G336" t="s">
        <v>448</v>
      </c>
    </row>
    <row r="337" spans="7:7" x14ac:dyDescent="0.3">
      <c r="G337" t="s">
        <v>393</v>
      </c>
    </row>
    <row r="338" spans="7:7" x14ac:dyDescent="0.3">
      <c r="G338" t="s">
        <v>470</v>
      </c>
    </row>
    <row r="339" spans="7:7" x14ac:dyDescent="0.3">
      <c r="G339" t="s">
        <v>1824</v>
      </c>
    </row>
    <row r="340" spans="7:7" x14ac:dyDescent="0.3">
      <c r="G340" t="s">
        <v>2059</v>
      </c>
    </row>
    <row r="341" spans="7:7" x14ac:dyDescent="0.3">
      <c r="G341" t="s">
        <v>473</v>
      </c>
    </row>
    <row r="342" spans="7:7" x14ac:dyDescent="0.3">
      <c r="G342" t="s">
        <v>474</v>
      </c>
    </row>
    <row r="343" spans="7:7" x14ac:dyDescent="0.3">
      <c r="G343" t="s">
        <v>504</v>
      </c>
    </row>
    <row r="344" spans="7:7" x14ac:dyDescent="0.3">
      <c r="G344" t="s">
        <v>2060</v>
      </c>
    </row>
    <row r="345" spans="7:7" x14ac:dyDescent="0.3">
      <c r="G345" t="s">
        <v>473</v>
      </c>
    </row>
    <row r="346" spans="7:7" x14ac:dyDescent="0.3">
      <c r="G346" t="s">
        <v>474</v>
      </c>
    </row>
    <row r="347" spans="7:7" x14ac:dyDescent="0.3">
      <c r="G347" t="s">
        <v>477</v>
      </c>
    </row>
    <row r="348" spans="7:7" x14ac:dyDescent="0.3">
      <c r="G348" t="s">
        <v>2061</v>
      </c>
    </row>
    <row r="349" spans="7:7" x14ac:dyDescent="0.3">
      <c r="G349" t="s">
        <v>473</v>
      </c>
    </row>
    <row r="350" spans="7:7" x14ac:dyDescent="0.3">
      <c r="G350" t="s">
        <v>474</v>
      </c>
    </row>
    <row r="351" spans="7:7" x14ac:dyDescent="0.3">
      <c r="G351" t="s">
        <v>1977</v>
      </c>
    </row>
    <row r="352" spans="7:7" x14ac:dyDescent="0.3">
      <c r="G352" t="s">
        <v>2062</v>
      </c>
    </row>
    <row r="353" spans="7:7" x14ac:dyDescent="0.3">
      <c r="G353" t="s">
        <v>473</v>
      </c>
    </row>
    <row r="354" spans="7:7" x14ac:dyDescent="0.3">
      <c r="G354" t="s">
        <v>448</v>
      </c>
    </row>
    <row r="355" spans="7:7" x14ac:dyDescent="0.3">
      <c r="G355" t="s">
        <v>409</v>
      </c>
    </row>
    <row r="356" spans="7:7" x14ac:dyDescent="0.3">
      <c r="G356" t="s">
        <v>177</v>
      </c>
    </row>
    <row r="357" spans="7:7" x14ac:dyDescent="0.3">
      <c r="G357" t="s">
        <v>436</v>
      </c>
    </row>
    <row r="358" spans="7:7" x14ac:dyDescent="0.3">
      <c r="G358" t="s">
        <v>437</v>
      </c>
    </row>
    <row r="359" spans="7:7" x14ac:dyDescent="0.3">
      <c r="G359" t="s">
        <v>438</v>
      </c>
    </row>
    <row r="360" spans="7:7" x14ac:dyDescent="0.3">
      <c r="G360" t="s">
        <v>439</v>
      </c>
    </row>
    <row r="361" spans="7:7" x14ac:dyDescent="0.3">
      <c r="G361" t="s">
        <v>2063</v>
      </c>
    </row>
    <row r="362" spans="7:7" x14ac:dyDescent="0.3">
      <c r="G362" t="s">
        <v>2064</v>
      </c>
    </row>
    <row r="363" spans="7:7" x14ac:dyDescent="0.3">
      <c r="G363" t="s">
        <v>1956</v>
      </c>
    </row>
    <row r="364" spans="7:7" x14ac:dyDescent="0.3">
      <c r="G364" t="s">
        <v>1957</v>
      </c>
    </row>
    <row r="365" spans="7:7" x14ac:dyDescent="0.3">
      <c r="G365" t="s">
        <v>444</v>
      </c>
    </row>
    <row r="366" spans="7:7" x14ac:dyDescent="0.3">
      <c r="G366" t="s">
        <v>1808</v>
      </c>
    </row>
    <row r="367" spans="7:7" x14ac:dyDescent="0.3">
      <c r="G367" t="s">
        <v>486</v>
      </c>
    </row>
    <row r="368" spans="7:7" x14ac:dyDescent="0.3">
      <c r="G368" t="s">
        <v>2065</v>
      </c>
    </row>
    <row r="369" spans="7:7" x14ac:dyDescent="0.3">
      <c r="G369" t="s">
        <v>448</v>
      </c>
    </row>
    <row r="370" spans="7:7" x14ac:dyDescent="0.3">
      <c r="G370" t="s">
        <v>393</v>
      </c>
    </row>
    <row r="371" spans="7:7" x14ac:dyDescent="0.3">
      <c r="G371" t="s">
        <v>449</v>
      </c>
    </row>
    <row r="372" spans="7:7" x14ac:dyDescent="0.3">
      <c r="G372" t="s">
        <v>820</v>
      </c>
    </row>
    <row r="373" spans="7:7" x14ac:dyDescent="0.3">
      <c r="G373" t="s">
        <v>451</v>
      </c>
    </row>
    <row r="374" spans="7:7" x14ac:dyDescent="0.3">
      <c r="G374" t="s">
        <v>452</v>
      </c>
    </row>
    <row r="375" spans="7:7" x14ac:dyDescent="0.3">
      <c r="G375" t="s">
        <v>2066</v>
      </c>
    </row>
    <row r="376" spans="7:7" x14ac:dyDescent="0.3">
      <c r="G376" t="s">
        <v>2067</v>
      </c>
    </row>
    <row r="377" spans="7:7" x14ac:dyDescent="0.3">
      <c r="G377" t="s">
        <v>2068</v>
      </c>
    </row>
    <row r="378" spans="7:7" x14ac:dyDescent="0.3">
      <c r="G378" t="s">
        <v>2069</v>
      </c>
    </row>
    <row r="379" spans="7:7" x14ac:dyDescent="0.3">
      <c r="G379" t="s">
        <v>2070</v>
      </c>
    </row>
    <row r="380" spans="7:7" x14ac:dyDescent="0.3">
      <c r="G380" t="s">
        <v>2071</v>
      </c>
    </row>
    <row r="381" spans="7:7" x14ac:dyDescent="0.3">
      <c r="G381" t="s">
        <v>2072</v>
      </c>
    </row>
    <row r="382" spans="7:7" x14ac:dyDescent="0.3">
      <c r="G382" t="s">
        <v>448</v>
      </c>
    </row>
    <row r="383" spans="7:7" x14ac:dyDescent="0.3">
      <c r="G383" t="s">
        <v>393</v>
      </c>
    </row>
    <row r="384" spans="7:7" x14ac:dyDescent="0.3">
      <c r="G384" t="s">
        <v>463</v>
      </c>
    </row>
    <row r="385" spans="7:7" x14ac:dyDescent="0.3">
      <c r="G385" t="s">
        <v>464</v>
      </c>
    </row>
    <row r="386" spans="7:7" x14ac:dyDescent="0.3">
      <c r="G386" t="s">
        <v>2073</v>
      </c>
    </row>
    <row r="387" spans="7:7" x14ac:dyDescent="0.3">
      <c r="G387" t="s">
        <v>2074</v>
      </c>
    </row>
    <row r="388" spans="7:7" x14ac:dyDescent="0.3">
      <c r="G388" t="s">
        <v>2075</v>
      </c>
    </row>
    <row r="389" spans="7:7" x14ac:dyDescent="0.3">
      <c r="G389" t="s">
        <v>2076</v>
      </c>
    </row>
    <row r="390" spans="7:7" x14ac:dyDescent="0.3">
      <c r="G390" t="s">
        <v>2077</v>
      </c>
    </row>
    <row r="391" spans="7:7" x14ac:dyDescent="0.3">
      <c r="G391" t="s">
        <v>448</v>
      </c>
    </row>
    <row r="392" spans="7:7" x14ac:dyDescent="0.3">
      <c r="G392" t="s">
        <v>393</v>
      </c>
    </row>
    <row r="393" spans="7:7" x14ac:dyDescent="0.3">
      <c r="G393" t="s">
        <v>470</v>
      </c>
    </row>
    <row r="394" spans="7:7" x14ac:dyDescent="0.3">
      <c r="G394" t="s">
        <v>477</v>
      </c>
    </row>
    <row r="395" spans="7:7" x14ac:dyDescent="0.3">
      <c r="G395" t="s">
        <v>2078</v>
      </c>
    </row>
    <row r="396" spans="7:7" x14ac:dyDescent="0.3">
      <c r="G396" t="s">
        <v>473</v>
      </c>
    </row>
    <row r="397" spans="7:7" x14ac:dyDescent="0.3">
      <c r="G397" t="s">
        <v>474</v>
      </c>
    </row>
    <row r="398" spans="7:7" x14ac:dyDescent="0.3">
      <c r="G398" t="s">
        <v>1977</v>
      </c>
    </row>
    <row r="399" spans="7:7" x14ac:dyDescent="0.3">
      <c r="G399" t="s">
        <v>2079</v>
      </c>
    </row>
    <row r="400" spans="7:7" x14ac:dyDescent="0.3">
      <c r="G400" t="s">
        <v>473</v>
      </c>
    </row>
    <row r="401" spans="7:7" x14ac:dyDescent="0.3">
      <c r="G401" t="s">
        <v>474</v>
      </c>
    </row>
    <row r="402" spans="7:7" x14ac:dyDescent="0.3">
      <c r="G402" t="s">
        <v>1824</v>
      </c>
    </row>
    <row r="403" spans="7:7" x14ac:dyDescent="0.3">
      <c r="G403" t="s">
        <v>2080</v>
      </c>
    </row>
    <row r="404" spans="7:7" x14ac:dyDescent="0.3">
      <c r="G404" t="s">
        <v>473</v>
      </c>
    </row>
    <row r="405" spans="7:7" x14ac:dyDescent="0.3">
      <c r="G405" t="s">
        <v>474</v>
      </c>
    </row>
    <row r="406" spans="7:7" x14ac:dyDescent="0.3">
      <c r="G406" t="s">
        <v>504</v>
      </c>
    </row>
    <row r="407" spans="7:7" x14ac:dyDescent="0.3">
      <c r="G407" t="s">
        <v>2081</v>
      </c>
    </row>
    <row r="408" spans="7:7" x14ac:dyDescent="0.3">
      <c r="G408" t="s">
        <v>473</v>
      </c>
    </row>
    <row r="409" spans="7:7" x14ac:dyDescent="0.3">
      <c r="G409" t="s">
        <v>448</v>
      </c>
    </row>
    <row r="410" spans="7:7" x14ac:dyDescent="0.3">
      <c r="G410" t="s">
        <v>409</v>
      </c>
    </row>
    <row r="411" spans="7:7" x14ac:dyDescent="0.3">
      <c r="G411" t="s">
        <v>177</v>
      </c>
    </row>
    <row r="412" spans="7:7" x14ac:dyDescent="0.3">
      <c r="G412" t="s">
        <v>436</v>
      </c>
    </row>
    <row r="413" spans="7:7" x14ac:dyDescent="0.3">
      <c r="G413" t="s">
        <v>437</v>
      </c>
    </row>
    <row r="414" spans="7:7" x14ac:dyDescent="0.3">
      <c r="G414" t="s">
        <v>438</v>
      </c>
    </row>
    <row r="415" spans="7:7" x14ac:dyDescent="0.3">
      <c r="G415" t="s">
        <v>439</v>
      </c>
    </row>
    <row r="416" spans="7:7" x14ac:dyDescent="0.3">
      <c r="G416" t="s">
        <v>1956</v>
      </c>
    </row>
    <row r="417" spans="7:7" x14ac:dyDescent="0.3">
      <c r="G417" t="s">
        <v>1957</v>
      </c>
    </row>
    <row r="418" spans="7:7" x14ac:dyDescent="0.3">
      <c r="G418" t="s">
        <v>444</v>
      </c>
    </row>
    <row r="419" spans="7:7" x14ac:dyDescent="0.3">
      <c r="G419" t="s">
        <v>1808</v>
      </c>
    </row>
    <row r="420" spans="7:7" x14ac:dyDescent="0.3">
      <c r="G420" t="s">
        <v>2082</v>
      </c>
    </row>
    <row r="421" spans="7:7" x14ac:dyDescent="0.3">
      <c r="G421" t="s">
        <v>2083</v>
      </c>
    </row>
    <row r="422" spans="7:7" x14ac:dyDescent="0.3">
      <c r="G422" t="s">
        <v>486</v>
      </c>
    </row>
    <row r="423" spans="7:7" x14ac:dyDescent="0.3">
      <c r="G423" t="s">
        <v>2084</v>
      </c>
    </row>
    <row r="424" spans="7:7" x14ac:dyDescent="0.3">
      <c r="G424" t="s">
        <v>448</v>
      </c>
    </row>
    <row r="425" spans="7:7" x14ac:dyDescent="0.3">
      <c r="G425" t="s">
        <v>393</v>
      </c>
    </row>
    <row r="426" spans="7:7" x14ac:dyDescent="0.3">
      <c r="G426" t="s">
        <v>449</v>
      </c>
    </row>
    <row r="427" spans="7:7" x14ac:dyDescent="0.3">
      <c r="G427" t="s">
        <v>820</v>
      </c>
    </row>
    <row r="428" spans="7:7" x14ac:dyDescent="0.3">
      <c r="G428" t="s">
        <v>451</v>
      </c>
    </row>
    <row r="429" spans="7:7" x14ac:dyDescent="0.3">
      <c r="G429" t="s">
        <v>452</v>
      </c>
    </row>
    <row r="430" spans="7:7" x14ac:dyDescent="0.3">
      <c r="G430" t="s">
        <v>2085</v>
      </c>
    </row>
    <row r="431" spans="7:7" x14ac:dyDescent="0.3">
      <c r="G431" t="s">
        <v>2086</v>
      </c>
    </row>
    <row r="432" spans="7:7" x14ac:dyDescent="0.3">
      <c r="G432" t="s">
        <v>2087</v>
      </c>
    </row>
    <row r="433" spans="7:7" x14ac:dyDescent="0.3">
      <c r="G433" t="s">
        <v>2088</v>
      </c>
    </row>
    <row r="434" spans="7:7" x14ac:dyDescent="0.3">
      <c r="G434" t="s">
        <v>2089</v>
      </c>
    </row>
    <row r="435" spans="7:7" x14ac:dyDescent="0.3">
      <c r="G435" t="s">
        <v>2090</v>
      </c>
    </row>
    <row r="436" spans="7:7" x14ac:dyDescent="0.3">
      <c r="G436" t="s">
        <v>2091</v>
      </c>
    </row>
    <row r="437" spans="7:7" x14ac:dyDescent="0.3">
      <c r="G437" t="s">
        <v>2092</v>
      </c>
    </row>
    <row r="438" spans="7:7" x14ac:dyDescent="0.3">
      <c r="G438" t="s">
        <v>2093</v>
      </c>
    </row>
    <row r="439" spans="7:7" x14ac:dyDescent="0.3">
      <c r="G439" t="s">
        <v>2094</v>
      </c>
    </row>
    <row r="440" spans="7:7" x14ac:dyDescent="0.3">
      <c r="G440" t="s">
        <v>448</v>
      </c>
    </row>
    <row r="441" spans="7:7" x14ac:dyDescent="0.3">
      <c r="G441" t="s">
        <v>393</v>
      </c>
    </row>
    <row r="442" spans="7:7" x14ac:dyDescent="0.3">
      <c r="G442" t="s">
        <v>463</v>
      </c>
    </row>
    <row r="443" spans="7:7" x14ac:dyDescent="0.3">
      <c r="G443" t="s">
        <v>464</v>
      </c>
    </row>
    <row r="444" spans="7:7" x14ac:dyDescent="0.3">
      <c r="G444" t="s">
        <v>2095</v>
      </c>
    </row>
    <row r="445" spans="7:7" x14ac:dyDescent="0.3">
      <c r="G445" t="s">
        <v>2096</v>
      </c>
    </row>
    <row r="446" spans="7:7" x14ac:dyDescent="0.3">
      <c r="G446" t="s">
        <v>2097</v>
      </c>
    </row>
    <row r="447" spans="7:7" x14ac:dyDescent="0.3">
      <c r="G447" t="s">
        <v>2098</v>
      </c>
    </row>
    <row r="448" spans="7:7" x14ac:dyDescent="0.3">
      <c r="G448" t="s">
        <v>2099</v>
      </c>
    </row>
    <row r="449" spans="7:7" x14ac:dyDescent="0.3">
      <c r="G449" t="s">
        <v>448</v>
      </c>
    </row>
    <row r="450" spans="7:7" x14ac:dyDescent="0.3">
      <c r="G450" t="s">
        <v>393</v>
      </c>
    </row>
    <row r="451" spans="7:7" x14ac:dyDescent="0.3">
      <c r="G451" t="s">
        <v>470</v>
      </c>
    </row>
    <row r="452" spans="7:7" x14ac:dyDescent="0.3">
      <c r="G452" t="s">
        <v>1824</v>
      </c>
    </row>
    <row r="453" spans="7:7" x14ac:dyDescent="0.3">
      <c r="G453" t="s">
        <v>2100</v>
      </c>
    </row>
    <row r="454" spans="7:7" x14ac:dyDescent="0.3">
      <c r="G454" t="s">
        <v>473</v>
      </c>
    </row>
    <row r="455" spans="7:7" x14ac:dyDescent="0.3">
      <c r="G455" t="s">
        <v>474</v>
      </c>
    </row>
    <row r="456" spans="7:7" x14ac:dyDescent="0.3">
      <c r="G456" t="s">
        <v>504</v>
      </c>
    </row>
    <row r="457" spans="7:7" x14ac:dyDescent="0.3">
      <c r="G457" t="s">
        <v>2101</v>
      </c>
    </row>
    <row r="458" spans="7:7" x14ac:dyDescent="0.3">
      <c r="G458" t="s">
        <v>473</v>
      </c>
    </row>
    <row r="459" spans="7:7" x14ac:dyDescent="0.3">
      <c r="G459" t="s">
        <v>474</v>
      </c>
    </row>
    <row r="460" spans="7:7" x14ac:dyDescent="0.3">
      <c r="G460" t="s">
        <v>1977</v>
      </c>
    </row>
    <row r="461" spans="7:7" x14ac:dyDescent="0.3">
      <c r="G461" t="s">
        <v>2102</v>
      </c>
    </row>
    <row r="462" spans="7:7" x14ac:dyDescent="0.3">
      <c r="G462" t="s">
        <v>473</v>
      </c>
    </row>
    <row r="463" spans="7:7" x14ac:dyDescent="0.3">
      <c r="G463" t="s">
        <v>474</v>
      </c>
    </row>
    <row r="464" spans="7:7" x14ac:dyDescent="0.3">
      <c r="G464" t="s">
        <v>477</v>
      </c>
    </row>
    <row r="465" spans="7:7" x14ac:dyDescent="0.3">
      <c r="G465" t="s">
        <v>2103</v>
      </c>
    </row>
    <row r="466" spans="7:7" x14ac:dyDescent="0.3">
      <c r="G466" t="s">
        <v>473</v>
      </c>
    </row>
    <row r="467" spans="7:7" x14ac:dyDescent="0.3">
      <c r="G467" t="s">
        <v>448</v>
      </c>
    </row>
    <row r="468" spans="7:7" x14ac:dyDescent="0.3">
      <c r="G468" t="s">
        <v>409</v>
      </c>
    </row>
    <row r="469" spans="7:7" x14ac:dyDescent="0.3">
      <c r="G469" t="s">
        <v>177</v>
      </c>
    </row>
    <row r="470" spans="7:7" x14ac:dyDescent="0.3">
      <c r="G470" t="s">
        <v>436</v>
      </c>
    </row>
    <row r="471" spans="7:7" x14ac:dyDescent="0.3">
      <c r="G471" t="s">
        <v>437</v>
      </c>
    </row>
    <row r="472" spans="7:7" x14ac:dyDescent="0.3">
      <c r="G472" t="s">
        <v>438</v>
      </c>
    </row>
    <row r="473" spans="7:7" x14ac:dyDescent="0.3">
      <c r="G473" t="s">
        <v>439</v>
      </c>
    </row>
    <row r="474" spans="7:7" x14ac:dyDescent="0.3">
      <c r="G474" t="s">
        <v>2104</v>
      </c>
    </row>
    <row r="475" spans="7:7" x14ac:dyDescent="0.3">
      <c r="G475" t="s">
        <v>1956</v>
      </c>
    </row>
    <row r="476" spans="7:7" x14ac:dyDescent="0.3">
      <c r="G476" t="s">
        <v>1957</v>
      </c>
    </row>
    <row r="477" spans="7:7" x14ac:dyDescent="0.3">
      <c r="G477" t="s">
        <v>444</v>
      </c>
    </row>
    <row r="478" spans="7:7" x14ac:dyDescent="0.3">
      <c r="G478" t="s">
        <v>1808</v>
      </c>
    </row>
    <row r="479" spans="7:7" x14ac:dyDescent="0.3">
      <c r="G479" t="s">
        <v>445</v>
      </c>
    </row>
    <row r="480" spans="7:7" x14ac:dyDescent="0.3">
      <c r="G480" t="s">
        <v>2105</v>
      </c>
    </row>
    <row r="481" spans="7:7" x14ac:dyDescent="0.3">
      <c r="G481" t="s">
        <v>2106</v>
      </c>
    </row>
    <row r="482" spans="7:7" x14ac:dyDescent="0.3">
      <c r="G482" t="s">
        <v>448</v>
      </c>
    </row>
    <row r="483" spans="7:7" x14ac:dyDescent="0.3">
      <c r="G483" t="s">
        <v>393</v>
      </c>
    </row>
    <row r="484" spans="7:7" x14ac:dyDescent="0.3">
      <c r="G484" t="s">
        <v>449</v>
      </c>
    </row>
    <row r="485" spans="7:7" x14ac:dyDescent="0.3">
      <c r="G485" t="s">
        <v>450</v>
      </c>
    </row>
    <row r="486" spans="7:7" x14ac:dyDescent="0.3">
      <c r="G486" t="s">
        <v>451</v>
      </c>
    </row>
    <row r="487" spans="7:7" x14ac:dyDescent="0.3">
      <c r="G487" t="s">
        <v>452</v>
      </c>
    </row>
    <row r="488" spans="7:7" x14ac:dyDescent="0.3">
      <c r="G488" t="s">
        <v>2107</v>
      </c>
    </row>
    <row r="489" spans="7:7" x14ac:dyDescent="0.3">
      <c r="G489" t="s">
        <v>2108</v>
      </c>
    </row>
    <row r="490" spans="7:7" x14ac:dyDescent="0.3">
      <c r="G490" t="s">
        <v>2109</v>
      </c>
    </row>
    <row r="491" spans="7:7" x14ac:dyDescent="0.3">
      <c r="G491" t="s">
        <v>2110</v>
      </c>
    </row>
    <row r="492" spans="7:7" x14ac:dyDescent="0.3">
      <c r="G492" t="s">
        <v>2111</v>
      </c>
    </row>
    <row r="493" spans="7:7" x14ac:dyDescent="0.3">
      <c r="G493" t="s">
        <v>2112</v>
      </c>
    </row>
    <row r="494" spans="7:7" x14ac:dyDescent="0.3">
      <c r="G494" t="s">
        <v>2113</v>
      </c>
    </row>
    <row r="495" spans="7:7" x14ac:dyDescent="0.3">
      <c r="G495" t="s">
        <v>448</v>
      </c>
    </row>
    <row r="496" spans="7:7" x14ac:dyDescent="0.3">
      <c r="G496" t="s">
        <v>393</v>
      </c>
    </row>
    <row r="497" spans="7:7" x14ac:dyDescent="0.3">
      <c r="G497" t="s">
        <v>463</v>
      </c>
    </row>
    <row r="498" spans="7:7" x14ac:dyDescent="0.3">
      <c r="G498" t="s">
        <v>464</v>
      </c>
    </row>
    <row r="499" spans="7:7" x14ac:dyDescent="0.3">
      <c r="G499" t="s">
        <v>2114</v>
      </c>
    </row>
    <row r="500" spans="7:7" x14ac:dyDescent="0.3">
      <c r="G500" t="s">
        <v>2115</v>
      </c>
    </row>
    <row r="501" spans="7:7" x14ac:dyDescent="0.3">
      <c r="G501" t="s">
        <v>2116</v>
      </c>
    </row>
    <row r="502" spans="7:7" x14ac:dyDescent="0.3">
      <c r="G502" t="s">
        <v>2117</v>
      </c>
    </row>
    <row r="503" spans="7:7" x14ac:dyDescent="0.3">
      <c r="G503" t="s">
        <v>2118</v>
      </c>
    </row>
    <row r="504" spans="7:7" x14ac:dyDescent="0.3">
      <c r="G504" t="s">
        <v>448</v>
      </c>
    </row>
    <row r="505" spans="7:7" x14ac:dyDescent="0.3">
      <c r="G505" t="s">
        <v>393</v>
      </c>
    </row>
    <row r="506" spans="7:7" x14ac:dyDescent="0.3">
      <c r="G506" t="s">
        <v>470</v>
      </c>
    </row>
    <row r="507" spans="7:7" x14ac:dyDescent="0.3">
      <c r="G507" t="s">
        <v>477</v>
      </c>
    </row>
    <row r="508" spans="7:7" x14ac:dyDescent="0.3">
      <c r="G508" t="s">
        <v>2119</v>
      </c>
    </row>
    <row r="509" spans="7:7" x14ac:dyDescent="0.3">
      <c r="G509" t="s">
        <v>473</v>
      </c>
    </row>
    <row r="510" spans="7:7" x14ac:dyDescent="0.3">
      <c r="G510" t="s">
        <v>474</v>
      </c>
    </row>
    <row r="511" spans="7:7" x14ac:dyDescent="0.3">
      <c r="G511" t="s">
        <v>475</v>
      </c>
    </row>
    <row r="512" spans="7:7" x14ac:dyDescent="0.3">
      <c r="G512" t="s">
        <v>2120</v>
      </c>
    </row>
    <row r="513" spans="7:7" x14ac:dyDescent="0.3">
      <c r="G513" t="s">
        <v>601</v>
      </c>
    </row>
    <row r="514" spans="7:7" x14ac:dyDescent="0.3">
      <c r="G514" t="s">
        <v>474</v>
      </c>
    </row>
    <row r="515" spans="7:7" x14ac:dyDescent="0.3">
      <c r="G515" t="s">
        <v>1977</v>
      </c>
    </row>
    <row r="516" spans="7:7" x14ac:dyDescent="0.3">
      <c r="G516" t="s">
        <v>2121</v>
      </c>
    </row>
    <row r="517" spans="7:7" x14ac:dyDescent="0.3">
      <c r="G517" t="s">
        <v>473</v>
      </c>
    </row>
    <row r="518" spans="7:7" x14ac:dyDescent="0.3">
      <c r="G518" t="s">
        <v>474</v>
      </c>
    </row>
    <row r="519" spans="7:7" x14ac:dyDescent="0.3">
      <c r="G519" t="s">
        <v>1824</v>
      </c>
    </row>
    <row r="520" spans="7:7" x14ac:dyDescent="0.3">
      <c r="G520" t="s">
        <v>2122</v>
      </c>
    </row>
    <row r="521" spans="7:7" x14ac:dyDescent="0.3">
      <c r="G521" t="s">
        <v>473</v>
      </c>
    </row>
    <row r="522" spans="7:7" x14ac:dyDescent="0.3">
      <c r="G522" t="s">
        <v>448</v>
      </c>
    </row>
    <row r="523" spans="7:7" x14ac:dyDescent="0.3">
      <c r="G523" t="s">
        <v>409</v>
      </c>
    </row>
    <row r="524" spans="7:7" x14ac:dyDescent="0.3">
      <c r="G524" t="s">
        <v>177</v>
      </c>
    </row>
    <row r="525" spans="7:7" x14ac:dyDescent="0.3">
      <c r="G525" t="s">
        <v>436</v>
      </c>
    </row>
    <row r="526" spans="7:7" x14ac:dyDescent="0.3">
      <c r="G526" t="s">
        <v>437</v>
      </c>
    </row>
    <row r="527" spans="7:7" x14ac:dyDescent="0.3">
      <c r="G527" t="s">
        <v>438</v>
      </c>
    </row>
    <row r="528" spans="7:7" x14ac:dyDescent="0.3">
      <c r="G528" t="s">
        <v>439</v>
      </c>
    </row>
    <row r="529" spans="7:7" x14ac:dyDescent="0.3">
      <c r="G529" t="s">
        <v>1956</v>
      </c>
    </row>
    <row r="530" spans="7:7" x14ac:dyDescent="0.3">
      <c r="G530" t="s">
        <v>1957</v>
      </c>
    </row>
    <row r="531" spans="7:7" x14ac:dyDescent="0.3">
      <c r="G531" t="s">
        <v>444</v>
      </c>
    </row>
    <row r="532" spans="7:7" x14ac:dyDescent="0.3">
      <c r="G532" t="s">
        <v>486</v>
      </c>
    </row>
    <row r="533" spans="7:7" x14ac:dyDescent="0.3">
      <c r="G533" t="s">
        <v>2123</v>
      </c>
    </row>
    <row r="534" spans="7:7" x14ac:dyDescent="0.3">
      <c r="G534" t="s">
        <v>2124</v>
      </c>
    </row>
    <row r="535" spans="7:7" x14ac:dyDescent="0.3">
      <c r="G535" t="s">
        <v>2125</v>
      </c>
    </row>
    <row r="536" spans="7:7" x14ac:dyDescent="0.3">
      <c r="G536" t="s">
        <v>1506</v>
      </c>
    </row>
    <row r="537" spans="7:7" x14ac:dyDescent="0.3">
      <c r="G537" t="s">
        <v>448</v>
      </c>
    </row>
    <row r="538" spans="7:7" x14ac:dyDescent="0.3">
      <c r="G538" t="s">
        <v>393</v>
      </c>
    </row>
    <row r="539" spans="7:7" x14ac:dyDescent="0.3">
      <c r="G539" t="s">
        <v>449</v>
      </c>
    </row>
    <row r="540" spans="7:7" x14ac:dyDescent="0.3">
      <c r="G540" t="s">
        <v>488</v>
      </c>
    </row>
    <row r="541" spans="7:7" x14ac:dyDescent="0.3">
      <c r="G541" t="s">
        <v>451</v>
      </c>
    </row>
    <row r="542" spans="7:7" x14ac:dyDescent="0.3">
      <c r="G542" t="s">
        <v>452</v>
      </c>
    </row>
    <row r="543" spans="7:7" x14ac:dyDescent="0.3">
      <c r="G543" t="s">
        <v>2126</v>
      </c>
    </row>
    <row r="544" spans="7:7" x14ac:dyDescent="0.3">
      <c r="G544" t="s">
        <v>2127</v>
      </c>
    </row>
    <row r="545" spans="7:7" x14ac:dyDescent="0.3">
      <c r="G545" t="s">
        <v>2128</v>
      </c>
    </row>
    <row r="546" spans="7:7" x14ac:dyDescent="0.3">
      <c r="G546" t="s">
        <v>2129</v>
      </c>
    </row>
    <row r="547" spans="7:7" x14ac:dyDescent="0.3">
      <c r="G547" t="s">
        <v>2130</v>
      </c>
    </row>
    <row r="548" spans="7:7" x14ac:dyDescent="0.3">
      <c r="G548" t="s">
        <v>2131</v>
      </c>
    </row>
    <row r="549" spans="7:7" x14ac:dyDescent="0.3">
      <c r="G549" t="s">
        <v>2132</v>
      </c>
    </row>
    <row r="550" spans="7:7" x14ac:dyDescent="0.3">
      <c r="G550" t="s">
        <v>448</v>
      </c>
    </row>
    <row r="551" spans="7:7" x14ac:dyDescent="0.3">
      <c r="G551" t="s">
        <v>393</v>
      </c>
    </row>
    <row r="552" spans="7:7" x14ac:dyDescent="0.3">
      <c r="G552" t="s">
        <v>463</v>
      </c>
    </row>
    <row r="553" spans="7:7" x14ac:dyDescent="0.3">
      <c r="G553" t="s">
        <v>464</v>
      </c>
    </row>
    <row r="554" spans="7:7" x14ac:dyDescent="0.3">
      <c r="G554" t="s">
        <v>2133</v>
      </c>
    </row>
    <row r="555" spans="7:7" x14ac:dyDescent="0.3">
      <c r="G555" t="s">
        <v>2134</v>
      </c>
    </row>
    <row r="556" spans="7:7" x14ac:dyDescent="0.3">
      <c r="G556" t="s">
        <v>2135</v>
      </c>
    </row>
    <row r="557" spans="7:7" x14ac:dyDescent="0.3">
      <c r="G557" t="s">
        <v>2136</v>
      </c>
    </row>
    <row r="558" spans="7:7" x14ac:dyDescent="0.3">
      <c r="G558" t="s">
        <v>2137</v>
      </c>
    </row>
    <row r="559" spans="7:7" x14ac:dyDescent="0.3">
      <c r="G559" t="s">
        <v>448</v>
      </c>
    </row>
    <row r="560" spans="7:7" x14ac:dyDescent="0.3">
      <c r="G560" t="s">
        <v>393</v>
      </c>
    </row>
    <row r="561" spans="7:7" x14ac:dyDescent="0.3">
      <c r="G561" t="s">
        <v>470</v>
      </c>
    </row>
    <row r="562" spans="7:7" x14ac:dyDescent="0.3">
      <c r="G562" t="s">
        <v>1522</v>
      </c>
    </row>
    <row r="563" spans="7:7" x14ac:dyDescent="0.3">
      <c r="G563" t="s">
        <v>2138</v>
      </c>
    </row>
    <row r="564" spans="7:7" x14ac:dyDescent="0.3">
      <c r="G564" t="s">
        <v>601</v>
      </c>
    </row>
    <row r="565" spans="7:7" x14ac:dyDescent="0.3">
      <c r="G565" t="s">
        <v>474</v>
      </c>
    </row>
    <row r="566" spans="7:7" x14ac:dyDescent="0.3">
      <c r="G566" t="s">
        <v>477</v>
      </c>
    </row>
    <row r="567" spans="7:7" x14ac:dyDescent="0.3">
      <c r="G567" t="s">
        <v>2139</v>
      </c>
    </row>
    <row r="568" spans="7:7" x14ac:dyDescent="0.3">
      <c r="G568" t="s">
        <v>473</v>
      </c>
    </row>
    <row r="569" spans="7:7" x14ac:dyDescent="0.3">
      <c r="G569" t="s">
        <v>474</v>
      </c>
    </row>
    <row r="570" spans="7:7" x14ac:dyDescent="0.3">
      <c r="G570" t="s">
        <v>504</v>
      </c>
    </row>
    <row r="571" spans="7:7" x14ac:dyDescent="0.3">
      <c r="G571" t="s">
        <v>2140</v>
      </c>
    </row>
    <row r="572" spans="7:7" x14ac:dyDescent="0.3">
      <c r="G572" t="s">
        <v>473</v>
      </c>
    </row>
    <row r="573" spans="7:7" x14ac:dyDescent="0.3">
      <c r="G573" t="s">
        <v>474</v>
      </c>
    </row>
    <row r="574" spans="7:7" x14ac:dyDescent="0.3">
      <c r="G574" t="s">
        <v>1977</v>
      </c>
    </row>
    <row r="575" spans="7:7" x14ac:dyDescent="0.3">
      <c r="G575" t="s">
        <v>2141</v>
      </c>
    </row>
    <row r="576" spans="7:7" x14ac:dyDescent="0.3">
      <c r="G576" t="s">
        <v>473</v>
      </c>
    </row>
    <row r="577" spans="7:7" x14ac:dyDescent="0.3">
      <c r="G577" t="s">
        <v>448</v>
      </c>
    </row>
    <row r="578" spans="7:7" x14ac:dyDescent="0.3">
      <c r="G578" t="s">
        <v>409</v>
      </c>
    </row>
    <row r="579" spans="7:7" x14ac:dyDescent="0.3">
      <c r="G579" t="s">
        <v>165</v>
      </c>
    </row>
    <row r="580" spans="7:7" x14ac:dyDescent="0.3">
      <c r="G580" t="s">
        <v>1921</v>
      </c>
    </row>
    <row r="581" spans="7:7" x14ac:dyDescent="0.3">
      <c r="G581" t="s">
        <v>77</v>
      </c>
    </row>
    <row r="583" spans="7:7" x14ac:dyDescent="0.3">
      <c r="G583" t="s">
        <v>339</v>
      </c>
    </row>
    <row r="585" spans="7:7" x14ac:dyDescent="0.3">
      <c r="G585" t="s">
        <v>280</v>
      </c>
    </row>
    <row r="586" spans="7:7" x14ac:dyDescent="0.3">
      <c r="G586" t="s">
        <v>281</v>
      </c>
    </row>
    <row r="587" spans="7:7" x14ac:dyDescent="0.3">
      <c r="G587" t="s">
        <v>85</v>
      </c>
    </row>
    <row r="588" spans="7:7" x14ac:dyDescent="0.3">
      <c r="G588" t="s">
        <v>86</v>
      </c>
    </row>
    <row r="589" spans="7:7" x14ac:dyDescent="0.3">
      <c r="G589" t="s">
        <v>282</v>
      </c>
    </row>
    <row r="590" spans="7:7" x14ac:dyDescent="0.3">
      <c r="G590" t="s">
        <v>200</v>
      </c>
    </row>
    <row r="592" spans="7:7" x14ac:dyDescent="0.3">
      <c r="G592" t="s">
        <v>221</v>
      </c>
    </row>
    <row r="593" spans="7:7" x14ac:dyDescent="0.3">
      <c r="G593" t="s">
        <v>222</v>
      </c>
    </row>
    <row r="594" spans="7:7" x14ac:dyDescent="0.3">
      <c r="G594" t="s">
        <v>223</v>
      </c>
    </row>
    <row r="595" spans="7:7" x14ac:dyDescent="0.3">
      <c r="G595" t="s">
        <v>224</v>
      </c>
    </row>
    <row r="596" spans="7:7" x14ac:dyDescent="0.3">
      <c r="G596" t="s">
        <v>340</v>
      </c>
    </row>
    <row r="597" spans="7:7" x14ac:dyDescent="0.3">
      <c r="G597" t="s">
        <v>226</v>
      </c>
    </row>
    <row r="598" spans="7:7" x14ac:dyDescent="0.3">
      <c r="G598" t="s">
        <v>227</v>
      </c>
    </row>
    <row r="599" spans="7:7" x14ac:dyDescent="0.3">
      <c r="G599" t="s">
        <v>228</v>
      </c>
    </row>
    <row r="600" spans="7:7" x14ac:dyDescent="0.3">
      <c r="G600" t="s">
        <v>229</v>
      </c>
    </row>
    <row r="601" spans="7:7" x14ac:dyDescent="0.3">
      <c r="G601" t="s">
        <v>230</v>
      </c>
    </row>
    <row r="603" spans="7:7" x14ac:dyDescent="0.3">
      <c r="G603" t="s">
        <v>231</v>
      </c>
    </row>
    <row r="604" spans="7:7" x14ac:dyDescent="0.3">
      <c r="G604" t="s">
        <v>283</v>
      </c>
    </row>
    <row r="606" spans="7:7" x14ac:dyDescent="0.3">
      <c r="G606" t="s">
        <v>233</v>
      </c>
    </row>
    <row r="607" spans="7:7" x14ac:dyDescent="0.3">
      <c r="G607" t="s">
        <v>284</v>
      </c>
    </row>
    <row r="608" spans="7:7" x14ac:dyDescent="0.3">
      <c r="G608" t="s">
        <v>285</v>
      </c>
    </row>
    <row r="609" spans="7:7" x14ac:dyDescent="0.3">
      <c r="G609" t="s">
        <v>286</v>
      </c>
    </row>
    <row r="610" spans="7:7" x14ac:dyDescent="0.3">
      <c r="G610" t="s">
        <v>287</v>
      </c>
    </row>
    <row r="611" spans="7:7" x14ac:dyDescent="0.3">
      <c r="G611" t="s">
        <v>288</v>
      </c>
    </row>
    <row r="613" spans="7:7" x14ac:dyDescent="0.3">
      <c r="G613" t="s">
        <v>237</v>
      </c>
    </row>
    <row r="615" spans="7:7" x14ac:dyDescent="0.3">
      <c r="G615" t="s">
        <v>238</v>
      </c>
    </row>
    <row r="616" spans="7:7" x14ac:dyDescent="0.3">
      <c r="G616" t="s">
        <v>341</v>
      </c>
    </row>
    <row r="617" spans="7:7" x14ac:dyDescent="0.3">
      <c r="G617" t="s">
        <v>342</v>
      </c>
    </row>
    <row r="618" spans="7:7" x14ac:dyDescent="0.3">
      <c r="G618" t="s">
        <v>241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88CA4-0929-4D20-9E1B-EE217D8068C8}">
  <dimension ref="A1:G4062"/>
  <sheetViews>
    <sheetView topLeftCell="A15" zoomScale="87" workbookViewId="0">
      <selection activeCell="C79" sqref="C79"/>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381</v>
      </c>
    </row>
    <row r="5" spans="1:7" x14ac:dyDescent="0.3">
      <c r="A5" t="s">
        <v>205</v>
      </c>
      <c r="B5" s="3">
        <v>0.15</v>
      </c>
      <c r="C5">
        <v>3</v>
      </c>
      <c r="D5">
        <f>C5*B5</f>
        <v>0.44999999999999996</v>
      </c>
      <c r="G5" s="7" t="s">
        <v>382</v>
      </c>
    </row>
    <row r="6" spans="1:7" x14ac:dyDescent="0.3">
      <c r="A6" t="s">
        <v>202</v>
      </c>
      <c r="B6" s="3">
        <v>0.1</v>
      </c>
      <c r="C6">
        <v>2</v>
      </c>
      <c r="D6">
        <f t="shared" ref="D6:D12" si="0">C6*B6</f>
        <v>0.2</v>
      </c>
      <c r="G6" s="7" t="s">
        <v>383</v>
      </c>
    </row>
    <row r="7" spans="1:7" x14ac:dyDescent="0.3">
      <c r="A7" t="s">
        <v>206</v>
      </c>
      <c r="B7" s="3">
        <v>0.1</v>
      </c>
      <c r="C7">
        <v>3</v>
      </c>
      <c r="D7">
        <f t="shared" si="0"/>
        <v>0.30000000000000004</v>
      </c>
      <c r="G7" s="7" t="s">
        <v>384</v>
      </c>
    </row>
    <row r="8" spans="1:7" x14ac:dyDescent="0.3">
      <c r="A8" t="s">
        <v>91</v>
      </c>
      <c r="B8" s="3">
        <v>0.15</v>
      </c>
      <c r="C8">
        <v>3</v>
      </c>
      <c r="D8">
        <f t="shared" si="0"/>
        <v>0.44999999999999996</v>
      </c>
      <c r="G8" s="7" t="s">
        <v>385</v>
      </c>
    </row>
    <row r="9" spans="1:7" x14ac:dyDescent="0.3">
      <c r="A9" t="s">
        <v>90</v>
      </c>
      <c r="B9" s="3">
        <v>0.15</v>
      </c>
      <c r="C9">
        <v>4</v>
      </c>
      <c r="D9">
        <f t="shared" si="0"/>
        <v>0.6</v>
      </c>
      <c r="G9" s="7" t="s">
        <v>386</v>
      </c>
    </row>
    <row r="10" spans="1:7" x14ac:dyDescent="0.3">
      <c r="A10" t="s">
        <v>203</v>
      </c>
      <c r="B10" s="3">
        <v>0.05</v>
      </c>
      <c r="C10">
        <v>4</v>
      </c>
      <c r="D10">
        <f t="shared" si="0"/>
        <v>0.2</v>
      </c>
      <c r="G10" s="7" t="s">
        <v>387</v>
      </c>
    </row>
    <row r="11" spans="1:7" x14ac:dyDescent="0.3">
      <c r="A11" t="s">
        <v>204</v>
      </c>
      <c r="B11" s="3">
        <v>0.05</v>
      </c>
      <c r="C11">
        <v>4</v>
      </c>
      <c r="D11">
        <f t="shared" si="0"/>
        <v>0.2</v>
      </c>
      <c r="G11" s="7" t="s">
        <v>388</v>
      </c>
    </row>
    <row r="12" spans="1:7" x14ac:dyDescent="0.3">
      <c r="A12" t="s">
        <v>89</v>
      </c>
      <c r="B12" s="3">
        <v>0.1</v>
      </c>
      <c r="C12">
        <v>4</v>
      </c>
      <c r="D12">
        <f t="shared" si="0"/>
        <v>0.4</v>
      </c>
      <c r="G12" s="7" t="s">
        <v>389</v>
      </c>
    </row>
    <row r="13" spans="1:7" x14ac:dyDescent="0.3">
      <c r="A13" t="s">
        <v>88</v>
      </c>
      <c r="B13" s="3">
        <v>0.15</v>
      </c>
      <c r="C13">
        <v>3</v>
      </c>
      <c r="D13">
        <f>C13*B13</f>
        <v>0.44999999999999996</v>
      </c>
      <c r="G13" s="7" t="s">
        <v>390</v>
      </c>
    </row>
    <row r="14" spans="1:7" ht="15" thickBot="1" x14ac:dyDescent="0.35">
      <c r="B14" s="4">
        <f>SUM(B5:B13)</f>
        <v>1</v>
      </c>
      <c r="D14" s="6">
        <f>SUM(D5:D13)</f>
        <v>3.25</v>
      </c>
      <c r="G14" s="7" t="s">
        <v>391</v>
      </c>
    </row>
    <row r="15" spans="1:7" ht="15" thickTop="1" x14ac:dyDescent="0.3">
      <c r="G15" s="7" t="s">
        <v>392</v>
      </c>
    </row>
    <row r="16" spans="1:7" x14ac:dyDescent="0.3">
      <c r="A16" t="s">
        <v>103</v>
      </c>
      <c r="G16" s="7" t="s">
        <v>393</v>
      </c>
    </row>
    <row r="17" spans="1:7" x14ac:dyDescent="0.3">
      <c r="A17" s="1" t="s">
        <v>0</v>
      </c>
      <c r="B17" s="1" t="s">
        <v>1</v>
      </c>
      <c r="C17" s="1" t="s">
        <v>201</v>
      </c>
      <c r="D17" s="1" t="s">
        <v>3</v>
      </c>
      <c r="G17" s="7" t="s">
        <v>394</v>
      </c>
    </row>
    <row r="18" spans="1:7" x14ac:dyDescent="0.3">
      <c r="A18" t="s">
        <v>205</v>
      </c>
      <c r="B18" s="3">
        <v>0.15</v>
      </c>
      <c r="C18">
        <v>3</v>
      </c>
      <c r="D18">
        <f>C18*B18</f>
        <v>0.44999999999999996</v>
      </c>
      <c r="G18" s="7" t="s">
        <v>177</v>
      </c>
    </row>
    <row r="19" spans="1:7" x14ac:dyDescent="0.3">
      <c r="A19" t="s">
        <v>202</v>
      </c>
      <c r="B19" s="3">
        <v>0.1</v>
      </c>
      <c r="C19">
        <v>4</v>
      </c>
      <c r="D19">
        <f t="shared" ref="D19:D25" si="1">C19*B19</f>
        <v>0.4</v>
      </c>
      <c r="G19" s="7" t="s">
        <v>395</v>
      </c>
    </row>
    <row r="20" spans="1:7" x14ac:dyDescent="0.3">
      <c r="A20" t="s">
        <v>206</v>
      </c>
      <c r="B20" s="3">
        <v>0.1</v>
      </c>
      <c r="C20">
        <v>3</v>
      </c>
      <c r="D20">
        <f t="shared" si="1"/>
        <v>0.30000000000000004</v>
      </c>
      <c r="G20" s="7" t="s">
        <v>396</v>
      </c>
    </row>
    <row r="21" spans="1:7" x14ac:dyDescent="0.3">
      <c r="A21" t="s">
        <v>91</v>
      </c>
      <c r="B21" s="3">
        <v>0.15</v>
      </c>
      <c r="C21">
        <v>3</v>
      </c>
      <c r="D21">
        <f t="shared" si="1"/>
        <v>0.44999999999999996</v>
      </c>
      <c r="G21" s="7" t="s">
        <v>397</v>
      </c>
    </row>
    <row r="22" spans="1:7" x14ac:dyDescent="0.3">
      <c r="A22" t="s">
        <v>90</v>
      </c>
      <c r="B22" s="3">
        <v>0.15</v>
      </c>
      <c r="C22">
        <v>3</v>
      </c>
      <c r="D22">
        <f t="shared" si="1"/>
        <v>0.44999999999999996</v>
      </c>
      <c r="G22" s="7" t="s">
        <v>398</v>
      </c>
    </row>
    <row r="23" spans="1:7" x14ac:dyDescent="0.3">
      <c r="A23" t="s">
        <v>203</v>
      </c>
      <c r="B23" s="3">
        <v>0.05</v>
      </c>
      <c r="C23">
        <v>4</v>
      </c>
      <c r="D23">
        <f t="shared" si="1"/>
        <v>0.2</v>
      </c>
      <c r="G23" s="7" t="s">
        <v>399</v>
      </c>
    </row>
    <row r="24" spans="1:7" x14ac:dyDescent="0.3">
      <c r="A24" t="s">
        <v>204</v>
      </c>
      <c r="B24" s="3">
        <v>0.05</v>
      </c>
      <c r="C24">
        <v>4</v>
      </c>
      <c r="D24">
        <f t="shared" si="1"/>
        <v>0.2</v>
      </c>
      <c r="G24" s="7" t="s">
        <v>400</v>
      </c>
    </row>
    <row r="25" spans="1:7" x14ac:dyDescent="0.3">
      <c r="A25" t="s">
        <v>89</v>
      </c>
      <c r="B25" s="3">
        <v>0.1</v>
      </c>
      <c r="C25">
        <v>4</v>
      </c>
      <c r="D25">
        <f t="shared" si="1"/>
        <v>0.4</v>
      </c>
      <c r="G25" s="7" t="s">
        <v>401</v>
      </c>
    </row>
    <row r="26" spans="1:7" x14ac:dyDescent="0.3">
      <c r="A26" t="s">
        <v>88</v>
      </c>
      <c r="B26" s="3">
        <v>0.15</v>
      </c>
      <c r="C26">
        <v>3</v>
      </c>
      <c r="D26">
        <f>C26*B26</f>
        <v>0.44999999999999996</v>
      </c>
      <c r="G26" s="7" t="s">
        <v>402</v>
      </c>
    </row>
    <row r="27" spans="1:7" ht="15" thickBot="1" x14ac:dyDescent="0.35">
      <c r="B27" s="4">
        <f>SUM(B18:B26)</f>
        <v>1</v>
      </c>
      <c r="D27" s="6">
        <f>SUM(D18:D26)</f>
        <v>3.3</v>
      </c>
      <c r="G27" s="7" t="s">
        <v>403</v>
      </c>
    </row>
    <row r="28" spans="1:7" ht="15" thickTop="1" x14ac:dyDescent="0.3">
      <c r="G28" s="7" t="s">
        <v>404</v>
      </c>
    </row>
    <row r="29" spans="1:7" x14ac:dyDescent="0.3">
      <c r="A29" t="s">
        <v>104</v>
      </c>
      <c r="G29" s="7" t="s">
        <v>405</v>
      </c>
    </row>
    <row r="30" spans="1:7" x14ac:dyDescent="0.3">
      <c r="A30" s="1" t="s">
        <v>0</v>
      </c>
      <c r="B30" s="1" t="s">
        <v>1</v>
      </c>
      <c r="C30" s="1" t="s">
        <v>201</v>
      </c>
      <c r="D30" s="1" t="s">
        <v>3</v>
      </c>
      <c r="G30" s="7" t="s">
        <v>406</v>
      </c>
    </row>
    <row r="31" spans="1:7" x14ac:dyDescent="0.3">
      <c r="A31" t="s">
        <v>205</v>
      </c>
      <c r="B31" s="3">
        <v>0.15</v>
      </c>
      <c r="C31">
        <v>4</v>
      </c>
      <c r="D31">
        <f>C31*B31</f>
        <v>0.6</v>
      </c>
      <c r="G31" s="7" t="s">
        <v>407</v>
      </c>
    </row>
    <row r="32" spans="1:7" x14ac:dyDescent="0.3">
      <c r="A32" t="s">
        <v>202</v>
      </c>
      <c r="B32" s="3">
        <v>0.1</v>
      </c>
      <c r="C32">
        <v>3</v>
      </c>
      <c r="D32">
        <f t="shared" ref="D32:D38" si="2">C32*B32</f>
        <v>0.30000000000000004</v>
      </c>
      <c r="G32" s="7" t="s">
        <v>408</v>
      </c>
    </row>
    <row r="33" spans="1:7" x14ac:dyDescent="0.3">
      <c r="A33" t="s">
        <v>206</v>
      </c>
      <c r="B33" s="3">
        <v>0.1</v>
      </c>
      <c r="C33">
        <v>4</v>
      </c>
      <c r="D33">
        <f t="shared" si="2"/>
        <v>0.4</v>
      </c>
      <c r="G33" s="7" t="s">
        <v>409</v>
      </c>
    </row>
    <row r="34" spans="1:7" x14ac:dyDescent="0.3">
      <c r="A34" t="s">
        <v>91</v>
      </c>
      <c r="B34" s="3">
        <v>0.15</v>
      </c>
      <c r="C34">
        <v>4</v>
      </c>
      <c r="D34">
        <f t="shared" si="2"/>
        <v>0.6</v>
      </c>
      <c r="G34" s="7" t="s">
        <v>177</v>
      </c>
    </row>
    <row r="35" spans="1:7" x14ac:dyDescent="0.3">
      <c r="A35" t="s">
        <v>90</v>
      </c>
      <c r="B35" s="3">
        <v>0.15</v>
      </c>
      <c r="C35">
        <v>4</v>
      </c>
      <c r="D35">
        <f t="shared" si="2"/>
        <v>0.6</v>
      </c>
      <c r="G35" s="7" t="s">
        <v>410</v>
      </c>
    </row>
    <row r="36" spans="1:7" x14ac:dyDescent="0.3">
      <c r="A36" t="s">
        <v>203</v>
      </c>
      <c r="B36" s="3">
        <v>0.05</v>
      </c>
      <c r="C36">
        <v>4</v>
      </c>
      <c r="D36">
        <f t="shared" si="2"/>
        <v>0.2</v>
      </c>
      <c r="G36" s="7" t="s">
        <v>411</v>
      </c>
    </row>
    <row r="37" spans="1:7" x14ac:dyDescent="0.3">
      <c r="A37" t="s">
        <v>204</v>
      </c>
      <c r="B37" s="3">
        <v>0.05</v>
      </c>
      <c r="C37">
        <v>4</v>
      </c>
      <c r="D37">
        <f t="shared" si="2"/>
        <v>0.2</v>
      </c>
      <c r="G37" s="7" t="s">
        <v>412</v>
      </c>
    </row>
    <row r="38" spans="1:7" x14ac:dyDescent="0.3">
      <c r="A38" t="s">
        <v>89</v>
      </c>
      <c r="B38" s="3">
        <v>0.1</v>
      </c>
      <c r="C38">
        <v>4</v>
      </c>
      <c r="D38">
        <f t="shared" si="2"/>
        <v>0.4</v>
      </c>
      <c r="G38" s="7" t="s">
        <v>413</v>
      </c>
    </row>
    <row r="39" spans="1:7" x14ac:dyDescent="0.3">
      <c r="A39" t="s">
        <v>88</v>
      </c>
      <c r="B39" s="3">
        <v>0.15</v>
      </c>
      <c r="C39">
        <v>3</v>
      </c>
      <c r="D39">
        <f>C39*B39</f>
        <v>0.44999999999999996</v>
      </c>
      <c r="G39" s="7" t="s">
        <v>414</v>
      </c>
    </row>
    <row r="40" spans="1:7" ht="15" thickBot="1" x14ac:dyDescent="0.35">
      <c r="B40" s="4">
        <f>SUM(B31:B39)</f>
        <v>1</v>
      </c>
      <c r="D40" s="6">
        <f>SUM(D31:D39)</f>
        <v>3.75</v>
      </c>
      <c r="G40" s="7" t="s">
        <v>415</v>
      </c>
    </row>
    <row r="41" spans="1:7" ht="15" thickTop="1" x14ac:dyDescent="0.3">
      <c r="G41" s="7" t="s">
        <v>416</v>
      </c>
    </row>
    <row r="42" spans="1:7" x14ac:dyDescent="0.3">
      <c r="A42" t="s">
        <v>105</v>
      </c>
      <c r="G42" s="7" t="s">
        <v>409</v>
      </c>
    </row>
    <row r="43" spans="1:7" x14ac:dyDescent="0.3">
      <c r="A43" s="1" t="s">
        <v>0</v>
      </c>
      <c r="B43" s="1" t="s">
        <v>1</v>
      </c>
      <c r="C43" s="1" t="s">
        <v>201</v>
      </c>
      <c r="D43" s="1" t="s">
        <v>3</v>
      </c>
      <c r="G43" s="7" t="s">
        <v>177</v>
      </c>
    </row>
    <row r="44" spans="1:7" x14ac:dyDescent="0.3">
      <c r="A44" t="s">
        <v>205</v>
      </c>
      <c r="B44" s="3">
        <v>0.15</v>
      </c>
      <c r="C44">
        <v>4</v>
      </c>
      <c r="D44">
        <f>C44*B44</f>
        <v>0.6</v>
      </c>
      <c r="G44" s="7" t="s">
        <v>417</v>
      </c>
    </row>
    <row r="45" spans="1:7" x14ac:dyDescent="0.3">
      <c r="A45" t="s">
        <v>202</v>
      </c>
      <c r="B45" s="3">
        <v>0.1</v>
      </c>
      <c r="C45">
        <v>3</v>
      </c>
      <c r="D45">
        <f t="shared" ref="D45:D51" si="3">C45*B45</f>
        <v>0.30000000000000004</v>
      </c>
      <c r="G45" s="7" t="s">
        <v>418</v>
      </c>
    </row>
    <row r="46" spans="1:7" x14ac:dyDescent="0.3">
      <c r="A46" t="s">
        <v>206</v>
      </c>
      <c r="B46" s="3">
        <v>0.1</v>
      </c>
      <c r="C46">
        <v>4</v>
      </c>
      <c r="D46">
        <f t="shared" si="3"/>
        <v>0.4</v>
      </c>
      <c r="G46" s="7" t="s">
        <v>419</v>
      </c>
    </row>
    <row r="47" spans="1:7" x14ac:dyDescent="0.3">
      <c r="A47" t="s">
        <v>91</v>
      </c>
      <c r="B47" s="3">
        <v>0.15</v>
      </c>
      <c r="C47">
        <v>3</v>
      </c>
      <c r="D47">
        <f t="shared" si="3"/>
        <v>0.44999999999999996</v>
      </c>
      <c r="G47" s="7" t="s">
        <v>420</v>
      </c>
    </row>
    <row r="48" spans="1:7" x14ac:dyDescent="0.3">
      <c r="A48" t="s">
        <v>90</v>
      </c>
      <c r="B48" s="3">
        <v>0.15</v>
      </c>
      <c r="C48">
        <v>4</v>
      </c>
      <c r="D48">
        <f t="shared" si="3"/>
        <v>0.6</v>
      </c>
      <c r="G48" s="7" t="s">
        <v>393</v>
      </c>
    </row>
    <row r="49" spans="1:7" x14ac:dyDescent="0.3">
      <c r="A49" t="s">
        <v>203</v>
      </c>
      <c r="B49" s="3">
        <v>0.05</v>
      </c>
      <c r="C49">
        <v>4</v>
      </c>
      <c r="D49">
        <f t="shared" si="3"/>
        <v>0.2</v>
      </c>
      <c r="G49" s="7" t="s">
        <v>421</v>
      </c>
    </row>
    <row r="50" spans="1:7" x14ac:dyDescent="0.3">
      <c r="A50" t="s">
        <v>204</v>
      </c>
      <c r="B50" s="3">
        <v>0.05</v>
      </c>
      <c r="C50">
        <v>4</v>
      </c>
      <c r="D50">
        <f t="shared" si="3"/>
        <v>0.2</v>
      </c>
      <c r="G50" s="7" t="s">
        <v>422</v>
      </c>
    </row>
    <row r="51" spans="1:7" x14ac:dyDescent="0.3">
      <c r="A51" t="s">
        <v>89</v>
      </c>
      <c r="B51" s="3">
        <v>0.1</v>
      </c>
      <c r="C51">
        <v>4</v>
      </c>
      <c r="D51">
        <f t="shared" si="3"/>
        <v>0.4</v>
      </c>
      <c r="G51" s="7" t="s">
        <v>423</v>
      </c>
    </row>
    <row r="52" spans="1:7" x14ac:dyDescent="0.3">
      <c r="A52" t="s">
        <v>88</v>
      </c>
      <c r="B52" s="3">
        <v>0.15</v>
      </c>
      <c r="C52">
        <v>4</v>
      </c>
      <c r="D52">
        <f>C52*B52</f>
        <v>0.6</v>
      </c>
      <c r="G52" s="7" t="s">
        <v>393</v>
      </c>
    </row>
    <row r="53" spans="1:7" ht="15" thickBot="1" x14ac:dyDescent="0.35">
      <c r="B53" s="4">
        <f>SUM(B44:B52)</f>
        <v>1</v>
      </c>
      <c r="D53" s="6">
        <f>SUM(D44:D52)</f>
        <v>3.7500000000000004</v>
      </c>
      <c r="G53" s="7" t="s">
        <v>424</v>
      </c>
    </row>
    <row r="54" spans="1:7" ht="15" thickTop="1" x14ac:dyDescent="0.3">
      <c r="G54" s="7" t="s">
        <v>425</v>
      </c>
    </row>
    <row r="55" spans="1:7" x14ac:dyDescent="0.3">
      <c r="A55" t="s">
        <v>106</v>
      </c>
      <c r="G55" s="7" t="s">
        <v>420</v>
      </c>
    </row>
    <row r="56" spans="1:7" x14ac:dyDescent="0.3">
      <c r="A56" s="1" t="s">
        <v>0</v>
      </c>
      <c r="B56" s="1" t="s">
        <v>1</v>
      </c>
      <c r="C56" s="1" t="s">
        <v>201</v>
      </c>
      <c r="D56" s="1" t="s">
        <v>3</v>
      </c>
      <c r="G56" s="7" t="s">
        <v>393</v>
      </c>
    </row>
    <row r="57" spans="1:7" x14ac:dyDescent="0.3">
      <c r="A57" t="s">
        <v>205</v>
      </c>
      <c r="B57" s="3">
        <v>0.15</v>
      </c>
      <c r="C57">
        <v>4</v>
      </c>
      <c r="D57">
        <f>C57*B57</f>
        <v>0.6</v>
      </c>
      <c r="G57" s="7" t="s">
        <v>426</v>
      </c>
    </row>
    <row r="58" spans="1:7" x14ac:dyDescent="0.3">
      <c r="A58" t="s">
        <v>202</v>
      </c>
      <c r="B58" s="3">
        <v>0.1</v>
      </c>
      <c r="C58">
        <v>4</v>
      </c>
      <c r="D58">
        <f t="shared" ref="D58:D64" si="4">C58*B58</f>
        <v>0.4</v>
      </c>
      <c r="G58" s="7" t="s">
        <v>427</v>
      </c>
    </row>
    <row r="59" spans="1:7" x14ac:dyDescent="0.3">
      <c r="A59" t="s">
        <v>206</v>
      </c>
      <c r="B59" s="3">
        <v>0.1</v>
      </c>
      <c r="C59">
        <v>4</v>
      </c>
      <c r="D59">
        <f t="shared" si="4"/>
        <v>0.4</v>
      </c>
      <c r="G59" s="7" t="s">
        <v>420</v>
      </c>
    </row>
    <row r="60" spans="1:7" x14ac:dyDescent="0.3">
      <c r="A60" t="s">
        <v>91</v>
      </c>
      <c r="B60" s="3">
        <v>0.15</v>
      </c>
      <c r="C60">
        <v>4</v>
      </c>
      <c r="D60">
        <f t="shared" si="4"/>
        <v>0.6</v>
      </c>
      <c r="G60" s="7" t="s">
        <v>393</v>
      </c>
    </row>
    <row r="61" spans="1:7" x14ac:dyDescent="0.3">
      <c r="A61" t="s">
        <v>90</v>
      </c>
      <c r="B61" s="3">
        <v>0.15</v>
      </c>
      <c r="C61">
        <v>4</v>
      </c>
      <c r="D61">
        <f t="shared" si="4"/>
        <v>0.6</v>
      </c>
      <c r="G61" s="7" t="s">
        <v>428</v>
      </c>
    </row>
    <row r="62" spans="1:7" x14ac:dyDescent="0.3">
      <c r="A62" t="s">
        <v>203</v>
      </c>
      <c r="B62" s="3">
        <v>0.05</v>
      </c>
      <c r="C62">
        <v>4</v>
      </c>
      <c r="D62">
        <f t="shared" si="4"/>
        <v>0.2</v>
      </c>
      <c r="G62" s="7" t="s">
        <v>429</v>
      </c>
    </row>
    <row r="63" spans="1:7" x14ac:dyDescent="0.3">
      <c r="A63" t="s">
        <v>204</v>
      </c>
      <c r="B63" s="3">
        <v>0.05</v>
      </c>
      <c r="C63">
        <v>4</v>
      </c>
      <c r="D63">
        <f t="shared" si="4"/>
        <v>0.2</v>
      </c>
      <c r="G63" s="7" t="s">
        <v>420</v>
      </c>
    </row>
    <row r="64" spans="1:7" x14ac:dyDescent="0.3">
      <c r="A64" t="s">
        <v>89</v>
      </c>
      <c r="B64" s="3">
        <v>0.1</v>
      </c>
      <c r="C64">
        <v>4</v>
      </c>
      <c r="D64">
        <f t="shared" si="4"/>
        <v>0.4</v>
      </c>
      <c r="G64" s="7" t="s">
        <v>409</v>
      </c>
    </row>
    <row r="65" spans="1:7" x14ac:dyDescent="0.3">
      <c r="A65" t="s">
        <v>88</v>
      </c>
      <c r="B65" s="3">
        <v>0.15</v>
      </c>
      <c r="C65">
        <v>4</v>
      </c>
      <c r="D65">
        <f>C65*B65</f>
        <v>0.6</v>
      </c>
      <c r="G65" s="7" t="s">
        <v>177</v>
      </c>
    </row>
    <row r="66" spans="1:7" ht="15" thickBot="1" x14ac:dyDescent="0.35">
      <c r="B66" s="4">
        <f>SUM(B57:B65)</f>
        <v>1</v>
      </c>
      <c r="D66" s="6">
        <f>SUM(D57:D65)</f>
        <v>4</v>
      </c>
      <c r="G66" t="s">
        <v>430</v>
      </c>
    </row>
    <row r="67" spans="1:7" ht="15" thickTop="1" x14ac:dyDescent="0.3">
      <c r="G67" s="7" t="s">
        <v>431</v>
      </c>
    </row>
    <row r="68" spans="1:7" x14ac:dyDescent="0.3">
      <c r="A68" t="s">
        <v>107</v>
      </c>
      <c r="G68" s="7" t="s">
        <v>432</v>
      </c>
    </row>
    <row r="69" spans="1:7" x14ac:dyDescent="0.3">
      <c r="A69" s="1" t="s">
        <v>0</v>
      </c>
      <c r="B69" s="1" t="s">
        <v>1</v>
      </c>
      <c r="C69" s="1" t="s">
        <v>201</v>
      </c>
      <c r="D69" s="1" t="s">
        <v>3</v>
      </c>
      <c r="G69" t="s">
        <v>433</v>
      </c>
    </row>
    <row r="70" spans="1:7" x14ac:dyDescent="0.3">
      <c r="A70" t="s">
        <v>205</v>
      </c>
      <c r="B70" s="3">
        <v>0.15</v>
      </c>
      <c r="C70">
        <v>4</v>
      </c>
      <c r="D70">
        <f>C70*B70</f>
        <v>0.6</v>
      </c>
      <c r="G70" s="7" t="s">
        <v>434</v>
      </c>
    </row>
    <row r="71" spans="1:7" x14ac:dyDescent="0.3">
      <c r="A71" t="s">
        <v>202</v>
      </c>
      <c r="B71" s="3">
        <v>0.1</v>
      </c>
      <c r="C71">
        <v>3</v>
      </c>
      <c r="D71">
        <f t="shared" ref="D71:D77" si="5">C71*B71</f>
        <v>0.30000000000000004</v>
      </c>
      <c r="G71" s="7" t="s">
        <v>165</v>
      </c>
    </row>
    <row r="72" spans="1:7" x14ac:dyDescent="0.3">
      <c r="A72" t="s">
        <v>206</v>
      </c>
      <c r="B72" s="3">
        <v>0.1</v>
      </c>
      <c r="C72">
        <v>4</v>
      </c>
      <c r="D72">
        <f t="shared" si="5"/>
        <v>0.4</v>
      </c>
      <c r="G72" s="7" t="s">
        <v>166</v>
      </c>
    </row>
    <row r="73" spans="1:7" x14ac:dyDescent="0.3">
      <c r="A73" t="s">
        <v>91</v>
      </c>
      <c r="B73" s="3">
        <v>0.15</v>
      </c>
      <c r="C73">
        <v>4</v>
      </c>
      <c r="D73">
        <f t="shared" si="5"/>
        <v>0.6</v>
      </c>
      <c r="G73" s="7" t="s">
        <v>435</v>
      </c>
    </row>
    <row r="74" spans="1:7" x14ac:dyDescent="0.3">
      <c r="A74" t="s">
        <v>90</v>
      </c>
      <c r="B74" s="3">
        <v>0.15</v>
      </c>
      <c r="C74">
        <v>4</v>
      </c>
      <c r="D74">
        <f t="shared" si="5"/>
        <v>0.6</v>
      </c>
      <c r="G74" s="7" t="s">
        <v>436</v>
      </c>
    </row>
    <row r="75" spans="1:7" x14ac:dyDescent="0.3">
      <c r="A75" t="s">
        <v>203</v>
      </c>
      <c r="B75" s="3">
        <v>0.05</v>
      </c>
      <c r="C75">
        <v>4</v>
      </c>
      <c r="D75">
        <f t="shared" si="5"/>
        <v>0.2</v>
      </c>
      <c r="G75" t="s">
        <v>437</v>
      </c>
    </row>
    <row r="76" spans="1:7" x14ac:dyDescent="0.3">
      <c r="A76" t="s">
        <v>204</v>
      </c>
      <c r="B76" s="3">
        <v>0.05</v>
      </c>
      <c r="C76">
        <v>4</v>
      </c>
      <c r="D76">
        <f t="shared" si="5"/>
        <v>0.2</v>
      </c>
      <c r="G76" s="7" t="s">
        <v>438</v>
      </c>
    </row>
    <row r="77" spans="1:7" x14ac:dyDescent="0.3">
      <c r="A77" t="s">
        <v>89</v>
      </c>
      <c r="B77" s="3">
        <v>0.1</v>
      </c>
      <c r="C77">
        <v>4</v>
      </c>
      <c r="D77">
        <f t="shared" si="5"/>
        <v>0.4</v>
      </c>
      <c r="G77" s="7" t="s">
        <v>439</v>
      </c>
    </row>
    <row r="78" spans="1:7" x14ac:dyDescent="0.3">
      <c r="A78" t="s">
        <v>88</v>
      </c>
      <c r="B78" s="3">
        <v>0.15</v>
      </c>
      <c r="C78">
        <v>5</v>
      </c>
      <c r="D78">
        <f>C78*B78</f>
        <v>0.75</v>
      </c>
      <c r="G78" s="7" t="s">
        <v>440</v>
      </c>
    </row>
    <row r="79" spans="1:7" ht="15" thickBot="1" x14ac:dyDescent="0.35">
      <c r="B79" s="4">
        <f>SUM(B70:B78)</f>
        <v>1</v>
      </c>
      <c r="D79" s="6">
        <f>SUM(D70:D78)</f>
        <v>4.0500000000000007</v>
      </c>
      <c r="G79" t="s">
        <v>441</v>
      </c>
    </row>
    <row r="80" spans="1:7" ht="15" thickTop="1" x14ac:dyDescent="0.3">
      <c r="G80" s="7" t="s">
        <v>442</v>
      </c>
    </row>
    <row r="81" spans="1:7" x14ac:dyDescent="0.3">
      <c r="A81" t="s">
        <v>108</v>
      </c>
      <c r="G81" s="7" t="s">
        <v>443</v>
      </c>
    </row>
    <row r="82" spans="1:7" x14ac:dyDescent="0.3">
      <c r="A82" s="1" t="s">
        <v>0</v>
      </c>
      <c r="B82" s="1" t="s">
        <v>1</v>
      </c>
      <c r="C82" s="1" t="s">
        <v>201</v>
      </c>
      <c r="D82" s="1" t="s">
        <v>3</v>
      </c>
      <c r="G82" s="7" t="s">
        <v>444</v>
      </c>
    </row>
    <row r="83" spans="1:7" x14ac:dyDescent="0.3">
      <c r="A83" t="s">
        <v>205</v>
      </c>
      <c r="B83" s="3">
        <v>0.15</v>
      </c>
      <c r="C83">
        <v>4</v>
      </c>
      <c r="D83">
        <f>C83*B83</f>
        <v>0.6</v>
      </c>
      <c r="G83" t="s">
        <v>445</v>
      </c>
    </row>
    <row r="84" spans="1:7" x14ac:dyDescent="0.3">
      <c r="A84" t="s">
        <v>202</v>
      </c>
      <c r="B84" s="3">
        <v>0.1</v>
      </c>
      <c r="C84">
        <v>4</v>
      </c>
      <c r="D84">
        <f t="shared" ref="D84:D90" si="6">C84*B84</f>
        <v>0.4</v>
      </c>
      <c r="G84" t="s">
        <v>446</v>
      </c>
    </row>
    <row r="85" spans="1:7" x14ac:dyDescent="0.3">
      <c r="A85" t="s">
        <v>206</v>
      </c>
      <c r="B85" s="3">
        <v>0.1</v>
      </c>
      <c r="C85">
        <v>4</v>
      </c>
      <c r="D85">
        <f t="shared" si="6"/>
        <v>0.4</v>
      </c>
      <c r="G85" t="s">
        <v>447</v>
      </c>
    </row>
    <row r="86" spans="1:7" x14ac:dyDescent="0.3">
      <c r="A86" t="s">
        <v>91</v>
      </c>
      <c r="B86" s="3">
        <v>0.15</v>
      </c>
      <c r="C86">
        <v>4</v>
      </c>
      <c r="D86">
        <f t="shared" si="6"/>
        <v>0.6</v>
      </c>
      <c r="G86" t="s">
        <v>448</v>
      </c>
    </row>
    <row r="87" spans="1:7" x14ac:dyDescent="0.3">
      <c r="A87" t="s">
        <v>90</v>
      </c>
      <c r="B87" s="3">
        <v>0.15</v>
      </c>
      <c r="C87">
        <v>5</v>
      </c>
      <c r="D87">
        <f t="shared" si="6"/>
        <v>0.75</v>
      </c>
      <c r="G87" t="s">
        <v>393</v>
      </c>
    </row>
    <row r="88" spans="1:7" x14ac:dyDescent="0.3">
      <c r="A88" t="s">
        <v>203</v>
      </c>
      <c r="B88" s="3">
        <v>0.05</v>
      </c>
      <c r="C88">
        <v>4</v>
      </c>
      <c r="D88">
        <f t="shared" si="6"/>
        <v>0.2</v>
      </c>
      <c r="G88" t="s">
        <v>449</v>
      </c>
    </row>
    <row r="89" spans="1:7" x14ac:dyDescent="0.3">
      <c r="A89" t="s">
        <v>204</v>
      </c>
      <c r="B89" s="3">
        <v>0.05</v>
      </c>
      <c r="C89">
        <v>3</v>
      </c>
      <c r="D89">
        <f t="shared" si="6"/>
        <v>0.15000000000000002</v>
      </c>
      <c r="G89" t="s">
        <v>450</v>
      </c>
    </row>
    <row r="90" spans="1:7" x14ac:dyDescent="0.3">
      <c r="A90" t="s">
        <v>89</v>
      </c>
      <c r="B90" s="3">
        <v>0.1</v>
      </c>
      <c r="C90">
        <v>4</v>
      </c>
      <c r="D90">
        <f t="shared" si="6"/>
        <v>0.4</v>
      </c>
      <c r="G90" t="s">
        <v>451</v>
      </c>
    </row>
    <row r="91" spans="1:7" x14ac:dyDescent="0.3">
      <c r="A91" t="s">
        <v>88</v>
      </c>
      <c r="B91" s="3">
        <v>0.15</v>
      </c>
      <c r="C91">
        <v>5</v>
      </c>
      <c r="D91">
        <f>C91*B91</f>
        <v>0.75</v>
      </c>
      <c r="G91" t="s">
        <v>452</v>
      </c>
    </row>
    <row r="92" spans="1:7" ht="15" thickBot="1" x14ac:dyDescent="0.35">
      <c r="B92" s="4">
        <f>SUM(B83:B91)</f>
        <v>1</v>
      </c>
      <c r="D92" s="6">
        <f>SUM(D83:D91)</f>
        <v>4.25</v>
      </c>
      <c r="G92" t="s">
        <v>453</v>
      </c>
    </row>
    <row r="93" spans="1:7" ht="15" thickTop="1" x14ac:dyDescent="0.3">
      <c r="G93" t="s">
        <v>454</v>
      </c>
    </row>
    <row r="94" spans="1:7" x14ac:dyDescent="0.3">
      <c r="A94" t="s">
        <v>109</v>
      </c>
      <c r="G94" t="s">
        <v>455</v>
      </c>
    </row>
    <row r="95" spans="1:7" x14ac:dyDescent="0.3">
      <c r="A95" s="1" t="s">
        <v>0</v>
      </c>
      <c r="B95" s="1" t="s">
        <v>1</v>
      </c>
      <c r="C95" s="1" t="s">
        <v>201</v>
      </c>
      <c r="D95" s="1" t="s">
        <v>3</v>
      </c>
      <c r="G95" t="s">
        <v>456</v>
      </c>
    </row>
    <row r="96" spans="1:7" x14ac:dyDescent="0.3">
      <c r="A96" t="s">
        <v>205</v>
      </c>
      <c r="B96" s="3">
        <v>0.15</v>
      </c>
      <c r="C96">
        <v>4</v>
      </c>
      <c r="D96">
        <f>C96*B96</f>
        <v>0.6</v>
      </c>
      <c r="G96" t="s">
        <v>457</v>
      </c>
    </row>
    <row r="97" spans="1:7" x14ac:dyDescent="0.3">
      <c r="A97" t="s">
        <v>202</v>
      </c>
      <c r="B97" s="3">
        <v>0.1</v>
      </c>
      <c r="C97">
        <v>4</v>
      </c>
      <c r="D97">
        <f t="shared" ref="D97:D103" si="7">C97*B97</f>
        <v>0.4</v>
      </c>
      <c r="G97" t="s">
        <v>458</v>
      </c>
    </row>
    <row r="98" spans="1:7" x14ac:dyDescent="0.3">
      <c r="A98" t="s">
        <v>206</v>
      </c>
      <c r="B98" s="3">
        <v>0.1</v>
      </c>
      <c r="C98">
        <v>4</v>
      </c>
      <c r="D98">
        <f t="shared" si="7"/>
        <v>0.4</v>
      </c>
      <c r="G98" t="s">
        <v>459</v>
      </c>
    </row>
    <row r="99" spans="1:7" x14ac:dyDescent="0.3">
      <c r="A99" t="s">
        <v>91</v>
      </c>
      <c r="B99" s="3">
        <v>0.15</v>
      </c>
      <c r="C99">
        <v>3</v>
      </c>
      <c r="D99">
        <f t="shared" si="7"/>
        <v>0.44999999999999996</v>
      </c>
      <c r="G99" t="s">
        <v>460</v>
      </c>
    </row>
    <row r="100" spans="1:7" x14ac:dyDescent="0.3">
      <c r="A100" t="s">
        <v>90</v>
      </c>
      <c r="B100" s="3">
        <v>0.15</v>
      </c>
      <c r="C100">
        <v>3</v>
      </c>
      <c r="D100">
        <f t="shared" si="7"/>
        <v>0.44999999999999996</v>
      </c>
      <c r="G100" t="s">
        <v>461</v>
      </c>
    </row>
    <row r="101" spans="1:7" x14ac:dyDescent="0.3">
      <c r="A101" t="s">
        <v>203</v>
      </c>
      <c r="B101" s="3">
        <v>0.05</v>
      </c>
      <c r="C101">
        <v>4</v>
      </c>
      <c r="D101">
        <f t="shared" si="7"/>
        <v>0.2</v>
      </c>
      <c r="G101" t="s">
        <v>462</v>
      </c>
    </row>
    <row r="102" spans="1:7" x14ac:dyDescent="0.3">
      <c r="A102" t="s">
        <v>204</v>
      </c>
      <c r="B102" s="3">
        <v>0.05</v>
      </c>
      <c r="C102">
        <v>4</v>
      </c>
      <c r="D102">
        <f t="shared" si="7"/>
        <v>0.2</v>
      </c>
      <c r="G102" t="s">
        <v>448</v>
      </c>
    </row>
    <row r="103" spans="1:7" x14ac:dyDescent="0.3">
      <c r="A103" t="s">
        <v>89</v>
      </c>
      <c r="B103" s="3">
        <v>0.1</v>
      </c>
      <c r="C103">
        <v>4</v>
      </c>
      <c r="D103">
        <f t="shared" si="7"/>
        <v>0.4</v>
      </c>
      <c r="G103" t="s">
        <v>393</v>
      </c>
    </row>
    <row r="104" spans="1:7" x14ac:dyDescent="0.3">
      <c r="A104" t="s">
        <v>88</v>
      </c>
      <c r="B104" s="3">
        <v>0.15</v>
      </c>
      <c r="C104">
        <v>4</v>
      </c>
      <c r="D104">
        <f>C104*B104</f>
        <v>0.6</v>
      </c>
      <c r="G104" t="s">
        <v>463</v>
      </c>
    </row>
    <row r="105" spans="1:7" ht="15" thickBot="1" x14ac:dyDescent="0.35">
      <c r="B105" s="4">
        <f>SUM(B96:B104)</f>
        <v>1</v>
      </c>
      <c r="D105" s="6">
        <f>SUM(D96:D104)</f>
        <v>3.7</v>
      </c>
      <c r="G105" t="s">
        <v>464</v>
      </c>
    </row>
    <row r="106" spans="1:7" ht="15" thickTop="1" x14ac:dyDescent="0.3">
      <c r="G106" t="s">
        <v>465</v>
      </c>
    </row>
    <row r="107" spans="1:7" x14ac:dyDescent="0.3">
      <c r="A107" t="s">
        <v>110</v>
      </c>
      <c r="G107" t="s">
        <v>466</v>
      </c>
    </row>
    <row r="108" spans="1:7" x14ac:dyDescent="0.3">
      <c r="A108" s="1" t="s">
        <v>0</v>
      </c>
      <c r="B108" s="1" t="s">
        <v>1</v>
      </c>
      <c r="C108" s="1" t="s">
        <v>201</v>
      </c>
      <c r="D108" s="1" t="s">
        <v>3</v>
      </c>
      <c r="G108" t="s">
        <v>467</v>
      </c>
    </row>
    <row r="109" spans="1:7" x14ac:dyDescent="0.3">
      <c r="A109" t="s">
        <v>205</v>
      </c>
      <c r="B109" s="3">
        <v>0.15</v>
      </c>
      <c r="C109">
        <v>4</v>
      </c>
      <c r="D109">
        <f>C109*B109</f>
        <v>0.6</v>
      </c>
      <c r="G109" t="s">
        <v>468</v>
      </c>
    </row>
    <row r="110" spans="1:7" x14ac:dyDescent="0.3">
      <c r="A110" t="s">
        <v>202</v>
      </c>
      <c r="B110" s="3">
        <v>0.1</v>
      </c>
      <c r="C110">
        <v>3</v>
      </c>
      <c r="D110">
        <f t="shared" ref="D110:D116" si="8">C110*B110</f>
        <v>0.30000000000000004</v>
      </c>
      <c r="G110" t="s">
        <v>469</v>
      </c>
    </row>
    <row r="111" spans="1:7" x14ac:dyDescent="0.3">
      <c r="A111" t="s">
        <v>206</v>
      </c>
      <c r="B111" s="3">
        <v>0.1</v>
      </c>
      <c r="C111">
        <v>4</v>
      </c>
      <c r="D111">
        <f t="shared" si="8"/>
        <v>0.4</v>
      </c>
      <c r="G111" t="s">
        <v>448</v>
      </c>
    </row>
    <row r="112" spans="1:7" x14ac:dyDescent="0.3">
      <c r="A112" t="s">
        <v>91</v>
      </c>
      <c r="B112" s="3">
        <v>0.15</v>
      </c>
      <c r="C112">
        <v>4</v>
      </c>
      <c r="D112">
        <f t="shared" si="8"/>
        <v>0.6</v>
      </c>
      <c r="G112" t="s">
        <v>393</v>
      </c>
    </row>
    <row r="113" spans="1:7" x14ac:dyDescent="0.3">
      <c r="A113" t="s">
        <v>90</v>
      </c>
      <c r="B113" s="3">
        <v>0.15</v>
      </c>
      <c r="C113">
        <v>4</v>
      </c>
      <c r="D113">
        <f t="shared" si="8"/>
        <v>0.6</v>
      </c>
      <c r="G113" t="s">
        <v>470</v>
      </c>
    </row>
    <row r="114" spans="1:7" x14ac:dyDescent="0.3">
      <c r="A114" t="s">
        <v>203</v>
      </c>
      <c r="B114" s="3">
        <v>0.05</v>
      </c>
      <c r="C114">
        <v>4</v>
      </c>
      <c r="D114">
        <f t="shared" si="8"/>
        <v>0.2</v>
      </c>
      <c r="G114" t="s">
        <v>471</v>
      </c>
    </row>
    <row r="115" spans="1:7" x14ac:dyDescent="0.3">
      <c r="A115" t="s">
        <v>204</v>
      </c>
      <c r="B115" s="3">
        <v>0.05</v>
      </c>
      <c r="C115">
        <v>4</v>
      </c>
      <c r="D115">
        <f t="shared" si="8"/>
        <v>0.2</v>
      </c>
      <c r="G115" t="s">
        <v>472</v>
      </c>
    </row>
    <row r="116" spans="1:7" x14ac:dyDescent="0.3">
      <c r="A116" t="s">
        <v>89</v>
      </c>
      <c r="B116" s="3">
        <v>0.1</v>
      </c>
      <c r="C116">
        <v>4</v>
      </c>
      <c r="D116">
        <f t="shared" si="8"/>
        <v>0.4</v>
      </c>
      <c r="G116" t="s">
        <v>473</v>
      </c>
    </row>
    <row r="117" spans="1:7" x14ac:dyDescent="0.3">
      <c r="A117" t="s">
        <v>88</v>
      </c>
      <c r="B117" s="3">
        <v>0.15</v>
      </c>
      <c r="C117">
        <v>4</v>
      </c>
      <c r="D117">
        <f>C117*B117</f>
        <v>0.6</v>
      </c>
      <c r="G117" t="s">
        <v>474</v>
      </c>
    </row>
    <row r="118" spans="1:7" ht="15" thickBot="1" x14ac:dyDescent="0.35">
      <c r="B118" s="4">
        <f>SUM(B109:B117)</f>
        <v>1</v>
      </c>
      <c r="D118" s="6">
        <f>SUM(D109:D117)</f>
        <v>3.9000000000000004</v>
      </c>
      <c r="G118" t="s">
        <v>475</v>
      </c>
    </row>
    <row r="119" spans="1:7" ht="15" thickTop="1" x14ac:dyDescent="0.3">
      <c r="G119" t="s">
        <v>476</v>
      </c>
    </row>
    <row r="120" spans="1:7" x14ac:dyDescent="0.3">
      <c r="G120" t="s">
        <v>473</v>
      </c>
    </row>
    <row r="121" spans="1:7" x14ac:dyDescent="0.3">
      <c r="G121" t="s">
        <v>474</v>
      </c>
    </row>
    <row r="122" spans="1:7" x14ac:dyDescent="0.3">
      <c r="G122" t="s">
        <v>477</v>
      </c>
    </row>
    <row r="123" spans="1:7" x14ac:dyDescent="0.3">
      <c r="G123" t="s">
        <v>478</v>
      </c>
    </row>
    <row r="124" spans="1:7" x14ac:dyDescent="0.3">
      <c r="G124" t="s">
        <v>473</v>
      </c>
    </row>
    <row r="125" spans="1:7" x14ac:dyDescent="0.3">
      <c r="G125" t="s">
        <v>474</v>
      </c>
    </row>
    <row r="126" spans="1:7" x14ac:dyDescent="0.3">
      <c r="G126" t="s">
        <v>479</v>
      </c>
    </row>
    <row r="127" spans="1:7" x14ac:dyDescent="0.3">
      <c r="G127" t="s">
        <v>480</v>
      </c>
    </row>
    <row r="128" spans="1:7" x14ac:dyDescent="0.3">
      <c r="G128" t="s">
        <v>473</v>
      </c>
    </row>
    <row r="129" spans="7:7" x14ac:dyDescent="0.3">
      <c r="G129" t="s">
        <v>474</v>
      </c>
    </row>
    <row r="130" spans="7:7" x14ac:dyDescent="0.3">
      <c r="G130" t="s">
        <v>481</v>
      </c>
    </row>
    <row r="131" spans="7:7" x14ac:dyDescent="0.3">
      <c r="G131" t="s">
        <v>482</v>
      </c>
    </row>
    <row r="132" spans="7:7" x14ac:dyDescent="0.3">
      <c r="G132" t="s">
        <v>473</v>
      </c>
    </row>
    <row r="133" spans="7:7" x14ac:dyDescent="0.3">
      <c r="G133" t="s">
        <v>448</v>
      </c>
    </row>
    <row r="134" spans="7:7" x14ac:dyDescent="0.3">
      <c r="G134" t="s">
        <v>409</v>
      </c>
    </row>
    <row r="135" spans="7:7" x14ac:dyDescent="0.3">
      <c r="G135" t="s">
        <v>177</v>
      </c>
    </row>
    <row r="136" spans="7:7" x14ac:dyDescent="0.3">
      <c r="G136" t="s">
        <v>436</v>
      </c>
    </row>
    <row r="137" spans="7:7" x14ac:dyDescent="0.3">
      <c r="G137" t="s">
        <v>437</v>
      </c>
    </row>
    <row r="138" spans="7:7" x14ac:dyDescent="0.3">
      <c r="G138" t="s">
        <v>438</v>
      </c>
    </row>
    <row r="139" spans="7:7" x14ac:dyDescent="0.3">
      <c r="G139" t="s">
        <v>439</v>
      </c>
    </row>
    <row r="140" spans="7:7" x14ac:dyDescent="0.3">
      <c r="G140" t="s">
        <v>440</v>
      </c>
    </row>
    <row r="141" spans="7:7" x14ac:dyDescent="0.3">
      <c r="G141" t="s">
        <v>441</v>
      </c>
    </row>
    <row r="142" spans="7:7" x14ac:dyDescent="0.3">
      <c r="G142" t="s">
        <v>443</v>
      </c>
    </row>
    <row r="143" spans="7:7" x14ac:dyDescent="0.3">
      <c r="G143" t="s">
        <v>483</v>
      </c>
    </row>
    <row r="144" spans="7:7" x14ac:dyDescent="0.3">
      <c r="G144" t="s">
        <v>484</v>
      </c>
    </row>
    <row r="145" spans="7:7" x14ac:dyDescent="0.3">
      <c r="G145" t="s">
        <v>485</v>
      </c>
    </row>
    <row r="146" spans="7:7" x14ac:dyDescent="0.3">
      <c r="G146" t="s">
        <v>486</v>
      </c>
    </row>
    <row r="147" spans="7:7" x14ac:dyDescent="0.3">
      <c r="G147" t="s">
        <v>487</v>
      </c>
    </row>
    <row r="148" spans="7:7" x14ac:dyDescent="0.3">
      <c r="G148" t="s">
        <v>448</v>
      </c>
    </row>
    <row r="149" spans="7:7" x14ac:dyDescent="0.3">
      <c r="G149" t="s">
        <v>393</v>
      </c>
    </row>
    <row r="150" spans="7:7" x14ac:dyDescent="0.3">
      <c r="G150" t="s">
        <v>449</v>
      </c>
    </row>
    <row r="151" spans="7:7" x14ac:dyDescent="0.3">
      <c r="G151" t="s">
        <v>488</v>
      </c>
    </row>
    <row r="152" spans="7:7" x14ac:dyDescent="0.3">
      <c r="G152" t="s">
        <v>451</v>
      </c>
    </row>
    <row r="153" spans="7:7" x14ac:dyDescent="0.3">
      <c r="G153" t="s">
        <v>452</v>
      </c>
    </row>
    <row r="154" spans="7:7" x14ac:dyDescent="0.3">
      <c r="G154" t="s">
        <v>489</v>
      </c>
    </row>
    <row r="155" spans="7:7" x14ac:dyDescent="0.3">
      <c r="G155" t="s">
        <v>490</v>
      </c>
    </row>
    <row r="156" spans="7:7" x14ac:dyDescent="0.3">
      <c r="G156" t="s">
        <v>491</v>
      </c>
    </row>
    <row r="157" spans="7:7" x14ac:dyDescent="0.3">
      <c r="G157" t="s">
        <v>492</v>
      </c>
    </row>
    <row r="158" spans="7:7" x14ac:dyDescent="0.3">
      <c r="G158" t="s">
        <v>493</v>
      </c>
    </row>
    <row r="159" spans="7:7" x14ac:dyDescent="0.3">
      <c r="G159" t="s">
        <v>494</v>
      </c>
    </row>
    <row r="160" spans="7:7" x14ac:dyDescent="0.3">
      <c r="G160" t="s">
        <v>495</v>
      </c>
    </row>
    <row r="161" spans="7:7" x14ac:dyDescent="0.3">
      <c r="G161" t="s">
        <v>496</v>
      </c>
    </row>
    <row r="162" spans="7:7" x14ac:dyDescent="0.3">
      <c r="G162" t="s">
        <v>497</v>
      </c>
    </row>
    <row r="163" spans="7:7" x14ac:dyDescent="0.3">
      <c r="G163" t="s">
        <v>498</v>
      </c>
    </row>
    <row r="164" spans="7:7" x14ac:dyDescent="0.3">
      <c r="G164" t="s">
        <v>448</v>
      </c>
    </row>
    <row r="165" spans="7:7" x14ac:dyDescent="0.3">
      <c r="G165" t="s">
        <v>393</v>
      </c>
    </row>
    <row r="166" spans="7:7" x14ac:dyDescent="0.3">
      <c r="G166" t="s">
        <v>463</v>
      </c>
    </row>
    <row r="167" spans="7:7" x14ac:dyDescent="0.3">
      <c r="G167" t="s">
        <v>464</v>
      </c>
    </row>
    <row r="168" spans="7:7" x14ac:dyDescent="0.3">
      <c r="G168" t="s">
        <v>499</v>
      </c>
    </row>
    <row r="169" spans="7:7" x14ac:dyDescent="0.3">
      <c r="G169" t="s">
        <v>500</v>
      </c>
    </row>
    <row r="170" spans="7:7" x14ac:dyDescent="0.3">
      <c r="G170" t="s">
        <v>501</v>
      </c>
    </row>
    <row r="171" spans="7:7" x14ac:dyDescent="0.3">
      <c r="G171" t="s">
        <v>502</v>
      </c>
    </row>
    <row r="172" spans="7:7" x14ac:dyDescent="0.3">
      <c r="G172" t="s">
        <v>503</v>
      </c>
    </row>
    <row r="173" spans="7:7" x14ac:dyDescent="0.3">
      <c r="G173" t="s">
        <v>448</v>
      </c>
    </row>
    <row r="174" spans="7:7" x14ac:dyDescent="0.3">
      <c r="G174" t="s">
        <v>393</v>
      </c>
    </row>
    <row r="175" spans="7:7" x14ac:dyDescent="0.3">
      <c r="G175" t="s">
        <v>470</v>
      </c>
    </row>
    <row r="176" spans="7:7" x14ac:dyDescent="0.3">
      <c r="G176" t="s">
        <v>504</v>
      </c>
    </row>
    <row r="177" spans="7:7" x14ac:dyDescent="0.3">
      <c r="G177" t="s">
        <v>505</v>
      </c>
    </row>
    <row r="178" spans="7:7" x14ac:dyDescent="0.3">
      <c r="G178" t="s">
        <v>473</v>
      </c>
    </row>
    <row r="179" spans="7:7" x14ac:dyDescent="0.3">
      <c r="G179" t="s">
        <v>474</v>
      </c>
    </row>
    <row r="180" spans="7:7" x14ac:dyDescent="0.3">
      <c r="G180" t="s">
        <v>471</v>
      </c>
    </row>
    <row r="181" spans="7:7" x14ac:dyDescent="0.3">
      <c r="G181" t="s">
        <v>506</v>
      </c>
    </row>
    <row r="182" spans="7:7" x14ac:dyDescent="0.3">
      <c r="G182" t="s">
        <v>473</v>
      </c>
    </row>
    <row r="183" spans="7:7" x14ac:dyDescent="0.3">
      <c r="G183" t="s">
        <v>474</v>
      </c>
    </row>
    <row r="184" spans="7:7" x14ac:dyDescent="0.3">
      <c r="G184" t="s">
        <v>481</v>
      </c>
    </row>
    <row r="185" spans="7:7" x14ac:dyDescent="0.3">
      <c r="G185" t="s">
        <v>507</v>
      </c>
    </row>
    <row r="186" spans="7:7" x14ac:dyDescent="0.3">
      <c r="G186" t="s">
        <v>473</v>
      </c>
    </row>
    <row r="187" spans="7:7" x14ac:dyDescent="0.3">
      <c r="G187" t="s">
        <v>474</v>
      </c>
    </row>
    <row r="188" spans="7:7" x14ac:dyDescent="0.3">
      <c r="G188" t="s">
        <v>508</v>
      </c>
    </row>
    <row r="189" spans="7:7" x14ac:dyDescent="0.3">
      <c r="G189" t="s">
        <v>509</v>
      </c>
    </row>
    <row r="190" spans="7:7" x14ac:dyDescent="0.3">
      <c r="G190" t="s">
        <v>473</v>
      </c>
    </row>
    <row r="191" spans="7:7" x14ac:dyDescent="0.3">
      <c r="G191" t="s">
        <v>474</v>
      </c>
    </row>
    <row r="192" spans="7:7" x14ac:dyDescent="0.3">
      <c r="G192" t="s">
        <v>479</v>
      </c>
    </row>
    <row r="193" spans="7:7" x14ac:dyDescent="0.3">
      <c r="G193" t="s">
        <v>510</v>
      </c>
    </row>
    <row r="194" spans="7:7" x14ac:dyDescent="0.3">
      <c r="G194" t="s">
        <v>473</v>
      </c>
    </row>
    <row r="195" spans="7:7" x14ac:dyDescent="0.3">
      <c r="G195" t="s">
        <v>448</v>
      </c>
    </row>
    <row r="196" spans="7:7" x14ac:dyDescent="0.3">
      <c r="G196" t="s">
        <v>409</v>
      </c>
    </row>
    <row r="197" spans="7:7" x14ac:dyDescent="0.3">
      <c r="G197" t="s">
        <v>177</v>
      </c>
    </row>
    <row r="198" spans="7:7" x14ac:dyDescent="0.3">
      <c r="G198" t="s">
        <v>436</v>
      </c>
    </row>
    <row r="199" spans="7:7" x14ac:dyDescent="0.3">
      <c r="G199" t="s">
        <v>437</v>
      </c>
    </row>
    <row r="200" spans="7:7" x14ac:dyDescent="0.3">
      <c r="G200" t="s">
        <v>438</v>
      </c>
    </row>
    <row r="201" spans="7:7" x14ac:dyDescent="0.3">
      <c r="G201" t="s">
        <v>439</v>
      </c>
    </row>
    <row r="202" spans="7:7" x14ac:dyDescent="0.3">
      <c r="G202" t="s">
        <v>440</v>
      </c>
    </row>
    <row r="203" spans="7:7" x14ac:dyDescent="0.3">
      <c r="G203" t="s">
        <v>441</v>
      </c>
    </row>
    <row r="204" spans="7:7" x14ac:dyDescent="0.3">
      <c r="G204" t="s">
        <v>443</v>
      </c>
    </row>
    <row r="205" spans="7:7" x14ac:dyDescent="0.3">
      <c r="G205" t="s">
        <v>483</v>
      </c>
    </row>
    <row r="206" spans="7:7" x14ac:dyDescent="0.3">
      <c r="G206" t="s">
        <v>511</v>
      </c>
    </row>
    <row r="207" spans="7:7" x14ac:dyDescent="0.3">
      <c r="G207" t="s">
        <v>486</v>
      </c>
    </row>
    <row r="208" spans="7:7" x14ac:dyDescent="0.3">
      <c r="G208" t="s">
        <v>512</v>
      </c>
    </row>
    <row r="209" spans="7:7" x14ac:dyDescent="0.3">
      <c r="G209" t="s">
        <v>513</v>
      </c>
    </row>
    <row r="210" spans="7:7" x14ac:dyDescent="0.3">
      <c r="G210" t="s">
        <v>448</v>
      </c>
    </row>
    <row r="211" spans="7:7" x14ac:dyDescent="0.3">
      <c r="G211" t="s">
        <v>393</v>
      </c>
    </row>
    <row r="212" spans="7:7" x14ac:dyDescent="0.3">
      <c r="G212" t="s">
        <v>449</v>
      </c>
    </row>
    <row r="213" spans="7:7" x14ac:dyDescent="0.3">
      <c r="G213" t="s">
        <v>450</v>
      </c>
    </row>
    <row r="214" spans="7:7" x14ac:dyDescent="0.3">
      <c r="G214" t="s">
        <v>451</v>
      </c>
    </row>
    <row r="215" spans="7:7" x14ac:dyDescent="0.3">
      <c r="G215" t="s">
        <v>452</v>
      </c>
    </row>
    <row r="216" spans="7:7" x14ac:dyDescent="0.3">
      <c r="G216" t="s">
        <v>514</v>
      </c>
    </row>
    <row r="217" spans="7:7" x14ac:dyDescent="0.3">
      <c r="G217" t="s">
        <v>515</v>
      </c>
    </row>
    <row r="218" spans="7:7" x14ac:dyDescent="0.3">
      <c r="G218" t="s">
        <v>516</v>
      </c>
    </row>
    <row r="219" spans="7:7" x14ac:dyDescent="0.3">
      <c r="G219" t="s">
        <v>517</v>
      </c>
    </row>
    <row r="220" spans="7:7" x14ac:dyDescent="0.3">
      <c r="G220" t="s">
        <v>518</v>
      </c>
    </row>
    <row r="221" spans="7:7" x14ac:dyDescent="0.3">
      <c r="G221" t="s">
        <v>519</v>
      </c>
    </row>
    <row r="222" spans="7:7" x14ac:dyDescent="0.3">
      <c r="G222" t="s">
        <v>520</v>
      </c>
    </row>
    <row r="223" spans="7:7" x14ac:dyDescent="0.3">
      <c r="G223" t="s">
        <v>521</v>
      </c>
    </row>
    <row r="224" spans="7:7" x14ac:dyDescent="0.3">
      <c r="G224" t="s">
        <v>522</v>
      </c>
    </row>
    <row r="225" spans="7:7" x14ac:dyDescent="0.3">
      <c r="G225" t="s">
        <v>523</v>
      </c>
    </row>
    <row r="226" spans="7:7" x14ac:dyDescent="0.3">
      <c r="G226" t="s">
        <v>448</v>
      </c>
    </row>
    <row r="227" spans="7:7" x14ac:dyDescent="0.3">
      <c r="G227" t="s">
        <v>393</v>
      </c>
    </row>
    <row r="228" spans="7:7" x14ac:dyDescent="0.3">
      <c r="G228" t="s">
        <v>463</v>
      </c>
    </row>
    <row r="229" spans="7:7" x14ac:dyDescent="0.3">
      <c r="G229" t="s">
        <v>464</v>
      </c>
    </row>
    <row r="230" spans="7:7" x14ac:dyDescent="0.3">
      <c r="G230" t="s">
        <v>524</v>
      </c>
    </row>
    <row r="231" spans="7:7" x14ac:dyDescent="0.3">
      <c r="G231" t="s">
        <v>525</v>
      </c>
    </row>
    <row r="232" spans="7:7" x14ac:dyDescent="0.3">
      <c r="G232" t="s">
        <v>526</v>
      </c>
    </row>
    <row r="233" spans="7:7" x14ac:dyDescent="0.3">
      <c r="G233" t="s">
        <v>527</v>
      </c>
    </row>
    <row r="234" spans="7:7" x14ac:dyDescent="0.3">
      <c r="G234" t="s">
        <v>528</v>
      </c>
    </row>
    <row r="235" spans="7:7" x14ac:dyDescent="0.3">
      <c r="G235" t="s">
        <v>448</v>
      </c>
    </row>
    <row r="236" spans="7:7" x14ac:dyDescent="0.3">
      <c r="G236" t="s">
        <v>393</v>
      </c>
    </row>
    <row r="237" spans="7:7" x14ac:dyDescent="0.3">
      <c r="G237" t="s">
        <v>470</v>
      </c>
    </row>
    <row r="238" spans="7:7" x14ac:dyDescent="0.3">
      <c r="G238" t="s">
        <v>481</v>
      </c>
    </row>
    <row r="239" spans="7:7" x14ac:dyDescent="0.3">
      <c r="G239" t="s">
        <v>529</v>
      </c>
    </row>
    <row r="240" spans="7:7" x14ac:dyDescent="0.3">
      <c r="G240" t="s">
        <v>473</v>
      </c>
    </row>
    <row r="241" spans="7:7" x14ac:dyDescent="0.3">
      <c r="G241" t="s">
        <v>474</v>
      </c>
    </row>
    <row r="242" spans="7:7" x14ac:dyDescent="0.3">
      <c r="G242" t="s">
        <v>504</v>
      </c>
    </row>
    <row r="243" spans="7:7" x14ac:dyDescent="0.3">
      <c r="G243" t="s">
        <v>530</v>
      </c>
    </row>
    <row r="244" spans="7:7" x14ac:dyDescent="0.3">
      <c r="G244" t="s">
        <v>473</v>
      </c>
    </row>
    <row r="245" spans="7:7" x14ac:dyDescent="0.3">
      <c r="G245" t="s">
        <v>474</v>
      </c>
    </row>
    <row r="246" spans="7:7" x14ac:dyDescent="0.3">
      <c r="G246" t="s">
        <v>471</v>
      </c>
    </row>
    <row r="247" spans="7:7" x14ac:dyDescent="0.3">
      <c r="G247" t="s">
        <v>531</v>
      </c>
    </row>
    <row r="248" spans="7:7" x14ac:dyDescent="0.3">
      <c r="G248" t="s">
        <v>473</v>
      </c>
    </row>
    <row r="249" spans="7:7" x14ac:dyDescent="0.3">
      <c r="G249" t="s">
        <v>474</v>
      </c>
    </row>
    <row r="250" spans="7:7" x14ac:dyDescent="0.3">
      <c r="G250" t="s">
        <v>508</v>
      </c>
    </row>
    <row r="251" spans="7:7" x14ac:dyDescent="0.3">
      <c r="G251" t="s">
        <v>532</v>
      </c>
    </row>
    <row r="252" spans="7:7" x14ac:dyDescent="0.3">
      <c r="G252" t="s">
        <v>473</v>
      </c>
    </row>
    <row r="253" spans="7:7" x14ac:dyDescent="0.3">
      <c r="G253" t="s">
        <v>474</v>
      </c>
    </row>
    <row r="254" spans="7:7" x14ac:dyDescent="0.3">
      <c r="G254" t="s">
        <v>479</v>
      </c>
    </row>
    <row r="255" spans="7:7" x14ac:dyDescent="0.3">
      <c r="G255" t="s">
        <v>533</v>
      </c>
    </row>
    <row r="256" spans="7:7" x14ac:dyDescent="0.3">
      <c r="G256" t="s">
        <v>473</v>
      </c>
    </row>
    <row r="257" spans="7:7" x14ac:dyDescent="0.3">
      <c r="G257" t="s">
        <v>448</v>
      </c>
    </row>
    <row r="258" spans="7:7" x14ac:dyDescent="0.3">
      <c r="G258" t="s">
        <v>409</v>
      </c>
    </row>
    <row r="259" spans="7:7" x14ac:dyDescent="0.3">
      <c r="G259" t="s">
        <v>177</v>
      </c>
    </row>
    <row r="260" spans="7:7" x14ac:dyDescent="0.3">
      <c r="G260" t="s">
        <v>436</v>
      </c>
    </row>
    <row r="261" spans="7:7" x14ac:dyDescent="0.3">
      <c r="G261" t="s">
        <v>437</v>
      </c>
    </row>
    <row r="262" spans="7:7" x14ac:dyDescent="0.3">
      <c r="G262" t="s">
        <v>438</v>
      </c>
    </row>
    <row r="263" spans="7:7" x14ac:dyDescent="0.3">
      <c r="G263" t="s">
        <v>439</v>
      </c>
    </row>
    <row r="264" spans="7:7" x14ac:dyDescent="0.3">
      <c r="G264" t="s">
        <v>441</v>
      </c>
    </row>
    <row r="265" spans="7:7" x14ac:dyDescent="0.3">
      <c r="G265" t="s">
        <v>443</v>
      </c>
    </row>
    <row r="266" spans="7:7" x14ac:dyDescent="0.3">
      <c r="G266" t="s">
        <v>483</v>
      </c>
    </row>
    <row r="267" spans="7:7" x14ac:dyDescent="0.3">
      <c r="G267" t="s">
        <v>486</v>
      </c>
    </row>
    <row r="268" spans="7:7" x14ac:dyDescent="0.3">
      <c r="G268" t="s">
        <v>534</v>
      </c>
    </row>
    <row r="269" spans="7:7" x14ac:dyDescent="0.3">
      <c r="G269" t="s">
        <v>535</v>
      </c>
    </row>
    <row r="270" spans="7:7" x14ac:dyDescent="0.3">
      <c r="G270" t="s">
        <v>536</v>
      </c>
    </row>
    <row r="271" spans="7:7" x14ac:dyDescent="0.3">
      <c r="G271" t="s">
        <v>537</v>
      </c>
    </row>
    <row r="272" spans="7:7" x14ac:dyDescent="0.3">
      <c r="G272" t="s">
        <v>448</v>
      </c>
    </row>
    <row r="273" spans="7:7" x14ac:dyDescent="0.3">
      <c r="G273" t="s">
        <v>393</v>
      </c>
    </row>
    <row r="274" spans="7:7" x14ac:dyDescent="0.3">
      <c r="G274" t="s">
        <v>449</v>
      </c>
    </row>
    <row r="275" spans="7:7" x14ac:dyDescent="0.3">
      <c r="G275" t="s">
        <v>450</v>
      </c>
    </row>
    <row r="276" spans="7:7" x14ac:dyDescent="0.3">
      <c r="G276" t="s">
        <v>451</v>
      </c>
    </row>
    <row r="277" spans="7:7" x14ac:dyDescent="0.3">
      <c r="G277" t="s">
        <v>452</v>
      </c>
    </row>
    <row r="278" spans="7:7" x14ac:dyDescent="0.3">
      <c r="G278" t="s">
        <v>538</v>
      </c>
    </row>
    <row r="279" spans="7:7" x14ac:dyDescent="0.3">
      <c r="G279" t="s">
        <v>539</v>
      </c>
    </row>
    <row r="280" spans="7:7" x14ac:dyDescent="0.3">
      <c r="G280" t="s">
        <v>540</v>
      </c>
    </row>
    <row r="281" spans="7:7" x14ac:dyDescent="0.3">
      <c r="G281" t="s">
        <v>541</v>
      </c>
    </row>
    <row r="282" spans="7:7" x14ac:dyDescent="0.3">
      <c r="G282" t="s">
        <v>542</v>
      </c>
    </row>
    <row r="283" spans="7:7" x14ac:dyDescent="0.3">
      <c r="G283" t="s">
        <v>543</v>
      </c>
    </row>
    <row r="284" spans="7:7" x14ac:dyDescent="0.3">
      <c r="G284" t="s">
        <v>544</v>
      </c>
    </row>
    <row r="285" spans="7:7" x14ac:dyDescent="0.3">
      <c r="G285" t="s">
        <v>545</v>
      </c>
    </row>
    <row r="286" spans="7:7" x14ac:dyDescent="0.3">
      <c r="G286" t="s">
        <v>546</v>
      </c>
    </row>
    <row r="287" spans="7:7" x14ac:dyDescent="0.3">
      <c r="G287" t="s">
        <v>547</v>
      </c>
    </row>
    <row r="288" spans="7:7" x14ac:dyDescent="0.3">
      <c r="G288" t="s">
        <v>448</v>
      </c>
    </row>
    <row r="289" spans="7:7" x14ac:dyDescent="0.3">
      <c r="G289" t="s">
        <v>393</v>
      </c>
    </row>
    <row r="290" spans="7:7" x14ac:dyDescent="0.3">
      <c r="G290" t="s">
        <v>463</v>
      </c>
    </row>
    <row r="291" spans="7:7" x14ac:dyDescent="0.3">
      <c r="G291" t="s">
        <v>464</v>
      </c>
    </row>
    <row r="292" spans="7:7" x14ac:dyDescent="0.3">
      <c r="G292" t="s">
        <v>548</v>
      </c>
    </row>
    <row r="293" spans="7:7" x14ac:dyDescent="0.3">
      <c r="G293" t="s">
        <v>549</v>
      </c>
    </row>
    <row r="294" spans="7:7" x14ac:dyDescent="0.3">
      <c r="G294" t="s">
        <v>550</v>
      </c>
    </row>
    <row r="295" spans="7:7" x14ac:dyDescent="0.3">
      <c r="G295" t="s">
        <v>551</v>
      </c>
    </row>
    <row r="296" spans="7:7" x14ac:dyDescent="0.3">
      <c r="G296" t="s">
        <v>552</v>
      </c>
    </row>
    <row r="297" spans="7:7" x14ac:dyDescent="0.3">
      <c r="G297" t="s">
        <v>448</v>
      </c>
    </row>
    <row r="298" spans="7:7" x14ac:dyDescent="0.3">
      <c r="G298" t="s">
        <v>393</v>
      </c>
    </row>
    <row r="299" spans="7:7" x14ac:dyDescent="0.3">
      <c r="G299" t="s">
        <v>470</v>
      </c>
    </row>
    <row r="300" spans="7:7" x14ac:dyDescent="0.3">
      <c r="G300" t="s">
        <v>553</v>
      </c>
    </row>
    <row r="301" spans="7:7" x14ac:dyDescent="0.3">
      <c r="G301" t="s">
        <v>554</v>
      </c>
    </row>
    <row r="302" spans="7:7" x14ac:dyDescent="0.3">
      <c r="G302" t="s">
        <v>473</v>
      </c>
    </row>
    <row r="303" spans="7:7" x14ac:dyDescent="0.3">
      <c r="G303" t="s">
        <v>474</v>
      </c>
    </row>
    <row r="304" spans="7:7" x14ac:dyDescent="0.3">
      <c r="G304" t="s">
        <v>504</v>
      </c>
    </row>
    <row r="305" spans="7:7" x14ac:dyDescent="0.3">
      <c r="G305" t="s">
        <v>555</v>
      </c>
    </row>
    <row r="306" spans="7:7" x14ac:dyDescent="0.3">
      <c r="G306" t="s">
        <v>473</v>
      </c>
    </row>
    <row r="307" spans="7:7" x14ac:dyDescent="0.3">
      <c r="G307" t="s">
        <v>474</v>
      </c>
    </row>
    <row r="308" spans="7:7" x14ac:dyDescent="0.3">
      <c r="G308" t="s">
        <v>508</v>
      </c>
    </row>
    <row r="309" spans="7:7" x14ac:dyDescent="0.3">
      <c r="G309" t="s">
        <v>556</v>
      </c>
    </row>
    <row r="310" spans="7:7" x14ac:dyDescent="0.3">
      <c r="G310" t="s">
        <v>473</v>
      </c>
    </row>
    <row r="311" spans="7:7" x14ac:dyDescent="0.3">
      <c r="G311" t="s">
        <v>474</v>
      </c>
    </row>
    <row r="312" spans="7:7" x14ac:dyDescent="0.3">
      <c r="G312" t="s">
        <v>481</v>
      </c>
    </row>
    <row r="313" spans="7:7" x14ac:dyDescent="0.3">
      <c r="G313" t="s">
        <v>557</v>
      </c>
    </row>
    <row r="314" spans="7:7" x14ac:dyDescent="0.3">
      <c r="G314" t="s">
        <v>473</v>
      </c>
    </row>
    <row r="315" spans="7:7" x14ac:dyDescent="0.3">
      <c r="G315" t="s">
        <v>474</v>
      </c>
    </row>
    <row r="316" spans="7:7" x14ac:dyDescent="0.3">
      <c r="G316" t="s">
        <v>479</v>
      </c>
    </row>
    <row r="317" spans="7:7" x14ac:dyDescent="0.3">
      <c r="G317" t="s">
        <v>558</v>
      </c>
    </row>
    <row r="318" spans="7:7" x14ac:dyDescent="0.3">
      <c r="G318" t="s">
        <v>473</v>
      </c>
    </row>
    <row r="319" spans="7:7" x14ac:dyDescent="0.3">
      <c r="G319" t="s">
        <v>448</v>
      </c>
    </row>
    <row r="320" spans="7:7" x14ac:dyDescent="0.3">
      <c r="G320" t="s">
        <v>409</v>
      </c>
    </row>
    <row r="321" spans="7:7" x14ac:dyDescent="0.3">
      <c r="G321" t="s">
        <v>177</v>
      </c>
    </row>
    <row r="322" spans="7:7" x14ac:dyDescent="0.3">
      <c r="G322" t="s">
        <v>436</v>
      </c>
    </row>
    <row r="323" spans="7:7" x14ac:dyDescent="0.3">
      <c r="G323" t="s">
        <v>437</v>
      </c>
    </row>
    <row r="324" spans="7:7" x14ac:dyDescent="0.3">
      <c r="G324" t="s">
        <v>438</v>
      </c>
    </row>
    <row r="325" spans="7:7" x14ac:dyDescent="0.3">
      <c r="G325" t="s">
        <v>439</v>
      </c>
    </row>
    <row r="326" spans="7:7" x14ac:dyDescent="0.3">
      <c r="G326" t="s">
        <v>440</v>
      </c>
    </row>
    <row r="327" spans="7:7" x14ac:dyDescent="0.3">
      <c r="G327" t="s">
        <v>559</v>
      </c>
    </row>
    <row r="328" spans="7:7" x14ac:dyDescent="0.3">
      <c r="G328" t="s">
        <v>441</v>
      </c>
    </row>
    <row r="329" spans="7:7" x14ac:dyDescent="0.3">
      <c r="G329" t="s">
        <v>560</v>
      </c>
    </row>
    <row r="330" spans="7:7" x14ac:dyDescent="0.3">
      <c r="G330" t="s">
        <v>443</v>
      </c>
    </row>
    <row r="331" spans="7:7" x14ac:dyDescent="0.3">
      <c r="G331" t="s">
        <v>444</v>
      </c>
    </row>
    <row r="332" spans="7:7" x14ac:dyDescent="0.3">
      <c r="G332" t="s">
        <v>445</v>
      </c>
    </row>
    <row r="333" spans="7:7" x14ac:dyDescent="0.3">
      <c r="G333" t="s">
        <v>561</v>
      </c>
    </row>
    <row r="334" spans="7:7" x14ac:dyDescent="0.3">
      <c r="G334" t="s">
        <v>448</v>
      </c>
    </row>
    <row r="335" spans="7:7" x14ac:dyDescent="0.3">
      <c r="G335" t="s">
        <v>393</v>
      </c>
    </row>
    <row r="336" spans="7:7" x14ac:dyDescent="0.3">
      <c r="G336" t="s">
        <v>449</v>
      </c>
    </row>
    <row r="337" spans="7:7" x14ac:dyDescent="0.3">
      <c r="G337" t="s">
        <v>488</v>
      </c>
    </row>
    <row r="338" spans="7:7" x14ac:dyDescent="0.3">
      <c r="G338" t="s">
        <v>451</v>
      </c>
    </row>
    <row r="339" spans="7:7" x14ac:dyDescent="0.3">
      <c r="G339" t="s">
        <v>452</v>
      </c>
    </row>
    <row r="340" spans="7:7" x14ac:dyDescent="0.3">
      <c r="G340" t="s">
        <v>562</v>
      </c>
    </row>
    <row r="341" spans="7:7" x14ac:dyDescent="0.3">
      <c r="G341" t="s">
        <v>563</v>
      </c>
    </row>
    <row r="342" spans="7:7" x14ac:dyDescent="0.3">
      <c r="G342" t="s">
        <v>564</v>
      </c>
    </row>
    <row r="343" spans="7:7" x14ac:dyDescent="0.3">
      <c r="G343" t="s">
        <v>565</v>
      </c>
    </row>
    <row r="344" spans="7:7" x14ac:dyDescent="0.3">
      <c r="G344" t="s">
        <v>566</v>
      </c>
    </row>
    <row r="345" spans="7:7" x14ac:dyDescent="0.3">
      <c r="G345" t="s">
        <v>567</v>
      </c>
    </row>
    <row r="346" spans="7:7" x14ac:dyDescent="0.3">
      <c r="G346" t="s">
        <v>568</v>
      </c>
    </row>
    <row r="347" spans="7:7" x14ac:dyDescent="0.3">
      <c r="G347" t="s">
        <v>569</v>
      </c>
    </row>
    <row r="348" spans="7:7" x14ac:dyDescent="0.3">
      <c r="G348" t="s">
        <v>570</v>
      </c>
    </row>
    <row r="349" spans="7:7" x14ac:dyDescent="0.3">
      <c r="G349" t="s">
        <v>571</v>
      </c>
    </row>
    <row r="350" spans="7:7" x14ac:dyDescent="0.3">
      <c r="G350" t="s">
        <v>448</v>
      </c>
    </row>
    <row r="351" spans="7:7" x14ac:dyDescent="0.3">
      <c r="G351" t="s">
        <v>393</v>
      </c>
    </row>
    <row r="352" spans="7:7" x14ac:dyDescent="0.3">
      <c r="G352" t="s">
        <v>463</v>
      </c>
    </row>
    <row r="353" spans="7:7" x14ac:dyDescent="0.3">
      <c r="G353" t="s">
        <v>464</v>
      </c>
    </row>
    <row r="354" spans="7:7" x14ac:dyDescent="0.3">
      <c r="G354" t="s">
        <v>572</v>
      </c>
    </row>
    <row r="355" spans="7:7" x14ac:dyDescent="0.3">
      <c r="G355" t="s">
        <v>573</v>
      </c>
    </row>
    <row r="356" spans="7:7" x14ac:dyDescent="0.3">
      <c r="G356" t="s">
        <v>574</v>
      </c>
    </row>
    <row r="357" spans="7:7" x14ac:dyDescent="0.3">
      <c r="G357" t="s">
        <v>575</v>
      </c>
    </row>
    <row r="358" spans="7:7" x14ac:dyDescent="0.3">
      <c r="G358" t="s">
        <v>576</v>
      </c>
    </row>
    <row r="359" spans="7:7" x14ac:dyDescent="0.3">
      <c r="G359" t="s">
        <v>448</v>
      </c>
    </row>
    <row r="360" spans="7:7" x14ac:dyDescent="0.3">
      <c r="G360" t="s">
        <v>393</v>
      </c>
    </row>
    <row r="361" spans="7:7" x14ac:dyDescent="0.3">
      <c r="G361" t="s">
        <v>470</v>
      </c>
    </row>
    <row r="362" spans="7:7" x14ac:dyDescent="0.3">
      <c r="G362" t="s">
        <v>471</v>
      </c>
    </row>
    <row r="363" spans="7:7" x14ac:dyDescent="0.3">
      <c r="G363" t="s">
        <v>577</v>
      </c>
    </row>
    <row r="364" spans="7:7" x14ac:dyDescent="0.3">
      <c r="G364" t="s">
        <v>473</v>
      </c>
    </row>
    <row r="365" spans="7:7" x14ac:dyDescent="0.3">
      <c r="G365" t="s">
        <v>474</v>
      </c>
    </row>
    <row r="366" spans="7:7" x14ac:dyDescent="0.3">
      <c r="G366" t="s">
        <v>475</v>
      </c>
    </row>
    <row r="367" spans="7:7" x14ac:dyDescent="0.3">
      <c r="G367" t="s">
        <v>578</v>
      </c>
    </row>
    <row r="368" spans="7:7" x14ac:dyDescent="0.3">
      <c r="G368" t="s">
        <v>473</v>
      </c>
    </row>
    <row r="369" spans="7:7" x14ac:dyDescent="0.3">
      <c r="G369" t="s">
        <v>474</v>
      </c>
    </row>
    <row r="370" spans="7:7" x14ac:dyDescent="0.3">
      <c r="G370" t="s">
        <v>477</v>
      </c>
    </row>
    <row r="371" spans="7:7" x14ac:dyDescent="0.3">
      <c r="G371" t="s">
        <v>579</v>
      </c>
    </row>
    <row r="372" spans="7:7" x14ac:dyDescent="0.3">
      <c r="G372" t="s">
        <v>473</v>
      </c>
    </row>
    <row r="373" spans="7:7" x14ac:dyDescent="0.3">
      <c r="G373" t="s">
        <v>474</v>
      </c>
    </row>
    <row r="374" spans="7:7" x14ac:dyDescent="0.3">
      <c r="G374" t="s">
        <v>481</v>
      </c>
    </row>
    <row r="375" spans="7:7" x14ac:dyDescent="0.3">
      <c r="G375" t="s">
        <v>580</v>
      </c>
    </row>
    <row r="376" spans="7:7" x14ac:dyDescent="0.3">
      <c r="G376" t="s">
        <v>473</v>
      </c>
    </row>
    <row r="377" spans="7:7" x14ac:dyDescent="0.3">
      <c r="G377" t="s">
        <v>474</v>
      </c>
    </row>
    <row r="378" spans="7:7" x14ac:dyDescent="0.3">
      <c r="G378" t="s">
        <v>479</v>
      </c>
    </row>
    <row r="379" spans="7:7" x14ac:dyDescent="0.3">
      <c r="G379" t="s">
        <v>581</v>
      </c>
    </row>
    <row r="380" spans="7:7" x14ac:dyDescent="0.3">
      <c r="G380" t="s">
        <v>473</v>
      </c>
    </row>
    <row r="381" spans="7:7" x14ac:dyDescent="0.3">
      <c r="G381" t="s">
        <v>448</v>
      </c>
    </row>
    <row r="382" spans="7:7" x14ac:dyDescent="0.3">
      <c r="G382" t="s">
        <v>409</v>
      </c>
    </row>
    <row r="383" spans="7:7" x14ac:dyDescent="0.3">
      <c r="G383" t="s">
        <v>177</v>
      </c>
    </row>
    <row r="384" spans="7:7" x14ac:dyDescent="0.3">
      <c r="G384" t="s">
        <v>436</v>
      </c>
    </row>
    <row r="385" spans="7:7" x14ac:dyDescent="0.3">
      <c r="G385" t="s">
        <v>437</v>
      </c>
    </row>
    <row r="386" spans="7:7" x14ac:dyDescent="0.3">
      <c r="G386" t="s">
        <v>438</v>
      </c>
    </row>
    <row r="387" spans="7:7" x14ac:dyDescent="0.3">
      <c r="G387" t="s">
        <v>439</v>
      </c>
    </row>
    <row r="388" spans="7:7" x14ac:dyDescent="0.3">
      <c r="G388" t="s">
        <v>440</v>
      </c>
    </row>
    <row r="389" spans="7:7" x14ac:dyDescent="0.3">
      <c r="G389" t="s">
        <v>582</v>
      </c>
    </row>
    <row r="390" spans="7:7" x14ac:dyDescent="0.3">
      <c r="G390" t="s">
        <v>583</v>
      </c>
    </row>
    <row r="391" spans="7:7" x14ac:dyDescent="0.3">
      <c r="G391" t="s">
        <v>441</v>
      </c>
    </row>
    <row r="392" spans="7:7" x14ac:dyDescent="0.3">
      <c r="G392" t="s">
        <v>443</v>
      </c>
    </row>
    <row r="393" spans="7:7" x14ac:dyDescent="0.3">
      <c r="G393" t="s">
        <v>483</v>
      </c>
    </row>
    <row r="394" spans="7:7" x14ac:dyDescent="0.3">
      <c r="G394" t="s">
        <v>445</v>
      </c>
    </row>
    <row r="395" spans="7:7" x14ac:dyDescent="0.3">
      <c r="G395" t="s">
        <v>584</v>
      </c>
    </row>
    <row r="396" spans="7:7" x14ac:dyDescent="0.3">
      <c r="G396" t="s">
        <v>448</v>
      </c>
    </row>
    <row r="397" spans="7:7" x14ac:dyDescent="0.3">
      <c r="G397" t="s">
        <v>393</v>
      </c>
    </row>
    <row r="398" spans="7:7" x14ac:dyDescent="0.3">
      <c r="G398" t="s">
        <v>449</v>
      </c>
    </row>
    <row r="399" spans="7:7" x14ac:dyDescent="0.3">
      <c r="G399" t="s">
        <v>450</v>
      </c>
    </row>
    <row r="400" spans="7:7" x14ac:dyDescent="0.3">
      <c r="G400" t="s">
        <v>451</v>
      </c>
    </row>
    <row r="401" spans="7:7" x14ac:dyDescent="0.3">
      <c r="G401" t="s">
        <v>452</v>
      </c>
    </row>
    <row r="402" spans="7:7" x14ac:dyDescent="0.3">
      <c r="G402" t="s">
        <v>585</v>
      </c>
    </row>
    <row r="403" spans="7:7" x14ac:dyDescent="0.3">
      <c r="G403" t="s">
        <v>586</v>
      </c>
    </row>
    <row r="404" spans="7:7" x14ac:dyDescent="0.3">
      <c r="G404" t="s">
        <v>587</v>
      </c>
    </row>
    <row r="405" spans="7:7" x14ac:dyDescent="0.3">
      <c r="G405" t="s">
        <v>588</v>
      </c>
    </row>
    <row r="406" spans="7:7" x14ac:dyDescent="0.3">
      <c r="G406" t="s">
        <v>589</v>
      </c>
    </row>
    <row r="407" spans="7:7" x14ac:dyDescent="0.3">
      <c r="G407" t="s">
        <v>590</v>
      </c>
    </row>
    <row r="408" spans="7:7" x14ac:dyDescent="0.3">
      <c r="G408" t="s">
        <v>591</v>
      </c>
    </row>
    <row r="409" spans="7:7" x14ac:dyDescent="0.3">
      <c r="G409" t="s">
        <v>592</v>
      </c>
    </row>
    <row r="410" spans="7:7" x14ac:dyDescent="0.3">
      <c r="G410" t="s">
        <v>593</v>
      </c>
    </row>
    <row r="411" spans="7:7" x14ac:dyDescent="0.3">
      <c r="G411" t="s">
        <v>594</v>
      </c>
    </row>
    <row r="412" spans="7:7" x14ac:dyDescent="0.3">
      <c r="G412" t="s">
        <v>448</v>
      </c>
    </row>
    <row r="413" spans="7:7" x14ac:dyDescent="0.3">
      <c r="G413" t="s">
        <v>393</v>
      </c>
    </row>
    <row r="414" spans="7:7" x14ac:dyDescent="0.3">
      <c r="G414" t="s">
        <v>463</v>
      </c>
    </row>
    <row r="415" spans="7:7" x14ac:dyDescent="0.3">
      <c r="G415" t="s">
        <v>464</v>
      </c>
    </row>
    <row r="416" spans="7:7" x14ac:dyDescent="0.3">
      <c r="G416" t="s">
        <v>595</v>
      </c>
    </row>
    <row r="417" spans="7:7" x14ac:dyDescent="0.3">
      <c r="G417" t="s">
        <v>596</v>
      </c>
    </row>
    <row r="418" spans="7:7" x14ac:dyDescent="0.3">
      <c r="G418" t="s">
        <v>597</v>
      </c>
    </row>
    <row r="419" spans="7:7" x14ac:dyDescent="0.3">
      <c r="G419" t="s">
        <v>598</v>
      </c>
    </row>
    <row r="420" spans="7:7" x14ac:dyDescent="0.3">
      <c r="G420" t="s">
        <v>599</v>
      </c>
    </row>
    <row r="421" spans="7:7" x14ac:dyDescent="0.3">
      <c r="G421" t="s">
        <v>448</v>
      </c>
    </row>
    <row r="422" spans="7:7" x14ac:dyDescent="0.3">
      <c r="G422" t="s">
        <v>393</v>
      </c>
    </row>
    <row r="423" spans="7:7" x14ac:dyDescent="0.3">
      <c r="G423" t="s">
        <v>470</v>
      </c>
    </row>
    <row r="424" spans="7:7" x14ac:dyDescent="0.3">
      <c r="G424" t="s">
        <v>471</v>
      </c>
    </row>
    <row r="425" spans="7:7" x14ac:dyDescent="0.3">
      <c r="G425" t="s">
        <v>600</v>
      </c>
    </row>
    <row r="426" spans="7:7" x14ac:dyDescent="0.3">
      <c r="G426" t="s">
        <v>601</v>
      </c>
    </row>
    <row r="427" spans="7:7" x14ac:dyDescent="0.3">
      <c r="G427" t="s">
        <v>474</v>
      </c>
    </row>
    <row r="428" spans="7:7" x14ac:dyDescent="0.3">
      <c r="G428" t="s">
        <v>481</v>
      </c>
    </row>
    <row r="429" spans="7:7" x14ac:dyDescent="0.3">
      <c r="G429" t="s">
        <v>602</v>
      </c>
    </row>
    <row r="430" spans="7:7" x14ac:dyDescent="0.3">
      <c r="G430" t="s">
        <v>473</v>
      </c>
    </row>
    <row r="431" spans="7:7" x14ac:dyDescent="0.3">
      <c r="G431" t="s">
        <v>474</v>
      </c>
    </row>
    <row r="432" spans="7:7" x14ac:dyDescent="0.3">
      <c r="G432" t="s">
        <v>475</v>
      </c>
    </row>
    <row r="433" spans="7:7" x14ac:dyDescent="0.3">
      <c r="G433" t="s">
        <v>603</v>
      </c>
    </row>
    <row r="434" spans="7:7" x14ac:dyDescent="0.3">
      <c r="G434" t="s">
        <v>473</v>
      </c>
    </row>
    <row r="435" spans="7:7" x14ac:dyDescent="0.3">
      <c r="G435" t="s">
        <v>474</v>
      </c>
    </row>
    <row r="436" spans="7:7" x14ac:dyDescent="0.3">
      <c r="G436" t="s">
        <v>508</v>
      </c>
    </row>
    <row r="437" spans="7:7" x14ac:dyDescent="0.3">
      <c r="G437" t="s">
        <v>604</v>
      </c>
    </row>
    <row r="438" spans="7:7" x14ac:dyDescent="0.3">
      <c r="G438" t="s">
        <v>473</v>
      </c>
    </row>
    <row r="439" spans="7:7" x14ac:dyDescent="0.3">
      <c r="G439" t="s">
        <v>474</v>
      </c>
    </row>
    <row r="440" spans="7:7" x14ac:dyDescent="0.3">
      <c r="G440" t="s">
        <v>479</v>
      </c>
    </row>
    <row r="441" spans="7:7" x14ac:dyDescent="0.3">
      <c r="G441" t="s">
        <v>605</v>
      </c>
    </row>
    <row r="442" spans="7:7" x14ac:dyDescent="0.3">
      <c r="G442" t="s">
        <v>473</v>
      </c>
    </row>
    <row r="443" spans="7:7" x14ac:dyDescent="0.3">
      <c r="G443" t="s">
        <v>448</v>
      </c>
    </row>
    <row r="444" spans="7:7" x14ac:dyDescent="0.3">
      <c r="G444" t="s">
        <v>409</v>
      </c>
    </row>
    <row r="445" spans="7:7" x14ac:dyDescent="0.3">
      <c r="G445" t="s">
        <v>177</v>
      </c>
    </row>
    <row r="446" spans="7:7" x14ac:dyDescent="0.3">
      <c r="G446" t="s">
        <v>436</v>
      </c>
    </row>
    <row r="447" spans="7:7" x14ac:dyDescent="0.3">
      <c r="G447" t="s">
        <v>437</v>
      </c>
    </row>
    <row r="448" spans="7:7" x14ac:dyDescent="0.3">
      <c r="G448" t="s">
        <v>438</v>
      </c>
    </row>
    <row r="449" spans="7:7" x14ac:dyDescent="0.3">
      <c r="G449" t="s">
        <v>439</v>
      </c>
    </row>
    <row r="450" spans="7:7" x14ac:dyDescent="0.3">
      <c r="G450" t="s">
        <v>440</v>
      </c>
    </row>
    <row r="451" spans="7:7" x14ac:dyDescent="0.3">
      <c r="G451" t="s">
        <v>441</v>
      </c>
    </row>
    <row r="452" spans="7:7" x14ac:dyDescent="0.3">
      <c r="G452" t="s">
        <v>606</v>
      </c>
    </row>
    <row r="453" spans="7:7" x14ac:dyDescent="0.3">
      <c r="G453" t="s">
        <v>443</v>
      </c>
    </row>
    <row r="454" spans="7:7" x14ac:dyDescent="0.3">
      <c r="G454" t="s">
        <v>483</v>
      </c>
    </row>
    <row r="455" spans="7:7" x14ac:dyDescent="0.3">
      <c r="G455" t="s">
        <v>607</v>
      </c>
    </row>
    <row r="456" spans="7:7" x14ac:dyDescent="0.3">
      <c r="G456" t="s">
        <v>445</v>
      </c>
    </row>
    <row r="457" spans="7:7" x14ac:dyDescent="0.3">
      <c r="G457" t="s">
        <v>608</v>
      </c>
    </row>
    <row r="458" spans="7:7" x14ac:dyDescent="0.3">
      <c r="G458" t="s">
        <v>448</v>
      </c>
    </row>
    <row r="459" spans="7:7" x14ac:dyDescent="0.3">
      <c r="G459" t="s">
        <v>393</v>
      </c>
    </row>
    <row r="460" spans="7:7" x14ac:dyDescent="0.3">
      <c r="G460" t="s">
        <v>449</v>
      </c>
    </row>
    <row r="461" spans="7:7" x14ac:dyDescent="0.3">
      <c r="G461" t="s">
        <v>450</v>
      </c>
    </row>
    <row r="462" spans="7:7" x14ac:dyDescent="0.3">
      <c r="G462" t="s">
        <v>451</v>
      </c>
    </row>
    <row r="463" spans="7:7" x14ac:dyDescent="0.3">
      <c r="G463" t="s">
        <v>452</v>
      </c>
    </row>
    <row r="464" spans="7:7" x14ac:dyDescent="0.3">
      <c r="G464" t="s">
        <v>609</v>
      </c>
    </row>
    <row r="465" spans="7:7" x14ac:dyDescent="0.3">
      <c r="G465" t="s">
        <v>610</v>
      </c>
    </row>
    <row r="466" spans="7:7" x14ac:dyDescent="0.3">
      <c r="G466" t="s">
        <v>611</v>
      </c>
    </row>
    <row r="467" spans="7:7" x14ac:dyDescent="0.3">
      <c r="G467" t="s">
        <v>612</v>
      </c>
    </row>
    <row r="468" spans="7:7" x14ac:dyDescent="0.3">
      <c r="G468" t="s">
        <v>613</v>
      </c>
    </row>
    <row r="469" spans="7:7" x14ac:dyDescent="0.3">
      <c r="G469" t="s">
        <v>614</v>
      </c>
    </row>
    <row r="470" spans="7:7" x14ac:dyDescent="0.3">
      <c r="G470" t="s">
        <v>615</v>
      </c>
    </row>
    <row r="471" spans="7:7" x14ac:dyDescent="0.3">
      <c r="G471" t="s">
        <v>616</v>
      </c>
    </row>
    <row r="472" spans="7:7" x14ac:dyDescent="0.3">
      <c r="G472" t="s">
        <v>617</v>
      </c>
    </row>
    <row r="473" spans="7:7" x14ac:dyDescent="0.3">
      <c r="G473" t="s">
        <v>618</v>
      </c>
    </row>
    <row r="474" spans="7:7" x14ac:dyDescent="0.3">
      <c r="G474" t="s">
        <v>448</v>
      </c>
    </row>
    <row r="475" spans="7:7" x14ac:dyDescent="0.3">
      <c r="G475" t="s">
        <v>393</v>
      </c>
    </row>
    <row r="476" spans="7:7" x14ac:dyDescent="0.3">
      <c r="G476" t="s">
        <v>463</v>
      </c>
    </row>
    <row r="477" spans="7:7" x14ac:dyDescent="0.3">
      <c r="G477" t="s">
        <v>464</v>
      </c>
    </row>
    <row r="478" spans="7:7" x14ac:dyDescent="0.3">
      <c r="G478" t="s">
        <v>619</v>
      </c>
    </row>
    <row r="479" spans="7:7" x14ac:dyDescent="0.3">
      <c r="G479" t="s">
        <v>620</v>
      </c>
    </row>
    <row r="480" spans="7:7" x14ac:dyDescent="0.3">
      <c r="G480" t="s">
        <v>621</v>
      </c>
    </row>
    <row r="481" spans="7:7" x14ac:dyDescent="0.3">
      <c r="G481" t="s">
        <v>622</v>
      </c>
    </row>
    <row r="482" spans="7:7" x14ac:dyDescent="0.3">
      <c r="G482" t="s">
        <v>623</v>
      </c>
    </row>
    <row r="483" spans="7:7" x14ac:dyDescent="0.3">
      <c r="G483" t="s">
        <v>448</v>
      </c>
    </row>
    <row r="484" spans="7:7" x14ac:dyDescent="0.3">
      <c r="G484" t="s">
        <v>393</v>
      </c>
    </row>
    <row r="485" spans="7:7" x14ac:dyDescent="0.3">
      <c r="G485" t="s">
        <v>470</v>
      </c>
    </row>
    <row r="486" spans="7:7" x14ac:dyDescent="0.3">
      <c r="G486" t="s">
        <v>471</v>
      </c>
    </row>
    <row r="487" spans="7:7" x14ac:dyDescent="0.3">
      <c r="G487" t="s">
        <v>624</v>
      </c>
    </row>
    <row r="488" spans="7:7" x14ac:dyDescent="0.3">
      <c r="G488" t="s">
        <v>473</v>
      </c>
    </row>
    <row r="489" spans="7:7" x14ac:dyDescent="0.3">
      <c r="G489" t="s">
        <v>474</v>
      </c>
    </row>
    <row r="490" spans="7:7" x14ac:dyDescent="0.3">
      <c r="G490" t="s">
        <v>475</v>
      </c>
    </row>
    <row r="491" spans="7:7" x14ac:dyDescent="0.3">
      <c r="G491" t="s">
        <v>625</v>
      </c>
    </row>
    <row r="492" spans="7:7" x14ac:dyDescent="0.3">
      <c r="G492" t="s">
        <v>473</v>
      </c>
    </row>
    <row r="493" spans="7:7" x14ac:dyDescent="0.3">
      <c r="G493" t="s">
        <v>474</v>
      </c>
    </row>
    <row r="494" spans="7:7" x14ac:dyDescent="0.3">
      <c r="G494" t="s">
        <v>508</v>
      </c>
    </row>
    <row r="495" spans="7:7" x14ac:dyDescent="0.3">
      <c r="G495" t="s">
        <v>626</v>
      </c>
    </row>
    <row r="496" spans="7:7" x14ac:dyDescent="0.3">
      <c r="G496" t="s">
        <v>473</v>
      </c>
    </row>
    <row r="497" spans="7:7" x14ac:dyDescent="0.3">
      <c r="G497" t="s">
        <v>474</v>
      </c>
    </row>
    <row r="498" spans="7:7" x14ac:dyDescent="0.3">
      <c r="G498" t="s">
        <v>481</v>
      </c>
    </row>
    <row r="499" spans="7:7" x14ac:dyDescent="0.3">
      <c r="G499" t="s">
        <v>627</v>
      </c>
    </row>
    <row r="500" spans="7:7" x14ac:dyDescent="0.3">
      <c r="G500" t="s">
        <v>473</v>
      </c>
    </row>
    <row r="501" spans="7:7" x14ac:dyDescent="0.3">
      <c r="G501" t="s">
        <v>474</v>
      </c>
    </row>
    <row r="502" spans="7:7" x14ac:dyDescent="0.3">
      <c r="G502" t="s">
        <v>479</v>
      </c>
    </row>
    <row r="503" spans="7:7" x14ac:dyDescent="0.3">
      <c r="G503" t="s">
        <v>628</v>
      </c>
    </row>
    <row r="504" spans="7:7" x14ac:dyDescent="0.3">
      <c r="G504" t="s">
        <v>473</v>
      </c>
    </row>
    <row r="505" spans="7:7" x14ac:dyDescent="0.3">
      <c r="G505" t="s">
        <v>448</v>
      </c>
    </row>
    <row r="506" spans="7:7" x14ac:dyDescent="0.3">
      <c r="G506" t="s">
        <v>409</v>
      </c>
    </row>
    <row r="507" spans="7:7" x14ac:dyDescent="0.3">
      <c r="G507" t="s">
        <v>177</v>
      </c>
    </row>
    <row r="508" spans="7:7" x14ac:dyDescent="0.3">
      <c r="G508" t="s">
        <v>436</v>
      </c>
    </row>
    <row r="509" spans="7:7" x14ac:dyDescent="0.3">
      <c r="G509" t="s">
        <v>437</v>
      </c>
    </row>
    <row r="510" spans="7:7" x14ac:dyDescent="0.3">
      <c r="G510" t="s">
        <v>438</v>
      </c>
    </row>
    <row r="511" spans="7:7" x14ac:dyDescent="0.3">
      <c r="G511" t="s">
        <v>439</v>
      </c>
    </row>
    <row r="512" spans="7:7" x14ac:dyDescent="0.3">
      <c r="G512" t="s">
        <v>440</v>
      </c>
    </row>
    <row r="513" spans="7:7" x14ac:dyDescent="0.3">
      <c r="G513" t="s">
        <v>629</v>
      </c>
    </row>
    <row r="514" spans="7:7" x14ac:dyDescent="0.3">
      <c r="G514" t="s">
        <v>441</v>
      </c>
    </row>
    <row r="515" spans="7:7" x14ac:dyDescent="0.3">
      <c r="G515" t="s">
        <v>443</v>
      </c>
    </row>
    <row r="516" spans="7:7" x14ac:dyDescent="0.3">
      <c r="G516" t="s">
        <v>483</v>
      </c>
    </row>
    <row r="517" spans="7:7" x14ac:dyDescent="0.3">
      <c r="G517" t="s">
        <v>630</v>
      </c>
    </row>
    <row r="518" spans="7:7" x14ac:dyDescent="0.3">
      <c r="G518" t="s">
        <v>486</v>
      </c>
    </row>
    <row r="519" spans="7:7" x14ac:dyDescent="0.3">
      <c r="G519" t="s">
        <v>487</v>
      </c>
    </row>
    <row r="520" spans="7:7" x14ac:dyDescent="0.3">
      <c r="G520" t="s">
        <v>448</v>
      </c>
    </row>
    <row r="521" spans="7:7" x14ac:dyDescent="0.3">
      <c r="G521" t="s">
        <v>393</v>
      </c>
    </row>
    <row r="522" spans="7:7" x14ac:dyDescent="0.3">
      <c r="G522" t="s">
        <v>449</v>
      </c>
    </row>
    <row r="523" spans="7:7" x14ac:dyDescent="0.3">
      <c r="G523" t="s">
        <v>450</v>
      </c>
    </row>
    <row r="524" spans="7:7" x14ac:dyDescent="0.3">
      <c r="G524" t="s">
        <v>451</v>
      </c>
    </row>
    <row r="525" spans="7:7" x14ac:dyDescent="0.3">
      <c r="G525" t="s">
        <v>452</v>
      </c>
    </row>
    <row r="526" spans="7:7" x14ac:dyDescent="0.3">
      <c r="G526" t="s">
        <v>631</v>
      </c>
    </row>
    <row r="527" spans="7:7" x14ac:dyDescent="0.3">
      <c r="G527" t="s">
        <v>632</v>
      </c>
    </row>
    <row r="528" spans="7:7" x14ac:dyDescent="0.3">
      <c r="G528" t="s">
        <v>633</v>
      </c>
    </row>
    <row r="529" spans="7:7" x14ac:dyDescent="0.3">
      <c r="G529" t="s">
        <v>634</v>
      </c>
    </row>
    <row r="530" spans="7:7" x14ac:dyDescent="0.3">
      <c r="G530" t="s">
        <v>635</v>
      </c>
    </row>
    <row r="531" spans="7:7" x14ac:dyDescent="0.3">
      <c r="G531" t="s">
        <v>636</v>
      </c>
    </row>
    <row r="532" spans="7:7" x14ac:dyDescent="0.3">
      <c r="G532" t="s">
        <v>637</v>
      </c>
    </row>
    <row r="533" spans="7:7" x14ac:dyDescent="0.3">
      <c r="G533" t="s">
        <v>638</v>
      </c>
    </row>
    <row r="534" spans="7:7" x14ac:dyDescent="0.3">
      <c r="G534" t="s">
        <v>639</v>
      </c>
    </row>
    <row r="535" spans="7:7" x14ac:dyDescent="0.3">
      <c r="G535" t="s">
        <v>640</v>
      </c>
    </row>
    <row r="536" spans="7:7" x14ac:dyDescent="0.3">
      <c r="G536" t="s">
        <v>448</v>
      </c>
    </row>
    <row r="537" spans="7:7" x14ac:dyDescent="0.3">
      <c r="G537" t="s">
        <v>393</v>
      </c>
    </row>
    <row r="538" spans="7:7" x14ac:dyDescent="0.3">
      <c r="G538" t="s">
        <v>463</v>
      </c>
    </row>
    <row r="539" spans="7:7" x14ac:dyDescent="0.3">
      <c r="G539" t="s">
        <v>464</v>
      </c>
    </row>
    <row r="540" spans="7:7" x14ac:dyDescent="0.3">
      <c r="G540" t="s">
        <v>641</v>
      </c>
    </row>
    <row r="541" spans="7:7" x14ac:dyDescent="0.3">
      <c r="G541" t="s">
        <v>642</v>
      </c>
    </row>
    <row r="542" spans="7:7" x14ac:dyDescent="0.3">
      <c r="G542" t="s">
        <v>643</v>
      </c>
    </row>
    <row r="543" spans="7:7" x14ac:dyDescent="0.3">
      <c r="G543" t="s">
        <v>644</v>
      </c>
    </row>
    <row r="544" spans="7:7" x14ac:dyDescent="0.3">
      <c r="G544" t="s">
        <v>645</v>
      </c>
    </row>
    <row r="545" spans="7:7" x14ac:dyDescent="0.3">
      <c r="G545" t="s">
        <v>448</v>
      </c>
    </row>
    <row r="546" spans="7:7" x14ac:dyDescent="0.3">
      <c r="G546" t="s">
        <v>393</v>
      </c>
    </row>
    <row r="547" spans="7:7" x14ac:dyDescent="0.3">
      <c r="G547" t="s">
        <v>470</v>
      </c>
    </row>
    <row r="548" spans="7:7" x14ac:dyDescent="0.3">
      <c r="G548" t="s">
        <v>504</v>
      </c>
    </row>
    <row r="549" spans="7:7" x14ac:dyDescent="0.3">
      <c r="G549" t="s">
        <v>646</v>
      </c>
    </row>
    <row r="550" spans="7:7" x14ac:dyDescent="0.3">
      <c r="G550" t="s">
        <v>473</v>
      </c>
    </row>
    <row r="551" spans="7:7" x14ac:dyDescent="0.3">
      <c r="G551" t="s">
        <v>474</v>
      </c>
    </row>
    <row r="552" spans="7:7" x14ac:dyDescent="0.3">
      <c r="G552" t="s">
        <v>471</v>
      </c>
    </row>
    <row r="553" spans="7:7" x14ac:dyDescent="0.3">
      <c r="G553" t="s">
        <v>647</v>
      </c>
    </row>
    <row r="554" spans="7:7" x14ac:dyDescent="0.3">
      <c r="G554" t="s">
        <v>473</v>
      </c>
    </row>
    <row r="555" spans="7:7" x14ac:dyDescent="0.3">
      <c r="G555" t="s">
        <v>474</v>
      </c>
    </row>
    <row r="556" spans="7:7" x14ac:dyDescent="0.3">
      <c r="G556" t="s">
        <v>508</v>
      </c>
    </row>
    <row r="557" spans="7:7" x14ac:dyDescent="0.3">
      <c r="G557" t="s">
        <v>648</v>
      </c>
    </row>
    <row r="558" spans="7:7" x14ac:dyDescent="0.3">
      <c r="G558" t="s">
        <v>473</v>
      </c>
    </row>
    <row r="559" spans="7:7" x14ac:dyDescent="0.3">
      <c r="G559" t="s">
        <v>474</v>
      </c>
    </row>
    <row r="560" spans="7:7" x14ac:dyDescent="0.3">
      <c r="G560" t="s">
        <v>481</v>
      </c>
    </row>
    <row r="561" spans="7:7" x14ac:dyDescent="0.3">
      <c r="G561" t="s">
        <v>649</v>
      </c>
    </row>
    <row r="562" spans="7:7" x14ac:dyDescent="0.3">
      <c r="G562" t="s">
        <v>473</v>
      </c>
    </row>
    <row r="563" spans="7:7" x14ac:dyDescent="0.3">
      <c r="G563" t="s">
        <v>474</v>
      </c>
    </row>
    <row r="564" spans="7:7" x14ac:dyDescent="0.3">
      <c r="G564" t="s">
        <v>479</v>
      </c>
    </row>
    <row r="565" spans="7:7" x14ac:dyDescent="0.3">
      <c r="G565" t="s">
        <v>650</v>
      </c>
    </row>
    <row r="566" spans="7:7" x14ac:dyDescent="0.3">
      <c r="G566" t="s">
        <v>473</v>
      </c>
    </row>
    <row r="567" spans="7:7" x14ac:dyDescent="0.3">
      <c r="G567" t="s">
        <v>448</v>
      </c>
    </row>
    <row r="568" spans="7:7" x14ac:dyDescent="0.3">
      <c r="G568" t="s">
        <v>409</v>
      </c>
    </row>
    <row r="569" spans="7:7" x14ac:dyDescent="0.3">
      <c r="G569" t="s">
        <v>177</v>
      </c>
    </row>
    <row r="570" spans="7:7" x14ac:dyDescent="0.3">
      <c r="G570" t="s">
        <v>436</v>
      </c>
    </row>
    <row r="571" spans="7:7" x14ac:dyDescent="0.3">
      <c r="G571" t="s">
        <v>437</v>
      </c>
    </row>
    <row r="572" spans="7:7" x14ac:dyDescent="0.3">
      <c r="G572" t="s">
        <v>438</v>
      </c>
    </row>
    <row r="573" spans="7:7" x14ac:dyDescent="0.3">
      <c r="G573" t="s">
        <v>439</v>
      </c>
    </row>
    <row r="574" spans="7:7" x14ac:dyDescent="0.3">
      <c r="G574" t="s">
        <v>440</v>
      </c>
    </row>
    <row r="575" spans="7:7" x14ac:dyDescent="0.3">
      <c r="G575" t="s">
        <v>651</v>
      </c>
    </row>
    <row r="576" spans="7:7" x14ac:dyDescent="0.3">
      <c r="G576" t="s">
        <v>652</v>
      </c>
    </row>
    <row r="577" spans="7:7" x14ac:dyDescent="0.3">
      <c r="G577" t="s">
        <v>653</v>
      </c>
    </row>
    <row r="578" spans="7:7" x14ac:dyDescent="0.3">
      <c r="G578" t="s">
        <v>441</v>
      </c>
    </row>
    <row r="579" spans="7:7" x14ac:dyDescent="0.3">
      <c r="G579" t="s">
        <v>443</v>
      </c>
    </row>
    <row r="580" spans="7:7" x14ac:dyDescent="0.3">
      <c r="G580" t="s">
        <v>483</v>
      </c>
    </row>
    <row r="581" spans="7:7" x14ac:dyDescent="0.3">
      <c r="G581" t="s">
        <v>654</v>
      </c>
    </row>
    <row r="582" spans="7:7" x14ac:dyDescent="0.3">
      <c r="G582" t="s">
        <v>448</v>
      </c>
    </row>
    <row r="583" spans="7:7" x14ac:dyDescent="0.3">
      <c r="G583" t="s">
        <v>393</v>
      </c>
    </row>
    <row r="584" spans="7:7" x14ac:dyDescent="0.3">
      <c r="G584" t="s">
        <v>449</v>
      </c>
    </row>
    <row r="585" spans="7:7" x14ac:dyDescent="0.3">
      <c r="G585" t="s">
        <v>450</v>
      </c>
    </row>
    <row r="586" spans="7:7" x14ac:dyDescent="0.3">
      <c r="G586" t="s">
        <v>655</v>
      </c>
    </row>
    <row r="587" spans="7:7" x14ac:dyDescent="0.3">
      <c r="G587" t="s">
        <v>452</v>
      </c>
    </row>
    <row r="588" spans="7:7" x14ac:dyDescent="0.3">
      <c r="G588" t="s">
        <v>656</v>
      </c>
    </row>
    <row r="589" spans="7:7" x14ac:dyDescent="0.3">
      <c r="G589" t="s">
        <v>657</v>
      </c>
    </row>
    <row r="590" spans="7:7" x14ac:dyDescent="0.3">
      <c r="G590" t="s">
        <v>658</v>
      </c>
    </row>
    <row r="591" spans="7:7" x14ac:dyDescent="0.3">
      <c r="G591" t="s">
        <v>659</v>
      </c>
    </row>
    <row r="592" spans="7:7" x14ac:dyDescent="0.3">
      <c r="G592" t="s">
        <v>660</v>
      </c>
    </row>
    <row r="593" spans="7:7" x14ac:dyDescent="0.3">
      <c r="G593" t="s">
        <v>661</v>
      </c>
    </row>
    <row r="594" spans="7:7" x14ac:dyDescent="0.3">
      <c r="G594" t="s">
        <v>662</v>
      </c>
    </row>
    <row r="595" spans="7:7" x14ac:dyDescent="0.3">
      <c r="G595" t="s">
        <v>663</v>
      </c>
    </row>
    <row r="596" spans="7:7" x14ac:dyDescent="0.3">
      <c r="G596" t="s">
        <v>664</v>
      </c>
    </row>
    <row r="597" spans="7:7" x14ac:dyDescent="0.3">
      <c r="G597" t="s">
        <v>665</v>
      </c>
    </row>
    <row r="598" spans="7:7" x14ac:dyDescent="0.3">
      <c r="G598" t="s">
        <v>448</v>
      </c>
    </row>
    <row r="599" spans="7:7" x14ac:dyDescent="0.3">
      <c r="G599" t="s">
        <v>393</v>
      </c>
    </row>
    <row r="600" spans="7:7" x14ac:dyDescent="0.3">
      <c r="G600" t="s">
        <v>463</v>
      </c>
    </row>
    <row r="601" spans="7:7" x14ac:dyDescent="0.3">
      <c r="G601" t="s">
        <v>464</v>
      </c>
    </row>
    <row r="602" spans="7:7" x14ac:dyDescent="0.3">
      <c r="G602" t="s">
        <v>666</v>
      </c>
    </row>
    <row r="603" spans="7:7" x14ac:dyDescent="0.3">
      <c r="G603" t="s">
        <v>667</v>
      </c>
    </row>
    <row r="604" spans="7:7" x14ac:dyDescent="0.3">
      <c r="G604" t="s">
        <v>668</v>
      </c>
    </row>
    <row r="605" spans="7:7" x14ac:dyDescent="0.3">
      <c r="G605" t="s">
        <v>669</v>
      </c>
    </row>
    <row r="606" spans="7:7" x14ac:dyDescent="0.3">
      <c r="G606" t="s">
        <v>670</v>
      </c>
    </row>
    <row r="607" spans="7:7" x14ac:dyDescent="0.3">
      <c r="G607" t="s">
        <v>448</v>
      </c>
    </row>
    <row r="608" spans="7:7" x14ac:dyDescent="0.3">
      <c r="G608" t="s">
        <v>393</v>
      </c>
    </row>
    <row r="609" spans="7:7" x14ac:dyDescent="0.3">
      <c r="G609" t="s">
        <v>470</v>
      </c>
    </row>
    <row r="610" spans="7:7" x14ac:dyDescent="0.3">
      <c r="G610" t="s">
        <v>671</v>
      </c>
    </row>
    <row r="611" spans="7:7" x14ac:dyDescent="0.3">
      <c r="G611" t="s">
        <v>672</v>
      </c>
    </row>
    <row r="612" spans="7:7" x14ac:dyDescent="0.3">
      <c r="G612" t="s">
        <v>473</v>
      </c>
    </row>
    <row r="613" spans="7:7" x14ac:dyDescent="0.3">
      <c r="G613" t="s">
        <v>474</v>
      </c>
    </row>
    <row r="614" spans="7:7" x14ac:dyDescent="0.3">
      <c r="G614" t="s">
        <v>481</v>
      </c>
    </row>
    <row r="615" spans="7:7" x14ac:dyDescent="0.3">
      <c r="G615" t="s">
        <v>673</v>
      </c>
    </row>
    <row r="616" spans="7:7" x14ac:dyDescent="0.3">
      <c r="G616" t="s">
        <v>473</v>
      </c>
    </row>
    <row r="617" spans="7:7" x14ac:dyDescent="0.3">
      <c r="G617" t="s">
        <v>474</v>
      </c>
    </row>
    <row r="618" spans="7:7" x14ac:dyDescent="0.3">
      <c r="G618" t="s">
        <v>471</v>
      </c>
    </row>
    <row r="619" spans="7:7" x14ac:dyDescent="0.3">
      <c r="G619" t="s">
        <v>674</v>
      </c>
    </row>
    <row r="620" spans="7:7" x14ac:dyDescent="0.3">
      <c r="G620" t="s">
        <v>473</v>
      </c>
    </row>
    <row r="621" spans="7:7" x14ac:dyDescent="0.3">
      <c r="G621" t="s">
        <v>474</v>
      </c>
    </row>
    <row r="622" spans="7:7" x14ac:dyDescent="0.3">
      <c r="G622" t="s">
        <v>479</v>
      </c>
    </row>
    <row r="623" spans="7:7" x14ac:dyDescent="0.3">
      <c r="G623" t="s">
        <v>675</v>
      </c>
    </row>
    <row r="624" spans="7:7" x14ac:dyDescent="0.3">
      <c r="G624" t="s">
        <v>473</v>
      </c>
    </row>
    <row r="625" spans="7:7" x14ac:dyDescent="0.3">
      <c r="G625" t="s">
        <v>474</v>
      </c>
    </row>
    <row r="626" spans="7:7" x14ac:dyDescent="0.3">
      <c r="G626" t="s">
        <v>508</v>
      </c>
    </row>
    <row r="627" spans="7:7" x14ac:dyDescent="0.3">
      <c r="G627" t="s">
        <v>676</v>
      </c>
    </row>
    <row r="628" spans="7:7" x14ac:dyDescent="0.3">
      <c r="G628" t="s">
        <v>473</v>
      </c>
    </row>
    <row r="629" spans="7:7" x14ac:dyDescent="0.3">
      <c r="G629" t="s">
        <v>448</v>
      </c>
    </row>
    <row r="630" spans="7:7" x14ac:dyDescent="0.3">
      <c r="G630" t="s">
        <v>409</v>
      </c>
    </row>
    <row r="631" spans="7:7" x14ac:dyDescent="0.3">
      <c r="G631" t="s">
        <v>177</v>
      </c>
    </row>
    <row r="632" spans="7:7" x14ac:dyDescent="0.3">
      <c r="G632" t="s">
        <v>436</v>
      </c>
    </row>
    <row r="633" spans="7:7" x14ac:dyDescent="0.3">
      <c r="G633" t="s">
        <v>437</v>
      </c>
    </row>
    <row r="634" spans="7:7" x14ac:dyDescent="0.3">
      <c r="G634" t="s">
        <v>438</v>
      </c>
    </row>
    <row r="635" spans="7:7" x14ac:dyDescent="0.3">
      <c r="G635" t="s">
        <v>439</v>
      </c>
    </row>
    <row r="636" spans="7:7" x14ac:dyDescent="0.3">
      <c r="G636" t="s">
        <v>440</v>
      </c>
    </row>
    <row r="637" spans="7:7" x14ac:dyDescent="0.3">
      <c r="G637" t="s">
        <v>677</v>
      </c>
    </row>
    <row r="638" spans="7:7" x14ac:dyDescent="0.3">
      <c r="G638" t="s">
        <v>678</v>
      </c>
    </row>
    <row r="639" spans="7:7" x14ac:dyDescent="0.3">
      <c r="G639" t="s">
        <v>441</v>
      </c>
    </row>
    <row r="640" spans="7:7" x14ac:dyDescent="0.3">
      <c r="G640" t="s">
        <v>443</v>
      </c>
    </row>
    <row r="641" spans="7:7" x14ac:dyDescent="0.3">
      <c r="G641" t="s">
        <v>483</v>
      </c>
    </row>
    <row r="642" spans="7:7" x14ac:dyDescent="0.3">
      <c r="G642" t="s">
        <v>679</v>
      </c>
    </row>
    <row r="643" spans="7:7" x14ac:dyDescent="0.3">
      <c r="G643" t="s">
        <v>654</v>
      </c>
    </row>
    <row r="644" spans="7:7" x14ac:dyDescent="0.3">
      <c r="G644" t="s">
        <v>448</v>
      </c>
    </row>
    <row r="645" spans="7:7" x14ac:dyDescent="0.3">
      <c r="G645" t="s">
        <v>393</v>
      </c>
    </row>
    <row r="646" spans="7:7" x14ac:dyDescent="0.3">
      <c r="G646" t="s">
        <v>449</v>
      </c>
    </row>
    <row r="647" spans="7:7" x14ac:dyDescent="0.3">
      <c r="G647" t="s">
        <v>450</v>
      </c>
    </row>
    <row r="648" spans="7:7" x14ac:dyDescent="0.3">
      <c r="G648" t="s">
        <v>451</v>
      </c>
    </row>
    <row r="649" spans="7:7" x14ac:dyDescent="0.3">
      <c r="G649" t="s">
        <v>452</v>
      </c>
    </row>
    <row r="650" spans="7:7" x14ac:dyDescent="0.3">
      <c r="G650" t="s">
        <v>680</v>
      </c>
    </row>
    <row r="651" spans="7:7" x14ac:dyDescent="0.3">
      <c r="G651" t="s">
        <v>681</v>
      </c>
    </row>
    <row r="652" spans="7:7" x14ac:dyDescent="0.3">
      <c r="G652" t="s">
        <v>682</v>
      </c>
    </row>
    <row r="653" spans="7:7" x14ac:dyDescent="0.3">
      <c r="G653" t="s">
        <v>683</v>
      </c>
    </row>
    <row r="654" spans="7:7" x14ac:dyDescent="0.3">
      <c r="G654" t="s">
        <v>684</v>
      </c>
    </row>
    <row r="655" spans="7:7" x14ac:dyDescent="0.3">
      <c r="G655" t="s">
        <v>685</v>
      </c>
    </row>
    <row r="656" spans="7:7" x14ac:dyDescent="0.3">
      <c r="G656" t="s">
        <v>686</v>
      </c>
    </row>
    <row r="657" spans="7:7" x14ac:dyDescent="0.3">
      <c r="G657" t="s">
        <v>687</v>
      </c>
    </row>
    <row r="658" spans="7:7" x14ac:dyDescent="0.3">
      <c r="G658" t="s">
        <v>688</v>
      </c>
    </row>
    <row r="659" spans="7:7" x14ac:dyDescent="0.3">
      <c r="G659" t="s">
        <v>689</v>
      </c>
    </row>
    <row r="660" spans="7:7" x14ac:dyDescent="0.3">
      <c r="G660" t="s">
        <v>448</v>
      </c>
    </row>
    <row r="661" spans="7:7" x14ac:dyDescent="0.3">
      <c r="G661" t="s">
        <v>393</v>
      </c>
    </row>
    <row r="662" spans="7:7" x14ac:dyDescent="0.3">
      <c r="G662" t="s">
        <v>463</v>
      </c>
    </row>
    <row r="663" spans="7:7" x14ac:dyDescent="0.3">
      <c r="G663" t="s">
        <v>464</v>
      </c>
    </row>
    <row r="664" spans="7:7" x14ac:dyDescent="0.3">
      <c r="G664" t="s">
        <v>690</v>
      </c>
    </row>
    <row r="665" spans="7:7" x14ac:dyDescent="0.3">
      <c r="G665" t="s">
        <v>691</v>
      </c>
    </row>
    <row r="666" spans="7:7" x14ac:dyDescent="0.3">
      <c r="G666" t="s">
        <v>692</v>
      </c>
    </row>
    <row r="667" spans="7:7" x14ac:dyDescent="0.3">
      <c r="G667" t="s">
        <v>693</v>
      </c>
    </row>
    <row r="668" spans="7:7" x14ac:dyDescent="0.3">
      <c r="G668" t="s">
        <v>694</v>
      </c>
    </row>
    <row r="669" spans="7:7" x14ac:dyDescent="0.3">
      <c r="G669" t="s">
        <v>448</v>
      </c>
    </row>
    <row r="670" spans="7:7" x14ac:dyDescent="0.3">
      <c r="G670" t="s">
        <v>393</v>
      </c>
    </row>
    <row r="671" spans="7:7" x14ac:dyDescent="0.3">
      <c r="G671" t="s">
        <v>470</v>
      </c>
    </row>
    <row r="672" spans="7:7" x14ac:dyDescent="0.3">
      <c r="G672" t="s">
        <v>671</v>
      </c>
    </row>
    <row r="673" spans="7:7" x14ac:dyDescent="0.3">
      <c r="G673" t="s">
        <v>695</v>
      </c>
    </row>
    <row r="674" spans="7:7" x14ac:dyDescent="0.3">
      <c r="G674" t="s">
        <v>473</v>
      </c>
    </row>
    <row r="675" spans="7:7" x14ac:dyDescent="0.3">
      <c r="G675" t="s">
        <v>474</v>
      </c>
    </row>
    <row r="676" spans="7:7" x14ac:dyDescent="0.3">
      <c r="G676" t="s">
        <v>481</v>
      </c>
    </row>
    <row r="677" spans="7:7" x14ac:dyDescent="0.3">
      <c r="G677" t="s">
        <v>696</v>
      </c>
    </row>
    <row r="678" spans="7:7" x14ac:dyDescent="0.3">
      <c r="G678" t="s">
        <v>473</v>
      </c>
    </row>
    <row r="679" spans="7:7" x14ac:dyDescent="0.3">
      <c r="G679" t="s">
        <v>474</v>
      </c>
    </row>
    <row r="680" spans="7:7" x14ac:dyDescent="0.3">
      <c r="G680" t="s">
        <v>471</v>
      </c>
    </row>
    <row r="681" spans="7:7" x14ac:dyDescent="0.3">
      <c r="G681" t="s">
        <v>697</v>
      </c>
    </row>
    <row r="682" spans="7:7" x14ac:dyDescent="0.3">
      <c r="G682" t="s">
        <v>473</v>
      </c>
    </row>
    <row r="683" spans="7:7" x14ac:dyDescent="0.3">
      <c r="G683" t="s">
        <v>474</v>
      </c>
    </row>
    <row r="684" spans="7:7" x14ac:dyDescent="0.3">
      <c r="G684" t="s">
        <v>508</v>
      </c>
    </row>
    <row r="685" spans="7:7" x14ac:dyDescent="0.3">
      <c r="G685" t="s">
        <v>698</v>
      </c>
    </row>
    <row r="686" spans="7:7" x14ac:dyDescent="0.3">
      <c r="G686" t="s">
        <v>473</v>
      </c>
    </row>
    <row r="687" spans="7:7" x14ac:dyDescent="0.3">
      <c r="G687" t="s">
        <v>474</v>
      </c>
    </row>
    <row r="688" spans="7:7" x14ac:dyDescent="0.3">
      <c r="G688" t="s">
        <v>479</v>
      </c>
    </row>
    <row r="689" spans="7:7" x14ac:dyDescent="0.3">
      <c r="G689" t="s">
        <v>699</v>
      </c>
    </row>
    <row r="690" spans="7:7" x14ac:dyDescent="0.3">
      <c r="G690" t="s">
        <v>473</v>
      </c>
    </row>
    <row r="691" spans="7:7" x14ac:dyDescent="0.3">
      <c r="G691" t="s">
        <v>448</v>
      </c>
    </row>
    <row r="692" spans="7:7" x14ac:dyDescent="0.3">
      <c r="G692" t="s">
        <v>409</v>
      </c>
    </row>
    <row r="693" spans="7:7" x14ac:dyDescent="0.3">
      <c r="G693" t="s">
        <v>177</v>
      </c>
    </row>
    <row r="694" spans="7:7" x14ac:dyDescent="0.3">
      <c r="G694" t="s">
        <v>436</v>
      </c>
    </row>
    <row r="695" spans="7:7" x14ac:dyDescent="0.3">
      <c r="G695" t="s">
        <v>437</v>
      </c>
    </row>
    <row r="696" spans="7:7" x14ac:dyDescent="0.3">
      <c r="G696" t="s">
        <v>438</v>
      </c>
    </row>
    <row r="697" spans="7:7" x14ac:dyDescent="0.3">
      <c r="G697" t="s">
        <v>439</v>
      </c>
    </row>
    <row r="698" spans="7:7" x14ac:dyDescent="0.3">
      <c r="G698" t="s">
        <v>441</v>
      </c>
    </row>
    <row r="699" spans="7:7" x14ac:dyDescent="0.3">
      <c r="G699" t="s">
        <v>700</v>
      </c>
    </row>
    <row r="700" spans="7:7" x14ac:dyDescent="0.3">
      <c r="G700" t="s">
        <v>443</v>
      </c>
    </row>
    <row r="701" spans="7:7" x14ac:dyDescent="0.3">
      <c r="G701" t="s">
        <v>483</v>
      </c>
    </row>
    <row r="702" spans="7:7" x14ac:dyDescent="0.3">
      <c r="G702" t="s">
        <v>701</v>
      </c>
    </row>
    <row r="703" spans="7:7" x14ac:dyDescent="0.3">
      <c r="G703" t="s">
        <v>702</v>
      </c>
    </row>
    <row r="704" spans="7:7" x14ac:dyDescent="0.3">
      <c r="G704" t="s">
        <v>703</v>
      </c>
    </row>
    <row r="705" spans="7:7" x14ac:dyDescent="0.3">
      <c r="G705" t="s">
        <v>704</v>
      </c>
    </row>
    <row r="706" spans="7:7" x14ac:dyDescent="0.3">
      <c r="G706" t="s">
        <v>448</v>
      </c>
    </row>
    <row r="707" spans="7:7" x14ac:dyDescent="0.3">
      <c r="G707" t="s">
        <v>393</v>
      </c>
    </row>
    <row r="708" spans="7:7" x14ac:dyDescent="0.3">
      <c r="G708" t="s">
        <v>449</v>
      </c>
    </row>
    <row r="709" spans="7:7" x14ac:dyDescent="0.3">
      <c r="G709" t="s">
        <v>450</v>
      </c>
    </row>
    <row r="710" spans="7:7" x14ac:dyDescent="0.3">
      <c r="G710" t="s">
        <v>451</v>
      </c>
    </row>
    <row r="711" spans="7:7" x14ac:dyDescent="0.3">
      <c r="G711" t="s">
        <v>452</v>
      </c>
    </row>
    <row r="712" spans="7:7" x14ac:dyDescent="0.3">
      <c r="G712" t="s">
        <v>705</v>
      </c>
    </row>
    <row r="713" spans="7:7" x14ac:dyDescent="0.3">
      <c r="G713" t="s">
        <v>706</v>
      </c>
    </row>
    <row r="714" spans="7:7" x14ac:dyDescent="0.3">
      <c r="G714" t="s">
        <v>707</v>
      </c>
    </row>
    <row r="715" spans="7:7" x14ac:dyDescent="0.3">
      <c r="G715" t="s">
        <v>708</v>
      </c>
    </row>
    <row r="716" spans="7:7" x14ac:dyDescent="0.3">
      <c r="G716" t="s">
        <v>709</v>
      </c>
    </row>
    <row r="717" spans="7:7" x14ac:dyDescent="0.3">
      <c r="G717" t="s">
        <v>710</v>
      </c>
    </row>
    <row r="718" spans="7:7" x14ac:dyDescent="0.3">
      <c r="G718" t="s">
        <v>711</v>
      </c>
    </row>
    <row r="719" spans="7:7" x14ac:dyDescent="0.3">
      <c r="G719" t="s">
        <v>712</v>
      </c>
    </row>
    <row r="720" spans="7:7" x14ac:dyDescent="0.3">
      <c r="G720" t="s">
        <v>713</v>
      </c>
    </row>
    <row r="721" spans="7:7" x14ac:dyDescent="0.3">
      <c r="G721" t="s">
        <v>714</v>
      </c>
    </row>
    <row r="722" spans="7:7" x14ac:dyDescent="0.3">
      <c r="G722" t="s">
        <v>448</v>
      </c>
    </row>
    <row r="723" spans="7:7" x14ac:dyDescent="0.3">
      <c r="G723" t="s">
        <v>393</v>
      </c>
    </row>
    <row r="724" spans="7:7" x14ac:dyDescent="0.3">
      <c r="G724" t="s">
        <v>463</v>
      </c>
    </row>
    <row r="725" spans="7:7" x14ac:dyDescent="0.3">
      <c r="G725" t="s">
        <v>464</v>
      </c>
    </row>
    <row r="726" spans="7:7" x14ac:dyDescent="0.3">
      <c r="G726" t="s">
        <v>715</v>
      </c>
    </row>
    <row r="727" spans="7:7" x14ac:dyDescent="0.3">
      <c r="G727" t="s">
        <v>716</v>
      </c>
    </row>
    <row r="728" spans="7:7" x14ac:dyDescent="0.3">
      <c r="G728" t="s">
        <v>717</v>
      </c>
    </row>
    <row r="729" spans="7:7" x14ac:dyDescent="0.3">
      <c r="G729" t="s">
        <v>718</v>
      </c>
    </row>
    <row r="730" spans="7:7" x14ac:dyDescent="0.3">
      <c r="G730" t="s">
        <v>719</v>
      </c>
    </row>
    <row r="731" spans="7:7" x14ac:dyDescent="0.3">
      <c r="G731" t="s">
        <v>448</v>
      </c>
    </row>
    <row r="732" spans="7:7" x14ac:dyDescent="0.3">
      <c r="G732" t="s">
        <v>393</v>
      </c>
    </row>
    <row r="733" spans="7:7" x14ac:dyDescent="0.3">
      <c r="G733" t="s">
        <v>470</v>
      </c>
    </row>
    <row r="734" spans="7:7" x14ac:dyDescent="0.3">
      <c r="G734" t="s">
        <v>671</v>
      </c>
    </row>
    <row r="735" spans="7:7" x14ac:dyDescent="0.3">
      <c r="G735" t="s">
        <v>720</v>
      </c>
    </row>
    <row r="736" spans="7:7" x14ac:dyDescent="0.3">
      <c r="G736" t="s">
        <v>473</v>
      </c>
    </row>
    <row r="737" spans="7:7" x14ac:dyDescent="0.3">
      <c r="G737" t="s">
        <v>474</v>
      </c>
    </row>
    <row r="738" spans="7:7" x14ac:dyDescent="0.3">
      <c r="G738" t="s">
        <v>721</v>
      </c>
    </row>
    <row r="739" spans="7:7" x14ac:dyDescent="0.3">
      <c r="G739" t="s">
        <v>722</v>
      </c>
    </row>
    <row r="740" spans="7:7" x14ac:dyDescent="0.3">
      <c r="G740" t="s">
        <v>473</v>
      </c>
    </row>
    <row r="741" spans="7:7" x14ac:dyDescent="0.3">
      <c r="G741" t="s">
        <v>474</v>
      </c>
    </row>
    <row r="742" spans="7:7" x14ac:dyDescent="0.3">
      <c r="G742" t="s">
        <v>508</v>
      </c>
    </row>
    <row r="743" spans="7:7" x14ac:dyDescent="0.3">
      <c r="G743" t="s">
        <v>723</v>
      </c>
    </row>
    <row r="744" spans="7:7" x14ac:dyDescent="0.3">
      <c r="G744" t="s">
        <v>473</v>
      </c>
    </row>
    <row r="745" spans="7:7" x14ac:dyDescent="0.3">
      <c r="G745" t="s">
        <v>474</v>
      </c>
    </row>
    <row r="746" spans="7:7" x14ac:dyDescent="0.3">
      <c r="G746" t="s">
        <v>481</v>
      </c>
    </row>
    <row r="747" spans="7:7" x14ac:dyDescent="0.3">
      <c r="G747" t="s">
        <v>724</v>
      </c>
    </row>
    <row r="748" spans="7:7" x14ac:dyDescent="0.3">
      <c r="G748" t="s">
        <v>473</v>
      </c>
    </row>
    <row r="749" spans="7:7" x14ac:dyDescent="0.3">
      <c r="G749" t="s">
        <v>474</v>
      </c>
    </row>
    <row r="750" spans="7:7" x14ac:dyDescent="0.3">
      <c r="G750" t="s">
        <v>479</v>
      </c>
    </row>
    <row r="751" spans="7:7" x14ac:dyDescent="0.3">
      <c r="G751" t="s">
        <v>725</v>
      </c>
    </row>
    <row r="752" spans="7:7" x14ac:dyDescent="0.3">
      <c r="G752" t="s">
        <v>473</v>
      </c>
    </row>
    <row r="753" spans="7:7" x14ac:dyDescent="0.3">
      <c r="G753" t="s">
        <v>448</v>
      </c>
    </row>
    <row r="754" spans="7:7" x14ac:dyDescent="0.3">
      <c r="G754" t="s">
        <v>409</v>
      </c>
    </row>
    <row r="755" spans="7:7" x14ac:dyDescent="0.3">
      <c r="G755" t="s">
        <v>177</v>
      </c>
    </row>
    <row r="756" spans="7:7" x14ac:dyDescent="0.3">
      <c r="G756" t="s">
        <v>436</v>
      </c>
    </row>
    <row r="757" spans="7:7" x14ac:dyDescent="0.3">
      <c r="G757" t="s">
        <v>437</v>
      </c>
    </row>
    <row r="758" spans="7:7" x14ac:dyDescent="0.3">
      <c r="G758" t="s">
        <v>438</v>
      </c>
    </row>
    <row r="759" spans="7:7" x14ac:dyDescent="0.3">
      <c r="G759" t="s">
        <v>439</v>
      </c>
    </row>
    <row r="760" spans="7:7" x14ac:dyDescent="0.3">
      <c r="G760" t="s">
        <v>440</v>
      </c>
    </row>
    <row r="761" spans="7:7" x14ac:dyDescent="0.3">
      <c r="G761" t="s">
        <v>726</v>
      </c>
    </row>
    <row r="762" spans="7:7" x14ac:dyDescent="0.3">
      <c r="G762" t="s">
        <v>441</v>
      </c>
    </row>
    <row r="763" spans="7:7" x14ac:dyDescent="0.3">
      <c r="G763" t="s">
        <v>443</v>
      </c>
    </row>
    <row r="764" spans="7:7" x14ac:dyDescent="0.3">
      <c r="G764" t="s">
        <v>483</v>
      </c>
    </row>
    <row r="765" spans="7:7" x14ac:dyDescent="0.3">
      <c r="G765" t="s">
        <v>727</v>
      </c>
    </row>
    <row r="766" spans="7:7" x14ac:dyDescent="0.3">
      <c r="G766" t="s">
        <v>728</v>
      </c>
    </row>
    <row r="767" spans="7:7" x14ac:dyDescent="0.3">
      <c r="G767" t="s">
        <v>654</v>
      </c>
    </row>
    <row r="768" spans="7:7" x14ac:dyDescent="0.3">
      <c r="G768" t="s">
        <v>448</v>
      </c>
    </row>
    <row r="769" spans="7:7" x14ac:dyDescent="0.3">
      <c r="G769" t="s">
        <v>393</v>
      </c>
    </row>
    <row r="770" spans="7:7" x14ac:dyDescent="0.3">
      <c r="G770" t="s">
        <v>449</v>
      </c>
    </row>
    <row r="771" spans="7:7" x14ac:dyDescent="0.3">
      <c r="G771" t="s">
        <v>450</v>
      </c>
    </row>
    <row r="772" spans="7:7" x14ac:dyDescent="0.3">
      <c r="G772" t="s">
        <v>451</v>
      </c>
    </row>
    <row r="773" spans="7:7" x14ac:dyDescent="0.3">
      <c r="G773" t="s">
        <v>452</v>
      </c>
    </row>
    <row r="774" spans="7:7" x14ac:dyDescent="0.3">
      <c r="G774" t="s">
        <v>729</v>
      </c>
    </row>
    <row r="775" spans="7:7" x14ac:dyDescent="0.3">
      <c r="G775" t="s">
        <v>730</v>
      </c>
    </row>
    <row r="776" spans="7:7" x14ac:dyDescent="0.3">
      <c r="G776" t="s">
        <v>731</v>
      </c>
    </row>
    <row r="777" spans="7:7" x14ac:dyDescent="0.3">
      <c r="G777" t="s">
        <v>732</v>
      </c>
    </row>
    <row r="778" spans="7:7" x14ac:dyDescent="0.3">
      <c r="G778" t="s">
        <v>733</v>
      </c>
    </row>
    <row r="779" spans="7:7" x14ac:dyDescent="0.3">
      <c r="G779" t="s">
        <v>734</v>
      </c>
    </row>
    <row r="780" spans="7:7" x14ac:dyDescent="0.3">
      <c r="G780" t="s">
        <v>735</v>
      </c>
    </row>
    <row r="781" spans="7:7" x14ac:dyDescent="0.3">
      <c r="G781" t="s">
        <v>736</v>
      </c>
    </row>
    <row r="782" spans="7:7" x14ac:dyDescent="0.3">
      <c r="G782" t="s">
        <v>737</v>
      </c>
    </row>
    <row r="783" spans="7:7" x14ac:dyDescent="0.3">
      <c r="G783" t="s">
        <v>738</v>
      </c>
    </row>
    <row r="784" spans="7:7" x14ac:dyDescent="0.3">
      <c r="G784" t="s">
        <v>448</v>
      </c>
    </row>
    <row r="785" spans="7:7" x14ac:dyDescent="0.3">
      <c r="G785" t="s">
        <v>393</v>
      </c>
    </row>
    <row r="786" spans="7:7" x14ac:dyDescent="0.3">
      <c r="G786" t="s">
        <v>463</v>
      </c>
    </row>
    <row r="787" spans="7:7" x14ac:dyDescent="0.3">
      <c r="G787" t="s">
        <v>464</v>
      </c>
    </row>
    <row r="788" spans="7:7" x14ac:dyDescent="0.3">
      <c r="G788" t="s">
        <v>739</v>
      </c>
    </row>
    <row r="789" spans="7:7" x14ac:dyDescent="0.3">
      <c r="G789" t="s">
        <v>740</v>
      </c>
    </row>
    <row r="790" spans="7:7" x14ac:dyDescent="0.3">
      <c r="G790" t="s">
        <v>741</v>
      </c>
    </row>
    <row r="791" spans="7:7" x14ac:dyDescent="0.3">
      <c r="G791" t="s">
        <v>742</v>
      </c>
    </row>
    <row r="792" spans="7:7" x14ac:dyDescent="0.3">
      <c r="G792" t="s">
        <v>743</v>
      </c>
    </row>
    <row r="793" spans="7:7" x14ac:dyDescent="0.3">
      <c r="G793" t="s">
        <v>448</v>
      </c>
    </row>
    <row r="794" spans="7:7" x14ac:dyDescent="0.3">
      <c r="G794" t="s">
        <v>393</v>
      </c>
    </row>
    <row r="795" spans="7:7" x14ac:dyDescent="0.3">
      <c r="G795" t="s">
        <v>470</v>
      </c>
    </row>
    <row r="796" spans="7:7" x14ac:dyDescent="0.3">
      <c r="G796" t="s">
        <v>671</v>
      </c>
    </row>
    <row r="797" spans="7:7" x14ac:dyDescent="0.3">
      <c r="G797" t="s">
        <v>744</v>
      </c>
    </row>
    <row r="798" spans="7:7" x14ac:dyDescent="0.3">
      <c r="G798" t="s">
        <v>473</v>
      </c>
    </row>
    <row r="799" spans="7:7" x14ac:dyDescent="0.3">
      <c r="G799" t="s">
        <v>474</v>
      </c>
    </row>
    <row r="800" spans="7:7" x14ac:dyDescent="0.3">
      <c r="G800" t="s">
        <v>471</v>
      </c>
    </row>
    <row r="801" spans="7:7" x14ac:dyDescent="0.3">
      <c r="G801" t="s">
        <v>745</v>
      </c>
    </row>
    <row r="802" spans="7:7" x14ac:dyDescent="0.3">
      <c r="G802" t="s">
        <v>473</v>
      </c>
    </row>
    <row r="803" spans="7:7" x14ac:dyDescent="0.3">
      <c r="G803" t="s">
        <v>474</v>
      </c>
    </row>
    <row r="804" spans="7:7" x14ac:dyDescent="0.3">
      <c r="G804" t="s">
        <v>508</v>
      </c>
    </row>
    <row r="805" spans="7:7" x14ac:dyDescent="0.3">
      <c r="G805" t="s">
        <v>746</v>
      </c>
    </row>
    <row r="806" spans="7:7" x14ac:dyDescent="0.3">
      <c r="G806" t="s">
        <v>473</v>
      </c>
    </row>
    <row r="807" spans="7:7" x14ac:dyDescent="0.3">
      <c r="G807" t="s">
        <v>474</v>
      </c>
    </row>
    <row r="808" spans="7:7" x14ac:dyDescent="0.3">
      <c r="G808" t="s">
        <v>481</v>
      </c>
    </row>
    <row r="809" spans="7:7" x14ac:dyDescent="0.3">
      <c r="G809" t="s">
        <v>747</v>
      </c>
    </row>
    <row r="810" spans="7:7" x14ac:dyDescent="0.3">
      <c r="G810" t="s">
        <v>473</v>
      </c>
    </row>
    <row r="811" spans="7:7" x14ac:dyDescent="0.3">
      <c r="G811" t="s">
        <v>474</v>
      </c>
    </row>
    <row r="812" spans="7:7" x14ac:dyDescent="0.3">
      <c r="G812" t="s">
        <v>479</v>
      </c>
    </row>
    <row r="813" spans="7:7" x14ac:dyDescent="0.3">
      <c r="G813" t="s">
        <v>748</v>
      </c>
    </row>
    <row r="814" spans="7:7" x14ac:dyDescent="0.3">
      <c r="G814" t="s">
        <v>473</v>
      </c>
    </row>
    <row r="815" spans="7:7" x14ac:dyDescent="0.3">
      <c r="G815" t="s">
        <v>448</v>
      </c>
    </row>
    <row r="816" spans="7:7" x14ac:dyDescent="0.3">
      <c r="G816" t="s">
        <v>409</v>
      </c>
    </row>
    <row r="817" spans="7:7" x14ac:dyDescent="0.3">
      <c r="G817" t="s">
        <v>177</v>
      </c>
    </row>
    <row r="818" spans="7:7" x14ac:dyDescent="0.3">
      <c r="G818" t="s">
        <v>436</v>
      </c>
    </row>
    <row r="819" spans="7:7" x14ac:dyDescent="0.3">
      <c r="G819" t="s">
        <v>437</v>
      </c>
    </row>
    <row r="820" spans="7:7" x14ac:dyDescent="0.3">
      <c r="G820" t="s">
        <v>438</v>
      </c>
    </row>
    <row r="821" spans="7:7" x14ac:dyDescent="0.3">
      <c r="G821" t="s">
        <v>439</v>
      </c>
    </row>
    <row r="822" spans="7:7" x14ac:dyDescent="0.3">
      <c r="G822" t="s">
        <v>440</v>
      </c>
    </row>
    <row r="823" spans="7:7" x14ac:dyDescent="0.3">
      <c r="G823" t="s">
        <v>441</v>
      </c>
    </row>
    <row r="824" spans="7:7" x14ac:dyDescent="0.3">
      <c r="G824" t="s">
        <v>443</v>
      </c>
    </row>
    <row r="825" spans="7:7" x14ac:dyDescent="0.3">
      <c r="G825" t="s">
        <v>483</v>
      </c>
    </row>
    <row r="826" spans="7:7" x14ac:dyDescent="0.3">
      <c r="G826" t="s">
        <v>749</v>
      </c>
    </row>
    <row r="827" spans="7:7" x14ac:dyDescent="0.3">
      <c r="G827" t="s">
        <v>486</v>
      </c>
    </row>
    <row r="828" spans="7:7" x14ac:dyDescent="0.3">
      <c r="G828" t="s">
        <v>750</v>
      </c>
    </row>
    <row r="829" spans="7:7" x14ac:dyDescent="0.3">
      <c r="G829" t="s">
        <v>751</v>
      </c>
    </row>
    <row r="830" spans="7:7" x14ac:dyDescent="0.3">
      <c r="G830" t="s">
        <v>448</v>
      </c>
    </row>
    <row r="831" spans="7:7" x14ac:dyDescent="0.3">
      <c r="G831" t="s">
        <v>393</v>
      </c>
    </row>
    <row r="832" spans="7:7" x14ac:dyDescent="0.3">
      <c r="G832" t="s">
        <v>449</v>
      </c>
    </row>
    <row r="833" spans="7:7" x14ac:dyDescent="0.3">
      <c r="G833" t="s">
        <v>450</v>
      </c>
    </row>
    <row r="834" spans="7:7" x14ac:dyDescent="0.3">
      <c r="G834" t="s">
        <v>655</v>
      </c>
    </row>
    <row r="835" spans="7:7" x14ac:dyDescent="0.3">
      <c r="G835" t="s">
        <v>452</v>
      </c>
    </row>
    <row r="836" spans="7:7" x14ac:dyDescent="0.3">
      <c r="G836" t="s">
        <v>752</v>
      </c>
    </row>
    <row r="837" spans="7:7" x14ac:dyDescent="0.3">
      <c r="G837" t="s">
        <v>753</v>
      </c>
    </row>
    <row r="838" spans="7:7" x14ac:dyDescent="0.3">
      <c r="G838" t="s">
        <v>754</v>
      </c>
    </row>
    <row r="839" spans="7:7" x14ac:dyDescent="0.3">
      <c r="G839" t="s">
        <v>755</v>
      </c>
    </row>
    <row r="840" spans="7:7" x14ac:dyDescent="0.3">
      <c r="G840" t="s">
        <v>756</v>
      </c>
    </row>
    <row r="841" spans="7:7" x14ac:dyDescent="0.3">
      <c r="G841" t="s">
        <v>757</v>
      </c>
    </row>
    <row r="842" spans="7:7" x14ac:dyDescent="0.3">
      <c r="G842" t="s">
        <v>758</v>
      </c>
    </row>
    <row r="843" spans="7:7" x14ac:dyDescent="0.3">
      <c r="G843" t="s">
        <v>759</v>
      </c>
    </row>
    <row r="844" spans="7:7" x14ac:dyDescent="0.3">
      <c r="G844" t="s">
        <v>760</v>
      </c>
    </row>
    <row r="845" spans="7:7" x14ac:dyDescent="0.3">
      <c r="G845" t="s">
        <v>761</v>
      </c>
    </row>
    <row r="846" spans="7:7" x14ac:dyDescent="0.3">
      <c r="G846" t="s">
        <v>448</v>
      </c>
    </row>
    <row r="847" spans="7:7" x14ac:dyDescent="0.3">
      <c r="G847" t="s">
        <v>393</v>
      </c>
    </row>
    <row r="848" spans="7:7" x14ac:dyDescent="0.3">
      <c r="G848" t="s">
        <v>463</v>
      </c>
    </row>
    <row r="849" spans="7:7" x14ac:dyDescent="0.3">
      <c r="G849" t="s">
        <v>464</v>
      </c>
    </row>
    <row r="850" spans="7:7" x14ac:dyDescent="0.3">
      <c r="G850" t="s">
        <v>762</v>
      </c>
    </row>
    <row r="851" spans="7:7" x14ac:dyDescent="0.3">
      <c r="G851" t="s">
        <v>763</v>
      </c>
    </row>
    <row r="852" spans="7:7" x14ac:dyDescent="0.3">
      <c r="G852" t="s">
        <v>764</v>
      </c>
    </row>
    <row r="853" spans="7:7" x14ac:dyDescent="0.3">
      <c r="G853" t="s">
        <v>765</v>
      </c>
    </row>
    <row r="854" spans="7:7" x14ac:dyDescent="0.3">
      <c r="G854" t="s">
        <v>766</v>
      </c>
    </row>
    <row r="855" spans="7:7" x14ac:dyDescent="0.3">
      <c r="G855" t="s">
        <v>448</v>
      </c>
    </row>
    <row r="856" spans="7:7" x14ac:dyDescent="0.3">
      <c r="G856" t="s">
        <v>393</v>
      </c>
    </row>
    <row r="857" spans="7:7" x14ac:dyDescent="0.3">
      <c r="G857" t="s">
        <v>470</v>
      </c>
    </row>
    <row r="858" spans="7:7" x14ac:dyDescent="0.3">
      <c r="G858" t="s">
        <v>504</v>
      </c>
    </row>
    <row r="859" spans="7:7" x14ac:dyDescent="0.3">
      <c r="G859" t="s">
        <v>767</v>
      </c>
    </row>
    <row r="860" spans="7:7" x14ac:dyDescent="0.3">
      <c r="G860" t="s">
        <v>473</v>
      </c>
    </row>
    <row r="861" spans="7:7" x14ac:dyDescent="0.3">
      <c r="G861" t="s">
        <v>474</v>
      </c>
    </row>
    <row r="862" spans="7:7" x14ac:dyDescent="0.3">
      <c r="G862" t="s">
        <v>471</v>
      </c>
    </row>
    <row r="863" spans="7:7" x14ac:dyDescent="0.3">
      <c r="G863" t="s">
        <v>768</v>
      </c>
    </row>
    <row r="864" spans="7:7" x14ac:dyDescent="0.3">
      <c r="G864" t="s">
        <v>473</v>
      </c>
    </row>
    <row r="865" spans="7:7" x14ac:dyDescent="0.3">
      <c r="G865" t="s">
        <v>474</v>
      </c>
    </row>
    <row r="866" spans="7:7" x14ac:dyDescent="0.3">
      <c r="G866" t="s">
        <v>481</v>
      </c>
    </row>
    <row r="867" spans="7:7" x14ac:dyDescent="0.3">
      <c r="G867" t="s">
        <v>769</v>
      </c>
    </row>
    <row r="868" spans="7:7" x14ac:dyDescent="0.3">
      <c r="G868" t="s">
        <v>473</v>
      </c>
    </row>
    <row r="869" spans="7:7" x14ac:dyDescent="0.3">
      <c r="G869" t="s">
        <v>474</v>
      </c>
    </row>
    <row r="870" spans="7:7" x14ac:dyDescent="0.3">
      <c r="G870" t="s">
        <v>508</v>
      </c>
    </row>
    <row r="871" spans="7:7" x14ac:dyDescent="0.3">
      <c r="G871" t="s">
        <v>770</v>
      </c>
    </row>
    <row r="872" spans="7:7" x14ac:dyDescent="0.3">
      <c r="G872" t="s">
        <v>473</v>
      </c>
    </row>
    <row r="873" spans="7:7" x14ac:dyDescent="0.3">
      <c r="G873" t="s">
        <v>474</v>
      </c>
    </row>
    <row r="874" spans="7:7" x14ac:dyDescent="0.3">
      <c r="G874" t="s">
        <v>479</v>
      </c>
    </row>
    <row r="875" spans="7:7" x14ac:dyDescent="0.3">
      <c r="G875" t="s">
        <v>771</v>
      </c>
    </row>
    <row r="876" spans="7:7" x14ac:dyDescent="0.3">
      <c r="G876" t="s">
        <v>473</v>
      </c>
    </row>
    <row r="877" spans="7:7" x14ac:dyDescent="0.3">
      <c r="G877" t="s">
        <v>448</v>
      </c>
    </row>
    <row r="878" spans="7:7" x14ac:dyDescent="0.3">
      <c r="G878" t="s">
        <v>409</v>
      </c>
    </row>
    <row r="879" spans="7:7" x14ac:dyDescent="0.3">
      <c r="G879" t="s">
        <v>177</v>
      </c>
    </row>
    <row r="880" spans="7:7" x14ac:dyDescent="0.3">
      <c r="G880" t="s">
        <v>436</v>
      </c>
    </row>
    <row r="881" spans="7:7" x14ac:dyDescent="0.3">
      <c r="G881" t="s">
        <v>437</v>
      </c>
    </row>
    <row r="882" spans="7:7" x14ac:dyDescent="0.3">
      <c r="G882" t="s">
        <v>438</v>
      </c>
    </row>
    <row r="883" spans="7:7" x14ac:dyDescent="0.3">
      <c r="G883" t="s">
        <v>439</v>
      </c>
    </row>
    <row r="884" spans="7:7" x14ac:dyDescent="0.3">
      <c r="G884" t="s">
        <v>440</v>
      </c>
    </row>
    <row r="885" spans="7:7" x14ac:dyDescent="0.3">
      <c r="G885" t="s">
        <v>441</v>
      </c>
    </row>
    <row r="886" spans="7:7" x14ac:dyDescent="0.3">
      <c r="G886" t="s">
        <v>443</v>
      </c>
    </row>
    <row r="887" spans="7:7" x14ac:dyDescent="0.3">
      <c r="G887" t="s">
        <v>483</v>
      </c>
    </row>
    <row r="888" spans="7:7" x14ac:dyDescent="0.3">
      <c r="G888" t="s">
        <v>445</v>
      </c>
    </row>
    <row r="889" spans="7:7" x14ac:dyDescent="0.3">
      <c r="G889" t="s">
        <v>772</v>
      </c>
    </row>
    <row r="890" spans="7:7" x14ac:dyDescent="0.3">
      <c r="G890" t="s">
        <v>773</v>
      </c>
    </row>
    <row r="891" spans="7:7" x14ac:dyDescent="0.3">
      <c r="G891" t="s">
        <v>774</v>
      </c>
    </row>
    <row r="892" spans="7:7" x14ac:dyDescent="0.3">
      <c r="G892" t="s">
        <v>448</v>
      </c>
    </row>
    <row r="893" spans="7:7" x14ac:dyDescent="0.3">
      <c r="G893" t="s">
        <v>393</v>
      </c>
    </row>
    <row r="894" spans="7:7" x14ac:dyDescent="0.3">
      <c r="G894" t="s">
        <v>449</v>
      </c>
    </row>
    <row r="895" spans="7:7" x14ac:dyDescent="0.3">
      <c r="G895" t="s">
        <v>488</v>
      </c>
    </row>
    <row r="896" spans="7:7" x14ac:dyDescent="0.3">
      <c r="G896" t="s">
        <v>451</v>
      </c>
    </row>
    <row r="897" spans="7:7" x14ac:dyDescent="0.3">
      <c r="G897" t="s">
        <v>452</v>
      </c>
    </row>
    <row r="898" spans="7:7" x14ac:dyDescent="0.3">
      <c r="G898" t="s">
        <v>775</v>
      </c>
    </row>
    <row r="899" spans="7:7" x14ac:dyDescent="0.3">
      <c r="G899" t="s">
        <v>776</v>
      </c>
    </row>
    <row r="900" spans="7:7" x14ac:dyDescent="0.3">
      <c r="G900" t="s">
        <v>777</v>
      </c>
    </row>
    <row r="901" spans="7:7" x14ac:dyDescent="0.3">
      <c r="G901" t="s">
        <v>778</v>
      </c>
    </row>
    <row r="902" spans="7:7" x14ac:dyDescent="0.3">
      <c r="G902" t="s">
        <v>779</v>
      </c>
    </row>
    <row r="903" spans="7:7" x14ac:dyDescent="0.3">
      <c r="G903" t="s">
        <v>780</v>
      </c>
    </row>
    <row r="904" spans="7:7" x14ac:dyDescent="0.3">
      <c r="G904" t="s">
        <v>781</v>
      </c>
    </row>
    <row r="905" spans="7:7" x14ac:dyDescent="0.3">
      <c r="G905" t="s">
        <v>782</v>
      </c>
    </row>
    <row r="906" spans="7:7" x14ac:dyDescent="0.3">
      <c r="G906" t="s">
        <v>783</v>
      </c>
    </row>
    <row r="907" spans="7:7" x14ac:dyDescent="0.3">
      <c r="G907" t="s">
        <v>784</v>
      </c>
    </row>
    <row r="908" spans="7:7" x14ac:dyDescent="0.3">
      <c r="G908" t="s">
        <v>448</v>
      </c>
    </row>
    <row r="909" spans="7:7" x14ac:dyDescent="0.3">
      <c r="G909" t="s">
        <v>393</v>
      </c>
    </row>
    <row r="910" spans="7:7" x14ac:dyDescent="0.3">
      <c r="G910" t="s">
        <v>463</v>
      </c>
    </row>
    <row r="911" spans="7:7" x14ac:dyDescent="0.3">
      <c r="G911" t="s">
        <v>464</v>
      </c>
    </row>
    <row r="912" spans="7:7" x14ac:dyDescent="0.3">
      <c r="G912" t="s">
        <v>785</v>
      </c>
    </row>
    <row r="913" spans="7:7" x14ac:dyDescent="0.3">
      <c r="G913" t="s">
        <v>786</v>
      </c>
    </row>
    <row r="914" spans="7:7" x14ac:dyDescent="0.3">
      <c r="G914" t="s">
        <v>787</v>
      </c>
    </row>
    <row r="915" spans="7:7" x14ac:dyDescent="0.3">
      <c r="G915" t="s">
        <v>788</v>
      </c>
    </row>
    <row r="916" spans="7:7" x14ac:dyDescent="0.3">
      <c r="G916" t="s">
        <v>789</v>
      </c>
    </row>
    <row r="917" spans="7:7" x14ac:dyDescent="0.3">
      <c r="G917" t="s">
        <v>448</v>
      </c>
    </row>
    <row r="918" spans="7:7" x14ac:dyDescent="0.3">
      <c r="G918" t="s">
        <v>393</v>
      </c>
    </row>
    <row r="919" spans="7:7" x14ac:dyDescent="0.3">
      <c r="G919" t="s">
        <v>470</v>
      </c>
    </row>
    <row r="920" spans="7:7" x14ac:dyDescent="0.3">
      <c r="G920" t="s">
        <v>481</v>
      </c>
    </row>
    <row r="921" spans="7:7" x14ac:dyDescent="0.3">
      <c r="G921" t="s">
        <v>790</v>
      </c>
    </row>
    <row r="922" spans="7:7" x14ac:dyDescent="0.3">
      <c r="G922" t="s">
        <v>473</v>
      </c>
    </row>
    <row r="923" spans="7:7" x14ac:dyDescent="0.3">
      <c r="G923" t="s">
        <v>474</v>
      </c>
    </row>
    <row r="924" spans="7:7" x14ac:dyDescent="0.3">
      <c r="G924" t="s">
        <v>471</v>
      </c>
    </row>
    <row r="925" spans="7:7" x14ac:dyDescent="0.3">
      <c r="G925" t="s">
        <v>791</v>
      </c>
    </row>
    <row r="926" spans="7:7" x14ac:dyDescent="0.3">
      <c r="G926" t="s">
        <v>473</v>
      </c>
    </row>
    <row r="927" spans="7:7" x14ac:dyDescent="0.3">
      <c r="G927" t="s">
        <v>474</v>
      </c>
    </row>
    <row r="928" spans="7:7" x14ac:dyDescent="0.3">
      <c r="G928" t="s">
        <v>479</v>
      </c>
    </row>
    <row r="929" spans="7:7" x14ac:dyDescent="0.3">
      <c r="G929" t="s">
        <v>792</v>
      </c>
    </row>
    <row r="930" spans="7:7" x14ac:dyDescent="0.3">
      <c r="G930" t="s">
        <v>473</v>
      </c>
    </row>
    <row r="931" spans="7:7" x14ac:dyDescent="0.3">
      <c r="G931" t="s">
        <v>474</v>
      </c>
    </row>
    <row r="932" spans="7:7" x14ac:dyDescent="0.3">
      <c r="G932" t="s">
        <v>475</v>
      </c>
    </row>
    <row r="933" spans="7:7" x14ac:dyDescent="0.3">
      <c r="G933" t="s">
        <v>793</v>
      </c>
    </row>
    <row r="934" spans="7:7" x14ac:dyDescent="0.3">
      <c r="G934" t="s">
        <v>473</v>
      </c>
    </row>
    <row r="935" spans="7:7" x14ac:dyDescent="0.3">
      <c r="G935" t="s">
        <v>474</v>
      </c>
    </row>
    <row r="936" spans="7:7" x14ac:dyDescent="0.3">
      <c r="G936" t="s">
        <v>508</v>
      </c>
    </row>
    <row r="937" spans="7:7" x14ac:dyDescent="0.3">
      <c r="G937" t="s">
        <v>794</v>
      </c>
    </row>
    <row r="938" spans="7:7" x14ac:dyDescent="0.3">
      <c r="G938" t="s">
        <v>473</v>
      </c>
    </row>
    <row r="939" spans="7:7" x14ac:dyDescent="0.3">
      <c r="G939" t="s">
        <v>448</v>
      </c>
    </row>
    <row r="940" spans="7:7" x14ac:dyDescent="0.3">
      <c r="G940" t="s">
        <v>409</v>
      </c>
    </row>
    <row r="941" spans="7:7" x14ac:dyDescent="0.3">
      <c r="G941" t="s">
        <v>177</v>
      </c>
    </row>
    <row r="942" spans="7:7" x14ac:dyDescent="0.3">
      <c r="G942" t="s">
        <v>436</v>
      </c>
    </row>
    <row r="943" spans="7:7" x14ac:dyDescent="0.3">
      <c r="G943" t="s">
        <v>437</v>
      </c>
    </row>
    <row r="944" spans="7:7" x14ac:dyDescent="0.3">
      <c r="G944" t="s">
        <v>438</v>
      </c>
    </row>
    <row r="945" spans="7:7" x14ac:dyDescent="0.3">
      <c r="G945" t="s">
        <v>439</v>
      </c>
    </row>
    <row r="946" spans="7:7" x14ac:dyDescent="0.3">
      <c r="G946" t="s">
        <v>795</v>
      </c>
    </row>
    <row r="947" spans="7:7" x14ac:dyDescent="0.3">
      <c r="G947" t="s">
        <v>441</v>
      </c>
    </row>
    <row r="948" spans="7:7" x14ac:dyDescent="0.3">
      <c r="G948" t="s">
        <v>443</v>
      </c>
    </row>
    <row r="949" spans="7:7" x14ac:dyDescent="0.3">
      <c r="G949" t="s">
        <v>444</v>
      </c>
    </row>
    <row r="950" spans="7:7" x14ac:dyDescent="0.3">
      <c r="G950" t="s">
        <v>796</v>
      </c>
    </row>
    <row r="951" spans="7:7" x14ac:dyDescent="0.3">
      <c r="G951" t="s">
        <v>486</v>
      </c>
    </row>
    <row r="952" spans="7:7" x14ac:dyDescent="0.3">
      <c r="G952" t="s">
        <v>535</v>
      </c>
    </row>
    <row r="953" spans="7:7" x14ac:dyDescent="0.3">
      <c r="G953" t="s">
        <v>797</v>
      </c>
    </row>
    <row r="954" spans="7:7" x14ac:dyDescent="0.3">
      <c r="G954" t="s">
        <v>448</v>
      </c>
    </row>
    <row r="955" spans="7:7" x14ac:dyDescent="0.3">
      <c r="G955" t="s">
        <v>393</v>
      </c>
    </row>
    <row r="956" spans="7:7" x14ac:dyDescent="0.3">
      <c r="G956" t="s">
        <v>449</v>
      </c>
    </row>
    <row r="957" spans="7:7" x14ac:dyDescent="0.3">
      <c r="G957" t="s">
        <v>450</v>
      </c>
    </row>
    <row r="958" spans="7:7" x14ac:dyDescent="0.3">
      <c r="G958" t="s">
        <v>451</v>
      </c>
    </row>
    <row r="959" spans="7:7" x14ac:dyDescent="0.3">
      <c r="G959" t="s">
        <v>452</v>
      </c>
    </row>
    <row r="960" spans="7:7" x14ac:dyDescent="0.3">
      <c r="G960" t="s">
        <v>798</v>
      </c>
    </row>
    <row r="961" spans="7:7" x14ac:dyDescent="0.3">
      <c r="G961" t="s">
        <v>799</v>
      </c>
    </row>
    <row r="962" spans="7:7" x14ac:dyDescent="0.3">
      <c r="G962" t="s">
        <v>800</v>
      </c>
    </row>
    <row r="963" spans="7:7" x14ac:dyDescent="0.3">
      <c r="G963" t="s">
        <v>801</v>
      </c>
    </row>
    <row r="964" spans="7:7" x14ac:dyDescent="0.3">
      <c r="G964" t="s">
        <v>802</v>
      </c>
    </row>
    <row r="965" spans="7:7" x14ac:dyDescent="0.3">
      <c r="G965" t="s">
        <v>803</v>
      </c>
    </row>
    <row r="966" spans="7:7" x14ac:dyDescent="0.3">
      <c r="G966" t="s">
        <v>804</v>
      </c>
    </row>
    <row r="967" spans="7:7" x14ac:dyDescent="0.3">
      <c r="G967" t="s">
        <v>805</v>
      </c>
    </row>
    <row r="968" spans="7:7" x14ac:dyDescent="0.3">
      <c r="G968" t="s">
        <v>806</v>
      </c>
    </row>
    <row r="969" spans="7:7" x14ac:dyDescent="0.3">
      <c r="G969" t="s">
        <v>807</v>
      </c>
    </row>
    <row r="970" spans="7:7" x14ac:dyDescent="0.3">
      <c r="G970" t="s">
        <v>448</v>
      </c>
    </row>
    <row r="971" spans="7:7" x14ac:dyDescent="0.3">
      <c r="G971" t="s">
        <v>393</v>
      </c>
    </row>
    <row r="972" spans="7:7" x14ac:dyDescent="0.3">
      <c r="G972" t="s">
        <v>463</v>
      </c>
    </row>
    <row r="973" spans="7:7" x14ac:dyDescent="0.3">
      <c r="G973" t="s">
        <v>464</v>
      </c>
    </row>
    <row r="974" spans="7:7" x14ac:dyDescent="0.3">
      <c r="G974" t="s">
        <v>808</v>
      </c>
    </row>
    <row r="975" spans="7:7" x14ac:dyDescent="0.3">
      <c r="G975" t="s">
        <v>809</v>
      </c>
    </row>
    <row r="976" spans="7:7" x14ac:dyDescent="0.3">
      <c r="G976" t="s">
        <v>810</v>
      </c>
    </row>
    <row r="977" spans="7:7" x14ac:dyDescent="0.3">
      <c r="G977" t="s">
        <v>811</v>
      </c>
    </row>
    <row r="978" spans="7:7" x14ac:dyDescent="0.3">
      <c r="G978" t="s">
        <v>812</v>
      </c>
    </row>
    <row r="979" spans="7:7" x14ac:dyDescent="0.3">
      <c r="G979" t="s">
        <v>448</v>
      </c>
    </row>
    <row r="980" spans="7:7" x14ac:dyDescent="0.3">
      <c r="G980" t="s">
        <v>393</v>
      </c>
    </row>
    <row r="981" spans="7:7" x14ac:dyDescent="0.3">
      <c r="G981" t="s">
        <v>470</v>
      </c>
    </row>
    <row r="982" spans="7:7" x14ac:dyDescent="0.3">
      <c r="G982" t="s">
        <v>553</v>
      </c>
    </row>
    <row r="983" spans="7:7" x14ac:dyDescent="0.3">
      <c r="G983" t="s">
        <v>813</v>
      </c>
    </row>
    <row r="984" spans="7:7" x14ac:dyDescent="0.3">
      <c r="G984" t="s">
        <v>473</v>
      </c>
    </row>
    <row r="985" spans="7:7" x14ac:dyDescent="0.3">
      <c r="G985" t="s">
        <v>474</v>
      </c>
    </row>
    <row r="986" spans="7:7" x14ac:dyDescent="0.3">
      <c r="G986" t="s">
        <v>504</v>
      </c>
    </row>
    <row r="987" spans="7:7" x14ac:dyDescent="0.3">
      <c r="G987" t="s">
        <v>814</v>
      </c>
    </row>
    <row r="988" spans="7:7" x14ac:dyDescent="0.3">
      <c r="G988" t="s">
        <v>473</v>
      </c>
    </row>
    <row r="989" spans="7:7" x14ac:dyDescent="0.3">
      <c r="G989" t="s">
        <v>474</v>
      </c>
    </row>
    <row r="990" spans="7:7" x14ac:dyDescent="0.3">
      <c r="G990" t="s">
        <v>479</v>
      </c>
    </row>
    <row r="991" spans="7:7" x14ac:dyDescent="0.3">
      <c r="G991" t="s">
        <v>815</v>
      </c>
    </row>
    <row r="992" spans="7:7" x14ac:dyDescent="0.3">
      <c r="G992" t="s">
        <v>473</v>
      </c>
    </row>
    <row r="993" spans="7:7" x14ac:dyDescent="0.3">
      <c r="G993" t="s">
        <v>474</v>
      </c>
    </row>
    <row r="994" spans="7:7" x14ac:dyDescent="0.3">
      <c r="G994" t="s">
        <v>477</v>
      </c>
    </row>
    <row r="995" spans="7:7" x14ac:dyDescent="0.3">
      <c r="G995" t="s">
        <v>816</v>
      </c>
    </row>
    <row r="996" spans="7:7" x14ac:dyDescent="0.3">
      <c r="G996" t="s">
        <v>473</v>
      </c>
    </row>
    <row r="997" spans="7:7" x14ac:dyDescent="0.3">
      <c r="G997" t="s">
        <v>474</v>
      </c>
    </row>
    <row r="998" spans="7:7" x14ac:dyDescent="0.3">
      <c r="G998" t="s">
        <v>481</v>
      </c>
    </row>
    <row r="999" spans="7:7" x14ac:dyDescent="0.3">
      <c r="G999" t="s">
        <v>817</v>
      </c>
    </row>
    <row r="1000" spans="7:7" x14ac:dyDescent="0.3">
      <c r="G1000" t="s">
        <v>473</v>
      </c>
    </row>
    <row r="1001" spans="7:7" x14ac:dyDescent="0.3">
      <c r="G1001" t="s">
        <v>448</v>
      </c>
    </row>
    <row r="1002" spans="7:7" x14ac:dyDescent="0.3">
      <c r="G1002" t="s">
        <v>409</v>
      </c>
    </row>
    <row r="1003" spans="7:7" x14ac:dyDescent="0.3">
      <c r="G1003" t="s">
        <v>177</v>
      </c>
    </row>
    <row r="1004" spans="7:7" x14ac:dyDescent="0.3">
      <c r="G1004" t="s">
        <v>436</v>
      </c>
    </row>
    <row r="1005" spans="7:7" x14ac:dyDescent="0.3">
      <c r="G1005" t="s">
        <v>437</v>
      </c>
    </row>
    <row r="1006" spans="7:7" x14ac:dyDescent="0.3">
      <c r="G1006" t="s">
        <v>438</v>
      </c>
    </row>
    <row r="1007" spans="7:7" x14ac:dyDescent="0.3">
      <c r="G1007" t="s">
        <v>439</v>
      </c>
    </row>
    <row r="1008" spans="7:7" x14ac:dyDescent="0.3">
      <c r="G1008" t="s">
        <v>818</v>
      </c>
    </row>
    <row r="1009" spans="7:7" x14ac:dyDescent="0.3">
      <c r="G1009" t="s">
        <v>440</v>
      </c>
    </row>
    <row r="1010" spans="7:7" x14ac:dyDescent="0.3">
      <c r="G1010" t="s">
        <v>819</v>
      </c>
    </row>
    <row r="1011" spans="7:7" x14ac:dyDescent="0.3">
      <c r="G1011" t="s">
        <v>441</v>
      </c>
    </row>
    <row r="1012" spans="7:7" x14ac:dyDescent="0.3">
      <c r="G1012" t="s">
        <v>443</v>
      </c>
    </row>
    <row r="1013" spans="7:7" x14ac:dyDescent="0.3">
      <c r="G1013" t="s">
        <v>483</v>
      </c>
    </row>
    <row r="1014" spans="7:7" x14ac:dyDescent="0.3">
      <c r="G1014" t="s">
        <v>486</v>
      </c>
    </row>
    <row r="1015" spans="7:7" x14ac:dyDescent="0.3">
      <c r="G1015" t="s">
        <v>487</v>
      </c>
    </row>
    <row r="1016" spans="7:7" x14ac:dyDescent="0.3">
      <c r="G1016" t="s">
        <v>448</v>
      </c>
    </row>
    <row r="1017" spans="7:7" x14ac:dyDescent="0.3">
      <c r="G1017" t="s">
        <v>393</v>
      </c>
    </row>
    <row r="1018" spans="7:7" x14ac:dyDescent="0.3">
      <c r="G1018" t="s">
        <v>449</v>
      </c>
    </row>
    <row r="1019" spans="7:7" x14ac:dyDescent="0.3">
      <c r="G1019" t="s">
        <v>820</v>
      </c>
    </row>
    <row r="1020" spans="7:7" x14ac:dyDescent="0.3">
      <c r="G1020" t="s">
        <v>451</v>
      </c>
    </row>
    <row r="1021" spans="7:7" x14ac:dyDescent="0.3">
      <c r="G1021" t="s">
        <v>452</v>
      </c>
    </row>
    <row r="1022" spans="7:7" x14ac:dyDescent="0.3">
      <c r="G1022" t="s">
        <v>821</v>
      </c>
    </row>
    <row r="1023" spans="7:7" x14ac:dyDescent="0.3">
      <c r="G1023" t="s">
        <v>822</v>
      </c>
    </row>
    <row r="1024" spans="7:7" x14ac:dyDescent="0.3">
      <c r="G1024" t="s">
        <v>823</v>
      </c>
    </row>
    <row r="1025" spans="7:7" x14ac:dyDescent="0.3">
      <c r="G1025" t="s">
        <v>824</v>
      </c>
    </row>
    <row r="1026" spans="7:7" x14ac:dyDescent="0.3">
      <c r="G1026" t="s">
        <v>825</v>
      </c>
    </row>
    <row r="1027" spans="7:7" x14ac:dyDescent="0.3">
      <c r="G1027" t="s">
        <v>826</v>
      </c>
    </row>
    <row r="1028" spans="7:7" x14ac:dyDescent="0.3">
      <c r="G1028" t="s">
        <v>827</v>
      </c>
    </row>
    <row r="1029" spans="7:7" x14ac:dyDescent="0.3">
      <c r="G1029" t="s">
        <v>828</v>
      </c>
    </row>
    <row r="1030" spans="7:7" x14ac:dyDescent="0.3">
      <c r="G1030" t="s">
        <v>829</v>
      </c>
    </row>
    <row r="1031" spans="7:7" x14ac:dyDescent="0.3">
      <c r="G1031" t="s">
        <v>830</v>
      </c>
    </row>
    <row r="1032" spans="7:7" x14ac:dyDescent="0.3">
      <c r="G1032" t="s">
        <v>448</v>
      </c>
    </row>
    <row r="1033" spans="7:7" x14ac:dyDescent="0.3">
      <c r="G1033" t="s">
        <v>393</v>
      </c>
    </row>
    <row r="1034" spans="7:7" x14ac:dyDescent="0.3">
      <c r="G1034" t="s">
        <v>463</v>
      </c>
    </row>
    <row r="1035" spans="7:7" x14ac:dyDescent="0.3">
      <c r="G1035" t="s">
        <v>464</v>
      </c>
    </row>
    <row r="1036" spans="7:7" x14ac:dyDescent="0.3">
      <c r="G1036" t="s">
        <v>831</v>
      </c>
    </row>
    <row r="1037" spans="7:7" x14ac:dyDescent="0.3">
      <c r="G1037" t="s">
        <v>832</v>
      </c>
    </row>
    <row r="1038" spans="7:7" x14ac:dyDescent="0.3">
      <c r="G1038" t="s">
        <v>833</v>
      </c>
    </row>
    <row r="1039" spans="7:7" x14ac:dyDescent="0.3">
      <c r="G1039" t="s">
        <v>834</v>
      </c>
    </row>
    <row r="1040" spans="7:7" x14ac:dyDescent="0.3">
      <c r="G1040" t="s">
        <v>835</v>
      </c>
    </row>
    <row r="1041" spans="7:7" x14ac:dyDescent="0.3">
      <c r="G1041" t="s">
        <v>448</v>
      </c>
    </row>
    <row r="1042" spans="7:7" x14ac:dyDescent="0.3">
      <c r="G1042" t="s">
        <v>393</v>
      </c>
    </row>
    <row r="1043" spans="7:7" x14ac:dyDescent="0.3">
      <c r="G1043" t="s">
        <v>470</v>
      </c>
    </row>
    <row r="1044" spans="7:7" x14ac:dyDescent="0.3">
      <c r="G1044" t="s">
        <v>504</v>
      </c>
    </row>
    <row r="1045" spans="7:7" x14ac:dyDescent="0.3">
      <c r="G1045" t="s">
        <v>836</v>
      </c>
    </row>
    <row r="1046" spans="7:7" x14ac:dyDescent="0.3">
      <c r="G1046" t="s">
        <v>473</v>
      </c>
    </row>
    <row r="1047" spans="7:7" x14ac:dyDescent="0.3">
      <c r="G1047" t="s">
        <v>474</v>
      </c>
    </row>
    <row r="1048" spans="7:7" x14ac:dyDescent="0.3">
      <c r="G1048" t="s">
        <v>471</v>
      </c>
    </row>
    <row r="1049" spans="7:7" x14ac:dyDescent="0.3">
      <c r="G1049" t="s">
        <v>837</v>
      </c>
    </row>
    <row r="1050" spans="7:7" x14ac:dyDescent="0.3">
      <c r="G1050" t="s">
        <v>473</v>
      </c>
    </row>
    <row r="1051" spans="7:7" x14ac:dyDescent="0.3">
      <c r="G1051" t="s">
        <v>474</v>
      </c>
    </row>
    <row r="1052" spans="7:7" x14ac:dyDescent="0.3">
      <c r="G1052" t="s">
        <v>481</v>
      </c>
    </row>
    <row r="1053" spans="7:7" x14ac:dyDescent="0.3">
      <c r="G1053" t="s">
        <v>838</v>
      </c>
    </row>
    <row r="1054" spans="7:7" x14ac:dyDescent="0.3">
      <c r="G1054" t="s">
        <v>473</v>
      </c>
    </row>
    <row r="1055" spans="7:7" x14ac:dyDescent="0.3">
      <c r="G1055" t="s">
        <v>474</v>
      </c>
    </row>
    <row r="1056" spans="7:7" x14ac:dyDescent="0.3">
      <c r="G1056" t="s">
        <v>508</v>
      </c>
    </row>
    <row r="1057" spans="7:7" x14ac:dyDescent="0.3">
      <c r="G1057" t="s">
        <v>839</v>
      </c>
    </row>
    <row r="1058" spans="7:7" x14ac:dyDescent="0.3">
      <c r="G1058" t="s">
        <v>473</v>
      </c>
    </row>
    <row r="1059" spans="7:7" x14ac:dyDescent="0.3">
      <c r="G1059" t="s">
        <v>474</v>
      </c>
    </row>
    <row r="1060" spans="7:7" x14ac:dyDescent="0.3">
      <c r="G1060" t="s">
        <v>479</v>
      </c>
    </row>
    <row r="1061" spans="7:7" x14ac:dyDescent="0.3">
      <c r="G1061" t="s">
        <v>840</v>
      </c>
    </row>
    <row r="1062" spans="7:7" x14ac:dyDescent="0.3">
      <c r="G1062" t="s">
        <v>473</v>
      </c>
    </row>
    <row r="1063" spans="7:7" x14ac:dyDescent="0.3">
      <c r="G1063" t="s">
        <v>448</v>
      </c>
    </row>
    <row r="1064" spans="7:7" x14ac:dyDescent="0.3">
      <c r="G1064" t="s">
        <v>409</v>
      </c>
    </row>
    <row r="1065" spans="7:7" x14ac:dyDescent="0.3">
      <c r="G1065" t="s">
        <v>177</v>
      </c>
    </row>
    <row r="1066" spans="7:7" x14ac:dyDescent="0.3">
      <c r="G1066" t="s">
        <v>436</v>
      </c>
    </row>
    <row r="1067" spans="7:7" x14ac:dyDescent="0.3">
      <c r="G1067" t="s">
        <v>437</v>
      </c>
    </row>
    <row r="1068" spans="7:7" x14ac:dyDescent="0.3">
      <c r="G1068" t="s">
        <v>438</v>
      </c>
    </row>
    <row r="1069" spans="7:7" x14ac:dyDescent="0.3">
      <c r="G1069" t="s">
        <v>439</v>
      </c>
    </row>
    <row r="1070" spans="7:7" x14ac:dyDescent="0.3">
      <c r="G1070" t="s">
        <v>440</v>
      </c>
    </row>
    <row r="1071" spans="7:7" x14ac:dyDescent="0.3">
      <c r="G1071" t="s">
        <v>441</v>
      </c>
    </row>
    <row r="1072" spans="7:7" x14ac:dyDescent="0.3">
      <c r="G1072" t="s">
        <v>443</v>
      </c>
    </row>
    <row r="1073" spans="7:7" x14ac:dyDescent="0.3">
      <c r="G1073" t="s">
        <v>841</v>
      </c>
    </row>
    <row r="1074" spans="7:7" x14ac:dyDescent="0.3">
      <c r="G1074" t="s">
        <v>483</v>
      </c>
    </row>
    <row r="1075" spans="7:7" x14ac:dyDescent="0.3">
      <c r="G1075" t="s">
        <v>842</v>
      </c>
    </row>
    <row r="1076" spans="7:7" x14ac:dyDescent="0.3">
      <c r="G1076" t="s">
        <v>843</v>
      </c>
    </row>
    <row r="1077" spans="7:7" x14ac:dyDescent="0.3">
      <c r="G1077" t="s">
        <v>844</v>
      </c>
    </row>
    <row r="1078" spans="7:7" x14ac:dyDescent="0.3">
      <c r="G1078" t="s">
        <v>448</v>
      </c>
    </row>
    <row r="1079" spans="7:7" x14ac:dyDescent="0.3">
      <c r="G1079" t="s">
        <v>393</v>
      </c>
    </row>
    <row r="1080" spans="7:7" x14ac:dyDescent="0.3">
      <c r="G1080" t="s">
        <v>449</v>
      </c>
    </row>
    <row r="1081" spans="7:7" x14ac:dyDescent="0.3">
      <c r="G1081" t="s">
        <v>450</v>
      </c>
    </row>
    <row r="1082" spans="7:7" x14ac:dyDescent="0.3">
      <c r="G1082" t="s">
        <v>451</v>
      </c>
    </row>
    <row r="1083" spans="7:7" x14ac:dyDescent="0.3">
      <c r="G1083" t="s">
        <v>452</v>
      </c>
    </row>
    <row r="1084" spans="7:7" x14ac:dyDescent="0.3">
      <c r="G1084" t="s">
        <v>845</v>
      </c>
    </row>
    <row r="1085" spans="7:7" x14ac:dyDescent="0.3">
      <c r="G1085" t="s">
        <v>846</v>
      </c>
    </row>
    <row r="1086" spans="7:7" x14ac:dyDescent="0.3">
      <c r="G1086" t="s">
        <v>847</v>
      </c>
    </row>
    <row r="1087" spans="7:7" x14ac:dyDescent="0.3">
      <c r="G1087" t="s">
        <v>848</v>
      </c>
    </row>
    <row r="1088" spans="7:7" x14ac:dyDescent="0.3">
      <c r="G1088" t="s">
        <v>849</v>
      </c>
    </row>
    <row r="1089" spans="7:7" x14ac:dyDescent="0.3">
      <c r="G1089" t="s">
        <v>850</v>
      </c>
    </row>
    <row r="1090" spans="7:7" x14ac:dyDescent="0.3">
      <c r="G1090" t="s">
        <v>851</v>
      </c>
    </row>
    <row r="1091" spans="7:7" x14ac:dyDescent="0.3">
      <c r="G1091" t="s">
        <v>852</v>
      </c>
    </row>
    <row r="1092" spans="7:7" x14ac:dyDescent="0.3">
      <c r="G1092" t="s">
        <v>853</v>
      </c>
    </row>
    <row r="1093" spans="7:7" x14ac:dyDescent="0.3">
      <c r="G1093" t="s">
        <v>854</v>
      </c>
    </row>
    <row r="1094" spans="7:7" x14ac:dyDescent="0.3">
      <c r="G1094" t="s">
        <v>448</v>
      </c>
    </row>
    <row r="1095" spans="7:7" x14ac:dyDescent="0.3">
      <c r="G1095" t="s">
        <v>393</v>
      </c>
    </row>
    <row r="1096" spans="7:7" x14ac:dyDescent="0.3">
      <c r="G1096" t="s">
        <v>463</v>
      </c>
    </row>
    <row r="1097" spans="7:7" x14ac:dyDescent="0.3">
      <c r="G1097" t="s">
        <v>464</v>
      </c>
    </row>
    <row r="1098" spans="7:7" x14ac:dyDescent="0.3">
      <c r="G1098" t="s">
        <v>855</v>
      </c>
    </row>
    <row r="1099" spans="7:7" x14ac:dyDescent="0.3">
      <c r="G1099" t="s">
        <v>856</v>
      </c>
    </row>
    <row r="1100" spans="7:7" x14ac:dyDescent="0.3">
      <c r="G1100" t="s">
        <v>857</v>
      </c>
    </row>
    <row r="1101" spans="7:7" x14ac:dyDescent="0.3">
      <c r="G1101" t="s">
        <v>858</v>
      </c>
    </row>
    <row r="1102" spans="7:7" x14ac:dyDescent="0.3">
      <c r="G1102" t="s">
        <v>859</v>
      </c>
    </row>
    <row r="1103" spans="7:7" x14ac:dyDescent="0.3">
      <c r="G1103" t="s">
        <v>448</v>
      </c>
    </row>
    <row r="1104" spans="7:7" x14ac:dyDescent="0.3">
      <c r="G1104" t="s">
        <v>393</v>
      </c>
    </row>
    <row r="1105" spans="7:7" x14ac:dyDescent="0.3">
      <c r="G1105" t="s">
        <v>470</v>
      </c>
    </row>
    <row r="1106" spans="7:7" x14ac:dyDescent="0.3">
      <c r="G1106" t="s">
        <v>481</v>
      </c>
    </row>
    <row r="1107" spans="7:7" x14ac:dyDescent="0.3">
      <c r="G1107" t="s">
        <v>860</v>
      </c>
    </row>
    <row r="1108" spans="7:7" x14ac:dyDescent="0.3">
      <c r="G1108" t="s">
        <v>473</v>
      </c>
    </row>
    <row r="1109" spans="7:7" x14ac:dyDescent="0.3">
      <c r="G1109" t="s">
        <v>474</v>
      </c>
    </row>
    <row r="1110" spans="7:7" x14ac:dyDescent="0.3">
      <c r="G1110" t="s">
        <v>504</v>
      </c>
    </row>
    <row r="1111" spans="7:7" x14ac:dyDescent="0.3">
      <c r="G1111" t="s">
        <v>861</v>
      </c>
    </row>
    <row r="1112" spans="7:7" x14ac:dyDescent="0.3">
      <c r="G1112" t="s">
        <v>473</v>
      </c>
    </row>
    <row r="1113" spans="7:7" x14ac:dyDescent="0.3">
      <c r="G1113" t="s">
        <v>474</v>
      </c>
    </row>
    <row r="1114" spans="7:7" x14ac:dyDescent="0.3">
      <c r="G1114" t="s">
        <v>471</v>
      </c>
    </row>
    <row r="1115" spans="7:7" x14ac:dyDescent="0.3">
      <c r="G1115" t="s">
        <v>862</v>
      </c>
    </row>
    <row r="1116" spans="7:7" x14ac:dyDescent="0.3">
      <c r="G1116" t="s">
        <v>473</v>
      </c>
    </row>
    <row r="1117" spans="7:7" x14ac:dyDescent="0.3">
      <c r="G1117" t="s">
        <v>474</v>
      </c>
    </row>
    <row r="1118" spans="7:7" x14ac:dyDescent="0.3">
      <c r="G1118" t="s">
        <v>479</v>
      </c>
    </row>
    <row r="1119" spans="7:7" x14ac:dyDescent="0.3">
      <c r="G1119" t="s">
        <v>863</v>
      </c>
    </row>
    <row r="1120" spans="7:7" x14ac:dyDescent="0.3">
      <c r="G1120" t="s">
        <v>473</v>
      </c>
    </row>
    <row r="1121" spans="7:7" x14ac:dyDescent="0.3">
      <c r="G1121" t="s">
        <v>474</v>
      </c>
    </row>
    <row r="1122" spans="7:7" x14ac:dyDescent="0.3">
      <c r="G1122" t="s">
        <v>508</v>
      </c>
    </row>
    <row r="1123" spans="7:7" x14ac:dyDescent="0.3">
      <c r="G1123" t="s">
        <v>864</v>
      </c>
    </row>
    <row r="1124" spans="7:7" x14ac:dyDescent="0.3">
      <c r="G1124" t="s">
        <v>473</v>
      </c>
    </row>
    <row r="1125" spans="7:7" x14ac:dyDescent="0.3">
      <c r="G1125" t="s">
        <v>448</v>
      </c>
    </row>
    <row r="1126" spans="7:7" x14ac:dyDescent="0.3">
      <c r="G1126" t="s">
        <v>409</v>
      </c>
    </row>
    <row r="1127" spans="7:7" x14ac:dyDescent="0.3">
      <c r="G1127" t="s">
        <v>177</v>
      </c>
    </row>
    <row r="1128" spans="7:7" x14ac:dyDescent="0.3">
      <c r="G1128" t="s">
        <v>436</v>
      </c>
    </row>
    <row r="1129" spans="7:7" x14ac:dyDescent="0.3">
      <c r="G1129" t="s">
        <v>437</v>
      </c>
    </row>
    <row r="1130" spans="7:7" x14ac:dyDescent="0.3">
      <c r="G1130" t="s">
        <v>438</v>
      </c>
    </row>
    <row r="1131" spans="7:7" x14ac:dyDescent="0.3">
      <c r="G1131" t="s">
        <v>439</v>
      </c>
    </row>
    <row r="1132" spans="7:7" x14ac:dyDescent="0.3">
      <c r="G1132" t="s">
        <v>440</v>
      </c>
    </row>
    <row r="1133" spans="7:7" x14ac:dyDescent="0.3">
      <c r="G1133" t="s">
        <v>865</v>
      </c>
    </row>
    <row r="1134" spans="7:7" x14ac:dyDescent="0.3">
      <c r="G1134" t="s">
        <v>441</v>
      </c>
    </row>
    <row r="1135" spans="7:7" x14ac:dyDescent="0.3">
      <c r="G1135" t="s">
        <v>443</v>
      </c>
    </row>
    <row r="1136" spans="7:7" x14ac:dyDescent="0.3">
      <c r="G1136" t="s">
        <v>483</v>
      </c>
    </row>
    <row r="1137" spans="7:7" x14ac:dyDescent="0.3">
      <c r="G1137" t="s">
        <v>866</v>
      </c>
    </row>
    <row r="1138" spans="7:7" x14ac:dyDescent="0.3">
      <c r="G1138" t="s">
        <v>486</v>
      </c>
    </row>
    <row r="1139" spans="7:7" x14ac:dyDescent="0.3">
      <c r="G1139" t="s">
        <v>867</v>
      </c>
    </row>
    <row r="1140" spans="7:7" x14ac:dyDescent="0.3">
      <c r="G1140" t="s">
        <v>448</v>
      </c>
    </row>
    <row r="1141" spans="7:7" x14ac:dyDescent="0.3">
      <c r="G1141" t="s">
        <v>393</v>
      </c>
    </row>
    <row r="1142" spans="7:7" x14ac:dyDescent="0.3">
      <c r="G1142" t="s">
        <v>449</v>
      </c>
    </row>
    <row r="1143" spans="7:7" x14ac:dyDescent="0.3">
      <c r="G1143" t="s">
        <v>488</v>
      </c>
    </row>
    <row r="1144" spans="7:7" x14ac:dyDescent="0.3">
      <c r="G1144" t="s">
        <v>451</v>
      </c>
    </row>
    <row r="1145" spans="7:7" x14ac:dyDescent="0.3">
      <c r="G1145" t="s">
        <v>452</v>
      </c>
    </row>
    <row r="1146" spans="7:7" x14ac:dyDescent="0.3">
      <c r="G1146" t="s">
        <v>868</v>
      </c>
    </row>
    <row r="1147" spans="7:7" x14ac:dyDescent="0.3">
      <c r="G1147" t="s">
        <v>869</v>
      </c>
    </row>
    <row r="1148" spans="7:7" x14ac:dyDescent="0.3">
      <c r="G1148" t="s">
        <v>870</v>
      </c>
    </row>
    <row r="1149" spans="7:7" x14ac:dyDescent="0.3">
      <c r="G1149" t="s">
        <v>871</v>
      </c>
    </row>
    <row r="1150" spans="7:7" x14ac:dyDescent="0.3">
      <c r="G1150" t="s">
        <v>872</v>
      </c>
    </row>
    <row r="1151" spans="7:7" x14ac:dyDescent="0.3">
      <c r="G1151" t="s">
        <v>873</v>
      </c>
    </row>
    <row r="1152" spans="7:7" x14ac:dyDescent="0.3">
      <c r="G1152" t="s">
        <v>874</v>
      </c>
    </row>
    <row r="1153" spans="7:7" x14ac:dyDescent="0.3">
      <c r="G1153" t="s">
        <v>875</v>
      </c>
    </row>
    <row r="1154" spans="7:7" x14ac:dyDescent="0.3">
      <c r="G1154" t="s">
        <v>876</v>
      </c>
    </row>
    <row r="1155" spans="7:7" x14ac:dyDescent="0.3">
      <c r="G1155" t="s">
        <v>877</v>
      </c>
    </row>
    <row r="1156" spans="7:7" x14ac:dyDescent="0.3">
      <c r="G1156" t="s">
        <v>448</v>
      </c>
    </row>
    <row r="1157" spans="7:7" x14ac:dyDescent="0.3">
      <c r="G1157" t="s">
        <v>393</v>
      </c>
    </row>
    <row r="1158" spans="7:7" x14ac:dyDescent="0.3">
      <c r="G1158" t="s">
        <v>463</v>
      </c>
    </row>
    <row r="1159" spans="7:7" x14ac:dyDescent="0.3">
      <c r="G1159" t="s">
        <v>464</v>
      </c>
    </row>
    <row r="1160" spans="7:7" x14ac:dyDescent="0.3">
      <c r="G1160" t="s">
        <v>878</v>
      </c>
    </row>
    <row r="1161" spans="7:7" x14ac:dyDescent="0.3">
      <c r="G1161" t="s">
        <v>879</v>
      </c>
    </row>
    <row r="1162" spans="7:7" x14ac:dyDescent="0.3">
      <c r="G1162" t="s">
        <v>880</v>
      </c>
    </row>
    <row r="1163" spans="7:7" x14ac:dyDescent="0.3">
      <c r="G1163" t="s">
        <v>881</v>
      </c>
    </row>
    <row r="1164" spans="7:7" x14ac:dyDescent="0.3">
      <c r="G1164" t="s">
        <v>882</v>
      </c>
    </row>
    <row r="1165" spans="7:7" x14ac:dyDescent="0.3">
      <c r="G1165" t="s">
        <v>448</v>
      </c>
    </row>
    <row r="1166" spans="7:7" x14ac:dyDescent="0.3">
      <c r="G1166" t="s">
        <v>393</v>
      </c>
    </row>
    <row r="1167" spans="7:7" x14ac:dyDescent="0.3">
      <c r="G1167" t="s">
        <v>470</v>
      </c>
    </row>
    <row r="1168" spans="7:7" x14ac:dyDescent="0.3">
      <c r="G1168" t="s">
        <v>504</v>
      </c>
    </row>
    <row r="1169" spans="7:7" x14ac:dyDescent="0.3">
      <c r="G1169" t="s">
        <v>883</v>
      </c>
    </row>
    <row r="1170" spans="7:7" x14ac:dyDescent="0.3">
      <c r="G1170" t="s">
        <v>473</v>
      </c>
    </row>
    <row r="1171" spans="7:7" x14ac:dyDescent="0.3">
      <c r="G1171" t="s">
        <v>474</v>
      </c>
    </row>
    <row r="1172" spans="7:7" x14ac:dyDescent="0.3">
      <c r="G1172" t="s">
        <v>471</v>
      </c>
    </row>
    <row r="1173" spans="7:7" x14ac:dyDescent="0.3">
      <c r="G1173" t="s">
        <v>884</v>
      </c>
    </row>
    <row r="1174" spans="7:7" x14ac:dyDescent="0.3">
      <c r="G1174" t="s">
        <v>473</v>
      </c>
    </row>
    <row r="1175" spans="7:7" x14ac:dyDescent="0.3">
      <c r="G1175" t="s">
        <v>474</v>
      </c>
    </row>
    <row r="1176" spans="7:7" x14ac:dyDescent="0.3">
      <c r="G1176" t="s">
        <v>481</v>
      </c>
    </row>
    <row r="1177" spans="7:7" x14ac:dyDescent="0.3">
      <c r="G1177" t="s">
        <v>885</v>
      </c>
    </row>
    <row r="1178" spans="7:7" x14ac:dyDescent="0.3">
      <c r="G1178" t="s">
        <v>473</v>
      </c>
    </row>
    <row r="1179" spans="7:7" x14ac:dyDescent="0.3">
      <c r="G1179" t="s">
        <v>474</v>
      </c>
    </row>
    <row r="1180" spans="7:7" x14ac:dyDescent="0.3">
      <c r="G1180" t="s">
        <v>508</v>
      </c>
    </row>
    <row r="1181" spans="7:7" x14ac:dyDescent="0.3">
      <c r="G1181" t="s">
        <v>886</v>
      </c>
    </row>
    <row r="1182" spans="7:7" x14ac:dyDescent="0.3">
      <c r="G1182" t="s">
        <v>473</v>
      </c>
    </row>
    <row r="1183" spans="7:7" x14ac:dyDescent="0.3">
      <c r="G1183" t="s">
        <v>474</v>
      </c>
    </row>
    <row r="1184" spans="7:7" x14ac:dyDescent="0.3">
      <c r="G1184" t="s">
        <v>479</v>
      </c>
    </row>
    <row r="1185" spans="7:7" x14ac:dyDescent="0.3">
      <c r="G1185" t="s">
        <v>887</v>
      </c>
    </row>
    <row r="1186" spans="7:7" x14ac:dyDescent="0.3">
      <c r="G1186" t="s">
        <v>473</v>
      </c>
    </row>
    <row r="1187" spans="7:7" x14ac:dyDescent="0.3">
      <c r="G1187" t="s">
        <v>448</v>
      </c>
    </row>
    <row r="1188" spans="7:7" x14ac:dyDescent="0.3">
      <c r="G1188" t="s">
        <v>409</v>
      </c>
    </row>
    <row r="1189" spans="7:7" x14ac:dyDescent="0.3">
      <c r="G1189" t="s">
        <v>177</v>
      </c>
    </row>
    <row r="1190" spans="7:7" x14ac:dyDescent="0.3">
      <c r="G1190" t="s">
        <v>436</v>
      </c>
    </row>
    <row r="1191" spans="7:7" x14ac:dyDescent="0.3">
      <c r="G1191" t="s">
        <v>437</v>
      </c>
    </row>
    <row r="1192" spans="7:7" x14ac:dyDescent="0.3">
      <c r="G1192" t="s">
        <v>438</v>
      </c>
    </row>
    <row r="1193" spans="7:7" x14ac:dyDescent="0.3">
      <c r="G1193" t="s">
        <v>439</v>
      </c>
    </row>
    <row r="1194" spans="7:7" x14ac:dyDescent="0.3">
      <c r="G1194" t="s">
        <v>440</v>
      </c>
    </row>
    <row r="1195" spans="7:7" x14ac:dyDescent="0.3">
      <c r="G1195" t="s">
        <v>441</v>
      </c>
    </row>
    <row r="1196" spans="7:7" x14ac:dyDescent="0.3">
      <c r="G1196" t="s">
        <v>443</v>
      </c>
    </row>
    <row r="1197" spans="7:7" x14ac:dyDescent="0.3">
      <c r="G1197" t="s">
        <v>483</v>
      </c>
    </row>
    <row r="1198" spans="7:7" x14ac:dyDescent="0.3">
      <c r="G1198" t="s">
        <v>888</v>
      </c>
    </row>
    <row r="1199" spans="7:7" x14ac:dyDescent="0.3">
      <c r="G1199" t="s">
        <v>445</v>
      </c>
    </row>
    <row r="1200" spans="7:7" x14ac:dyDescent="0.3">
      <c r="G1200" t="s">
        <v>889</v>
      </c>
    </row>
    <row r="1201" spans="7:7" x14ac:dyDescent="0.3">
      <c r="G1201" t="s">
        <v>890</v>
      </c>
    </row>
    <row r="1202" spans="7:7" x14ac:dyDescent="0.3">
      <c r="G1202" t="s">
        <v>448</v>
      </c>
    </row>
    <row r="1203" spans="7:7" x14ac:dyDescent="0.3">
      <c r="G1203" t="s">
        <v>393</v>
      </c>
    </row>
    <row r="1204" spans="7:7" x14ac:dyDescent="0.3">
      <c r="G1204" t="s">
        <v>449</v>
      </c>
    </row>
    <row r="1205" spans="7:7" x14ac:dyDescent="0.3">
      <c r="G1205" t="s">
        <v>450</v>
      </c>
    </row>
    <row r="1206" spans="7:7" x14ac:dyDescent="0.3">
      <c r="G1206" t="s">
        <v>655</v>
      </c>
    </row>
    <row r="1207" spans="7:7" x14ac:dyDescent="0.3">
      <c r="G1207" t="s">
        <v>452</v>
      </c>
    </row>
    <row r="1208" spans="7:7" x14ac:dyDescent="0.3">
      <c r="G1208" t="s">
        <v>891</v>
      </c>
    </row>
    <row r="1209" spans="7:7" x14ac:dyDescent="0.3">
      <c r="G1209" t="s">
        <v>892</v>
      </c>
    </row>
    <row r="1210" spans="7:7" x14ac:dyDescent="0.3">
      <c r="G1210" t="s">
        <v>893</v>
      </c>
    </row>
    <row r="1211" spans="7:7" x14ac:dyDescent="0.3">
      <c r="G1211" t="s">
        <v>894</v>
      </c>
    </row>
    <row r="1212" spans="7:7" x14ac:dyDescent="0.3">
      <c r="G1212" t="s">
        <v>895</v>
      </c>
    </row>
    <row r="1213" spans="7:7" x14ac:dyDescent="0.3">
      <c r="G1213" t="s">
        <v>896</v>
      </c>
    </row>
    <row r="1214" spans="7:7" x14ac:dyDescent="0.3">
      <c r="G1214" t="s">
        <v>897</v>
      </c>
    </row>
    <row r="1215" spans="7:7" x14ac:dyDescent="0.3">
      <c r="G1215" t="s">
        <v>898</v>
      </c>
    </row>
    <row r="1216" spans="7:7" x14ac:dyDescent="0.3">
      <c r="G1216" t="s">
        <v>899</v>
      </c>
    </row>
    <row r="1217" spans="7:7" x14ac:dyDescent="0.3">
      <c r="G1217" t="s">
        <v>900</v>
      </c>
    </row>
    <row r="1218" spans="7:7" x14ac:dyDescent="0.3">
      <c r="G1218" t="s">
        <v>448</v>
      </c>
    </row>
    <row r="1219" spans="7:7" x14ac:dyDescent="0.3">
      <c r="G1219" t="s">
        <v>393</v>
      </c>
    </row>
    <row r="1220" spans="7:7" x14ac:dyDescent="0.3">
      <c r="G1220" t="s">
        <v>463</v>
      </c>
    </row>
    <row r="1221" spans="7:7" x14ac:dyDescent="0.3">
      <c r="G1221" t="s">
        <v>464</v>
      </c>
    </row>
    <row r="1222" spans="7:7" x14ac:dyDescent="0.3">
      <c r="G1222" t="s">
        <v>901</v>
      </c>
    </row>
    <row r="1223" spans="7:7" x14ac:dyDescent="0.3">
      <c r="G1223" t="s">
        <v>902</v>
      </c>
    </row>
    <row r="1224" spans="7:7" x14ac:dyDescent="0.3">
      <c r="G1224" t="s">
        <v>903</v>
      </c>
    </row>
    <row r="1225" spans="7:7" x14ac:dyDescent="0.3">
      <c r="G1225" t="s">
        <v>904</v>
      </c>
    </row>
    <row r="1226" spans="7:7" x14ac:dyDescent="0.3">
      <c r="G1226" t="s">
        <v>905</v>
      </c>
    </row>
    <row r="1227" spans="7:7" x14ac:dyDescent="0.3">
      <c r="G1227" t="s">
        <v>448</v>
      </c>
    </row>
    <row r="1228" spans="7:7" x14ac:dyDescent="0.3">
      <c r="G1228" t="s">
        <v>393</v>
      </c>
    </row>
    <row r="1229" spans="7:7" x14ac:dyDescent="0.3">
      <c r="G1229" t="s">
        <v>470</v>
      </c>
    </row>
    <row r="1230" spans="7:7" x14ac:dyDescent="0.3">
      <c r="G1230" t="s">
        <v>481</v>
      </c>
    </row>
    <row r="1231" spans="7:7" x14ac:dyDescent="0.3">
      <c r="G1231" t="s">
        <v>906</v>
      </c>
    </row>
    <row r="1232" spans="7:7" x14ac:dyDescent="0.3">
      <c r="G1232" t="s">
        <v>473</v>
      </c>
    </row>
    <row r="1233" spans="7:7" x14ac:dyDescent="0.3">
      <c r="G1233" t="s">
        <v>474</v>
      </c>
    </row>
    <row r="1234" spans="7:7" x14ac:dyDescent="0.3">
      <c r="G1234" t="s">
        <v>471</v>
      </c>
    </row>
    <row r="1235" spans="7:7" x14ac:dyDescent="0.3">
      <c r="G1235" t="s">
        <v>907</v>
      </c>
    </row>
    <row r="1236" spans="7:7" x14ac:dyDescent="0.3">
      <c r="G1236" t="s">
        <v>473</v>
      </c>
    </row>
    <row r="1237" spans="7:7" x14ac:dyDescent="0.3">
      <c r="G1237" t="s">
        <v>474</v>
      </c>
    </row>
    <row r="1238" spans="7:7" x14ac:dyDescent="0.3">
      <c r="G1238" t="s">
        <v>475</v>
      </c>
    </row>
    <row r="1239" spans="7:7" x14ac:dyDescent="0.3">
      <c r="G1239" t="s">
        <v>908</v>
      </c>
    </row>
    <row r="1240" spans="7:7" x14ac:dyDescent="0.3">
      <c r="G1240" t="s">
        <v>473</v>
      </c>
    </row>
    <row r="1241" spans="7:7" x14ac:dyDescent="0.3">
      <c r="G1241" t="s">
        <v>474</v>
      </c>
    </row>
    <row r="1242" spans="7:7" x14ac:dyDescent="0.3">
      <c r="G1242" t="s">
        <v>479</v>
      </c>
    </row>
    <row r="1243" spans="7:7" x14ac:dyDescent="0.3">
      <c r="G1243" t="s">
        <v>909</v>
      </c>
    </row>
    <row r="1244" spans="7:7" x14ac:dyDescent="0.3">
      <c r="G1244" t="s">
        <v>473</v>
      </c>
    </row>
    <row r="1245" spans="7:7" x14ac:dyDescent="0.3">
      <c r="G1245" t="s">
        <v>474</v>
      </c>
    </row>
    <row r="1246" spans="7:7" x14ac:dyDescent="0.3">
      <c r="G1246" t="s">
        <v>508</v>
      </c>
    </row>
    <row r="1247" spans="7:7" x14ac:dyDescent="0.3">
      <c r="G1247" t="s">
        <v>910</v>
      </c>
    </row>
    <row r="1248" spans="7:7" x14ac:dyDescent="0.3">
      <c r="G1248" t="s">
        <v>473</v>
      </c>
    </row>
    <row r="1249" spans="7:7" x14ac:dyDescent="0.3">
      <c r="G1249" t="s">
        <v>448</v>
      </c>
    </row>
    <row r="1250" spans="7:7" x14ac:dyDescent="0.3">
      <c r="G1250" t="s">
        <v>409</v>
      </c>
    </row>
    <row r="1251" spans="7:7" x14ac:dyDescent="0.3">
      <c r="G1251" t="s">
        <v>177</v>
      </c>
    </row>
    <row r="1252" spans="7:7" x14ac:dyDescent="0.3">
      <c r="G1252" t="s">
        <v>436</v>
      </c>
    </row>
    <row r="1253" spans="7:7" x14ac:dyDescent="0.3">
      <c r="G1253" t="s">
        <v>437</v>
      </c>
    </row>
    <row r="1254" spans="7:7" x14ac:dyDescent="0.3">
      <c r="G1254" t="s">
        <v>438</v>
      </c>
    </row>
    <row r="1255" spans="7:7" x14ac:dyDescent="0.3">
      <c r="G1255" t="s">
        <v>439</v>
      </c>
    </row>
    <row r="1256" spans="7:7" x14ac:dyDescent="0.3">
      <c r="G1256" t="s">
        <v>440</v>
      </c>
    </row>
    <row r="1257" spans="7:7" x14ac:dyDescent="0.3">
      <c r="G1257" t="s">
        <v>911</v>
      </c>
    </row>
    <row r="1258" spans="7:7" x14ac:dyDescent="0.3">
      <c r="G1258" t="s">
        <v>441</v>
      </c>
    </row>
    <row r="1259" spans="7:7" x14ac:dyDescent="0.3">
      <c r="G1259" t="s">
        <v>443</v>
      </c>
    </row>
    <row r="1260" spans="7:7" x14ac:dyDescent="0.3">
      <c r="G1260" t="s">
        <v>483</v>
      </c>
    </row>
    <row r="1261" spans="7:7" x14ac:dyDescent="0.3">
      <c r="G1261" t="s">
        <v>912</v>
      </c>
    </row>
    <row r="1262" spans="7:7" x14ac:dyDescent="0.3">
      <c r="G1262" t="s">
        <v>486</v>
      </c>
    </row>
    <row r="1263" spans="7:7" x14ac:dyDescent="0.3">
      <c r="G1263" t="s">
        <v>913</v>
      </c>
    </row>
    <row r="1264" spans="7:7" x14ac:dyDescent="0.3">
      <c r="G1264" t="s">
        <v>448</v>
      </c>
    </row>
    <row r="1265" spans="7:7" x14ac:dyDescent="0.3">
      <c r="G1265" t="s">
        <v>393</v>
      </c>
    </row>
    <row r="1266" spans="7:7" x14ac:dyDescent="0.3">
      <c r="G1266" t="s">
        <v>449</v>
      </c>
    </row>
    <row r="1267" spans="7:7" x14ac:dyDescent="0.3">
      <c r="G1267" t="s">
        <v>488</v>
      </c>
    </row>
    <row r="1268" spans="7:7" x14ac:dyDescent="0.3">
      <c r="G1268" t="s">
        <v>451</v>
      </c>
    </row>
    <row r="1269" spans="7:7" x14ac:dyDescent="0.3">
      <c r="G1269" t="s">
        <v>452</v>
      </c>
    </row>
    <row r="1270" spans="7:7" x14ac:dyDescent="0.3">
      <c r="G1270" t="s">
        <v>914</v>
      </c>
    </row>
    <row r="1271" spans="7:7" x14ac:dyDescent="0.3">
      <c r="G1271" t="s">
        <v>915</v>
      </c>
    </row>
    <row r="1272" spans="7:7" x14ac:dyDescent="0.3">
      <c r="G1272" t="s">
        <v>916</v>
      </c>
    </row>
    <row r="1273" spans="7:7" x14ac:dyDescent="0.3">
      <c r="G1273" t="s">
        <v>917</v>
      </c>
    </row>
    <row r="1274" spans="7:7" x14ac:dyDescent="0.3">
      <c r="G1274" t="s">
        <v>918</v>
      </c>
    </row>
    <row r="1275" spans="7:7" x14ac:dyDescent="0.3">
      <c r="G1275" t="s">
        <v>919</v>
      </c>
    </row>
    <row r="1276" spans="7:7" x14ac:dyDescent="0.3">
      <c r="G1276" t="s">
        <v>920</v>
      </c>
    </row>
    <row r="1277" spans="7:7" x14ac:dyDescent="0.3">
      <c r="G1277" t="s">
        <v>921</v>
      </c>
    </row>
    <row r="1278" spans="7:7" x14ac:dyDescent="0.3">
      <c r="G1278" t="s">
        <v>922</v>
      </c>
    </row>
    <row r="1279" spans="7:7" x14ac:dyDescent="0.3">
      <c r="G1279" t="s">
        <v>923</v>
      </c>
    </row>
    <row r="1280" spans="7:7" x14ac:dyDescent="0.3">
      <c r="G1280" t="s">
        <v>448</v>
      </c>
    </row>
    <row r="1281" spans="7:7" x14ac:dyDescent="0.3">
      <c r="G1281" t="s">
        <v>393</v>
      </c>
    </row>
    <row r="1282" spans="7:7" x14ac:dyDescent="0.3">
      <c r="G1282" t="s">
        <v>463</v>
      </c>
    </row>
    <row r="1283" spans="7:7" x14ac:dyDescent="0.3">
      <c r="G1283" t="s">
        <v>464</v>
      </c>
    </row>
    <row r="1284" spans="7:7" x14ac:dyDescent="0.3">
      <c r="G1284" t="s">
        <v>924</v>
      </c>
    </row>
    <row r="1285" spans="7:7" x14ac:dyDescent="0.3">
      <c r="G1285" t="s">
        <v>925</v>
      </c>
    </row>
    <row r="1286" spans="7:7" x14ac:dyDescent="0.3">
      <c r="G1286" t="s">
        <v>926</v>
      </c>
    </row>
    <row r="1287" spans="7:7" x14ac:dyDescent="0.3">
      <c r="G1287" t="s">
        <v>927</v>
      </c>
    </row>
    <row r="1288" spans="7:7" x14ac:dyDescent="0.3">
      <c r="G1288" t="s">
        <v>928</v>
      </c>
    </row>
    <row r="1289" spans="7:7" x14ac:dyDescent="0.3">
      <c r="G1289" t="s">
        <v>448</v>
      </c>
    </row>
    <row r="1290" spans="7:7" x14ac:dyDescent="0.3">
      <c r="G1290" t="s">
        <v>393</v>
      </c>
    </row>
    <row r="1291" spans="7:7" x14ac:dyDescent="0.3">
      <c r="G1291" t="s">
        <v>470</v>
      </c>
    </row>
    <row r="1292" spans="7:7" x14ac:dyDescent="0.3">
      <c r="G1292" t="s">
        <v>481</v>
      </c>
    </row>
    <row r="1293" spans="7:7" x14ac:dyDescent="0.3">
      <c r="G1293" t="s">
        <v>929</v>
      </c>
    </row>
    <row r="1294" spans="7:7" x14ac:dyDescent="0.3">
      <c r="G1294" t="s">
        <v>473</v>
      </c>
    </row>
    <row r="1295" spans="7:7" x14ac:dyDescent="0.3">
      <c r="G1295" t="s">
        <v>474</v>
      </c>
    </row>
    <row r="1296" spans="7:7" x14ac:dyDescent="0.3">
      <c r="G1296" t="s">
        <v>508</v>
      </c>
    </row>
    <row r="1297" spans="7:7" x14ac:dyDescent="0.3">
      <c r="G1297" t="s">
        <v>930</v>
      </c>
    </row>
    <row r="1298" spans="7:7" x14ac:dyDescent="0.3">
      <c r="G1298" t="s">
        <v>473</v>
      </c>
    </row>
    <row r="1299" spans="7:7" x14ac:dyDescent="0.3">
      <c r="G1299" t="s">
        <v>474</v>
      </c>
    </row>
    <row r="1300" spans="7:7" x14ac:dyDescent="0.3">
      <c r="G1300" t="s">
        <v>471</v>
      </c>
    </row>
    <row r="1301" spans="7:7" x14ac:dyDescent="0.3">
      <c r="G1301" t="s">
        <v>931</v>
      </c>
    </row>
    <row r="1302" spans="7:7" x14ac:dyDescent="0.3">
      <c r="G1302" t="s">
        <v>473</v>
      </c>
    </row>
    <row r="1303" spans="7:7" x14ac:dyDescent="0.3">
      <c r="G1303" t="s">
        <v>474</v>
      </c>
    </row>
    <row r="1304" spans="7:7" x14ac:dyDescent="0.3">
      <c r="G1304" t="s">
        <v>504</v>
      </c>
    </row>
    <row r="1305" spans="7:7" x14ac:dyDescent="0.3">
      <c r="G1305" t="s">
        <v>932</v>
      </c>
    </row>
    <row r="1306" spans="7:7" x14ac:dyDescent="0.3">
      <c r="G1306" t="s">
        <v>473</v>
      </c>
    </row>
    <row r="1307" spans="7:7" x14ac:dyDescent="0.3">
      <c r="G1307" t="s">
        <v>474</v>
      </c>
    </row>
    <row r="1308" spans="7:7" x14ac:dyDescent="0.3">
      <c r="G1308" t="s">
        <v>479</v>
      </c>
    </row>
    <row r="1309" spans="7:7" x14ac:dyDescent="0.3">
      <c r="G1309" t="s">
        <v>933</v>
      </c>
    </row>
    <row r="1310" spans="7:7" x14ac:dyDescent="0.3">
      <c r="G1310" t="s">
        <v>473</v>
      </c>
    </row>
    <row r="1311" spans="7:7" x14ac:dyDescent="0.3">
      <c r="G1311" t="s">
        <v>448</v>
      </c>
    </row>
    <row r="1312" spans="7:7" x14ac:dyDescent="0.3">
      <c r="G1312" t="s">
        <v>409</v>
      </c>
    </row>
    <row r="1313" spans="7:7" x14ac:dyDescent="0.3">
      <c r="G1313" t="s">
        <v>177</v>
      </c>
    </row>
    <row r="1314" spans="7:7" x14ac:dyDescent="0.3">
      <c r="G1314" t="s">
        <v>436</v>
      </c>
    </row>
    <row r="1315" spans="7:7" x14ac:dyDescent="0.3">
      <c r="G1315" t="s">
        <v>437</v>
      </c>
    </row>
    <row r="1316" spans="7:7" x14ac:dyDescent="0.3">
      <c r="G1316" t="s">
        <v>438</v>
      </c>
    </row>
    <row r="1317" spans="7:7" x14ac:dyDescent="0.3">
      <c r="G1317" t="s">
        <v>439</v>
      </c>
    </row>
    <row r="1318" spans="7:7" x14ac:dyDescent="0.3">
      <c r="G1318" t="s">
        <v>934</v>
      </c>
    </row>
    <row r="1319" spans="7:7" x14ac:dyDescent="0.3">
      <c r="G1319" t="s">
        <v>441</v>
      </c>
    </row>
    <row r="1320" spans="7:7" x14ac:dyDescent="0.3">
      <c r="G1320" t="s">
        <v>443</v>
      </c>
    </row>
    <row r="1321" spans="7:7" x14ac:dyDescent="0.3">
      <c r="G1321" t="s">
        <v>483</v>
      </c>
    </row>
    <row r="1322" spans="7:7" x14ac:dyDescent="0.3">
      <c r="G1322" t="s">
        <v>486</v>
      </c>
    </row>
    <row r="1323" spans="7:7" x14ac:dyDescent="0.3">
      <c r="G1323" t="s">
        <v>935</v>
      </c>
    </row>
    <row r="1324" spans="7:7" x14ac:dyDescent="0.3">
      <c r="G1324" t="s">
        <v>936</v>
      </c>
    </row>
    <row r="1325" spans="7:7" x14ac:dyDescent="0.3">
      <c r="G1325" t="s">
        <v>937</v>
      </c>
    </row>
    <row r="1326" spans="7:7" x14ac:dyDescent="0.3">
      <c r="G1326" t="s">
        <v>448</v>
      </c>
    </row>
    <row r="1327" spans="7:7" x14ac:dyDescent="0.3">
      <c r="G1327" t="s">
        <v>393</v>
      </c>
    </row>
    <row r="1328" spans="7:7" x14ac:dyDescent="0.3">
      <c r="G1328" t="s">
        <v>449</v>
      </c>
    </row>
    <row r="1329" spans="7:7" x14ac:dyDescent="0.3">
      <c r="G1329" t="s">
        <v>488</v>
      </c>
    </row>
    <row r="1330" spans="7:7" x14ac:dyDescent="0.3">
      <c r="G1330" t="s">
        <v>451</v>
      </c>
    </row>
    <row r="1331" spans="7:7" x14ac:dyDescent="0.3">
      <c r="G1331" t="s">
        <v>452</v>
      </c>
    </row>
    <row r="1332" spans="7:7" x14ac:dyDescent="0.3">
      <c r="G1332" t="s">
        <v>938</v>
      </c>
    </row>
    <row r="1333" spans="7:7" x14ac:dyDescent="0.3">
      <c r="G1333" t="s">
        <v>939</v>
      </c>
    </row>
    <row r="1334" spans="7:7" x14ac:dyDescent="0.3">
      <c r="G1334" t="s">
        <v>940</v>
      </c>
    </row>
    <row r="1335" spans="7:7" x14ac:dyDescent="0.3">
      <c r="G1335" t="s">
        <v>941</v>
      </c>
    </row>
    <row r="1336" spans="7:7" x14ac:dyDescent="0.3">
      <c r="G1336" t="s">
        <v>942</v>
      </c>
    </row>
    <row r="1337" spans="7:7" x14ac:dyDescent="0.3">
      <c r="G1337" t="s">
        <v>943</v>
      </c>
    </row>
    <row r="1338" spans="7:7" x14ac:dyDescent="0.3">
      <c r="G1338" t="s">
        <v>944</v>
      </c>
    </row>
    <row r="1339" spans="7:7" x14ac:dyDescent="0.3">
      <c r="G1339" t="s">
        <v>945</v>
      </c>
    </row>
    <row r="1340" spans="7:7" x14ac:dyDescent="0.3">
      <c r="G1340" t="s">
        <v>946</v>
      </c>
    </row>
    <row r="1341" spans="7:7" x14ac:dyDescent="0.3">
      <c r="G1341" t="s">
        <v>947</v>
      </c>
    </row>
    <row r="1342" spans="7:7" x14ac:dyDescent="0.3">
      <c r="G1342" t="s">
        <v>448</v>
      </c>
    </row>
    <row r="1343" spans="7:7" x14ac:dyDescent="0.3">
      <c r="G1343" t="s">
        <v>393</v>
      </c>
    </row>
    <row r="1344" spans="7:7" x14ac:dyDescent="0.3">
      <c r="G1344" t="s">
        <v>463</v>
      </c>
    </row>
    <row r="1345" spans="7:7" x14ac:dyDescent="0.3">
      <c r="G1345" t="s">
        <v>464</v>
      </c>
    </row>
    <row r="1346" spans="7:7" x14ac:dyDescent="0.3">
      <c r="G1346" t="s">
        <v>948</v>
      </c>
    </row>
    <row r="1347" spans="7:7" x14ac:dyDescent="0.3">
      <c r="G1347" t="s">
        <v>949</v>
      </c>
    </row>
    <row r="1348" spans="7:7" x14ac:dyDescent="0.3">
      <c r="G1348" t="s">
        <v>950</v>
      </c>
    </row>
    <row r="1349" spans="7:7" x14ac:dyDescent="0.3">
      <c r="G1349" t="s">
        <v>951</v>
      </c>
    </row>
    <row r="1350" spans="7:7" x14ac:dyDescent="0.3">
      <c r="G1350" t="s">
        <v>952</v>
      </c>
    </row>
    <row r="1351" spans="7:7" x14ac:dyDescent="0.3">
      <c r="G1351" t="s">
        <v>448</v>
      </c>
    </row>
    <row r="1352" spans="7:7" x14ac:dyDescent="0.3">
      <c r="G1352" t="s">
        <v>393</v>
      </c>
    </row>
    <row r="1353" spans="7:7" x14ac:dyDescent="0.3">
      <c r="G1353" t="s">
        <v>470</v>
      </c>
    </row>
    <row r="1354" spans="7:7" x14ac:dyDescent="0.3">
      <c r="G1354" t="s">
        <v>508</v>
      </c>
    </row>
    <row r="1355" spans="7:7" x14ac:dyDescent="0.3">
      <c r="G1355" t="s">
        <v>953</v>
      </c>
    </row>
    <row r="1356" spans="7:7" x14ac:dyDescent="0.3">
      <c r="G1356" t="s">
        <v>473</v>
      </c>
    </row>
    <row r="1357" spans="7:7" x14ac:dyDescent="0.3">
      <c r="G1357" t="s">
        <v>474</v>
      </c>
    </row>
    <row r="1358" spans="7:7" x14ac:dyDescent="0.3">
      <c r="G1358" t="s">
        <v>721</v>
      </c>
    </row>
    <row r="1359" spans="7:7" x14ac:dyDescent="0.3">
      <c r="G1359" t="s">
        <v>954</v>
      </c>
    </row>
    <row r="1360" spans="7:7" x14ac:dyDescent="0.3">
      <c r="G1360" t="s">
        <v>601</v>
      </c>
    </row>
    <row r="1361" spans="7:7" x14ac:dyDescent="0.3">
      <c r="G1361" t="s">
        <v>474</v>
      </c>
    </row>
    <row r="1362" spans="7:7" x14ac:dyDescent="0.3">
      <c r="G1362" t="s">
        <v>504</v>
      </c>
    </row>
    <row r="1363" spans="7:7" x14ac:dyDescent="0.3">
      <c r="G1363" t="s">
        <v>955</v>
      </c>
    </row>
    <row r="1364" spans="7:7" x14ac:dyDescent="0.3">
      <c r="G1364" t="s">
        <v>473</v>
      </c>
    </row>
    <row r="1365" spans="7:7" x14ac:dyDescent="0.3">
      <c r="G1365" t="s">
        <v>474</v>
      </c>
    </row>
    <row r="1366" spans="7:7" x14ac:dyDescent="0.3">
      <c r="G1366" t="s">
        <v>479</v>
      </c>
    </row>
    <row r="1367" spans="7:7" x14ac:dyDescent="0.3">
      <c r="G1367" t="s">
        <v>956</v>
      </c>
    </row>
    <row r="1368" spans="7:7" x14ac:dyDescent="0.3">
      <c r="G1368" t="s">
        <v>473</v>
      </c>
    </row>
    <row r="1369" spans="7:7" x14ac:dyDescent="0.3">
      <c r="G1369" t="s">
        <v>474</v>
      </c>
    </row>
    <row r="1370" spans="7:7" x14ac:dyDescent="0.3">
      <c r="G1370" t="s">
        <v>481</v>
      </c>
    </row>
    <row r="1371" spans="7:7" x14ac:dyDescent="0.3">
      <c r="G1371" t="s">
        <v>957</v>
      </c>
    </row>
    <row r="1372" spans="7:7" x14ac:dyDescent="0.3">
      <c r="G1372" t="s">
        <v>473</v>
      </c>
    </row>
    <row r="1373" spans="7:7" x14ac:dyDescent="0.3">
      <c r="G1373" t="s">
        <v>448</v>
      </c>
    </row>
    <row r="1374" spans="7:7" x14ac:dyDescent="0.3">
      <c r="G1374" t="s">
        <v>409</v>
      </c>
    </row>
    <row r="1375" spans="7:7" x14ac:dyDescent="0.3">
      <c r="G1375" t="s">
        <v>177</v>
      </c>
    </row>
    <row r="1376" spans="7:7" x14ac:dyDescent="0.3">
      <c r="G1376" t="s">
        <v>436</v>
      </c>
    </row>
    <row r="1377" spans="7:7" x14ac:dyDescent="0.3">
      <c r="G1377" t="s">
        <v>437</v>
      </c>
    </row>
    <row r="1378" spans="7:7" x14ac:dyDescent="0.3">
      <c r="G1378" t="s">
        <v>438</v>
      </c>
    </row>
    <row r="1379" spans="7:7" x14ac:dyDescent="0.3">
      <c r="G1379" t="s">
        <v>439</v>
      </c>
    </row>
    <row r="1380" spans="7:7" x14ac:dyDescent="0.3">
      <c r="G1380" t="s">
        <v>440</v>
      </c>
    </row>
    <row r="1381" spans="7:7" x14ac:dyDescent="0.3">
      <c r="G1381" t="s">
        <v>441</v>
      </c>
    </row>
    <row r="1382" spans="7:7" x14ac:dyDescent="0.3">
      <c r="G1382" t="s">
        <v>443</v>
      </c>
    </row>
    <row r="1383" spans="7:7" x14ac:dyDescent="0.3">
      <c r="G1383" t="s">
        <v>483</v>
      </c>
    </row>
    <row r="1384" spans="7:7" x14ac:dyDescent="0.3">
      <c r="G1384" t="s">
        <v>958</v>
      </c>
    </row>
    <row r="1385" spans="7:7" x14ac:dyDescent="0.3">
      <c r="G1385" t="s">
        <v>486</v>
      </c>
    </row>
    <row r="1386" spans="7:7" x14ac:dyDescent="0.3">
      <c r="G1386" t="s">
        <v>959</v>
      </c>
    </row>
    <row r="1387" spans="7:7" x14ac:dyDescent="0.3">
      <c r="G1387" t="s">
        <v>960</v>
      </c>
    </row>
    <row r="1388" spans="7:7" x14ac:dyDescent="0.3">
      <c r="G1388" t="s">
        <v>448</v>
      </c>
    </row>
    <row r="1389" spans="7:7" x14ac:dyDescent="0.3">
      <c r="G1389" t="s">
        <v>393</v>
      </c>
    </row>
    <row r="1390" spans="7:7" x14ac:dyDescent="0.3">
      <c r="G1390" t="s">
        <v>449</v>
      </c>
    </row>
    <row r="1391" spans="7:7" x14ac:dyDescent="0.3">
      <c r="G1391" t="s">
        <v>450</v>
      </c>
    </row>
    <row r="1392" spans="7:7" x14ac:dyDescent="0.3">
      <c r="G1392" t="s">
        <v>451</v>
      </c>
    </row>
    <row r="1393" spans="7:7" x14ac:dyDescent="0.3">
      <c r="G1393" t="s">
        <v>452</v>
      </c>
    </row>
    <row r="1394" spans="7:7" x14ac:dyDescent="0.3">
      <c r="G1394" t="s">
        <v>961</v>
      </c>
    </row>
    <row r="1395" spans="7:7" x14ac:dyDescent="0.3">
      <c r="G1395" t="s">
        <v>962</v>
      </c>
    </row>
    <row r="1396" spans="7:7" x14ac:dyDescent="0.3">
      <c r="G1396" t="s">
        <v>963</v>
      </c>
    </row>
    <row r="1397" spans="7:7" x14ac:dyDescent="0.3">
      <c r="G1397" t="s">
        <v>964</v>
      </c>
    </row>
    <row r="1398" spans="7:7" x14ac:dyDescent="0.3">
      <c r="G1398" t="s">
        <v>965</v>
      </c>
    </row>
    <row r="1399" spans="7:7" x14ac:dyDescent="0.3">
      <c r="G1399" t="s">
        <v>966</v>
      </c>
    </row>
    <row r="1400" spans="7:7" x14ac:dyDescent="0.3">
      <c r="G1400" t="s">
        <v>967</v>
      </c>
    </row>
    <row r="1401" spans="7:7" x14ac:dyDescent="0.3">
      <c r="G1401" t="s">
        <v>968</v>
      </c>
    </row>
    <row r="1402" spans="7:7" x14ac:dyDescent="0.3">
      <c r="G1402" t="s">
        <v>969</v>
      </c>
    </row>
    <row r="1403" spans="7:7" x14ac:dyDescent="0.3">
      <c r="G1403" t="s">
        <v>970</v>
      </c>
    </row>
    <row r="1404" spans="7:7" x14ac:dyDescent="0.3">
      <c r="G1404" t="s">
        <v>448</v>
      </c>
    </row>
    <row r="1405" spans="7:7" x14ac:dyDescent="0.3">
      <c r="G1405" t="s">
        <v>393</v>
      </c>
    </row>
    <row r="1406" spans="7:7" x14ac:dyDescent="0.3">
      <c r="G1406" t="s">
        <v>463</v>
      </c>
    </row>
    <row r="1407" spans="7:7" x14ac:dyDescent="0.3">
      <c r="G1407" t="s">
        <v>464</v>
      </c>
    </row>
    <row r="1408" spans="7:7" x14ac:dyDescent="0.3">
      <c r="G1408" t="s">
        <v>971</v>
      </c>
    </row>
    <row r="1409" spans="7:7" x14ac:dyDescent="0.3">
      <c r="G1409" t="s">
        <v>972</v>
      </c>
    </row>
    <row r="1410" spans="7:7" x14ac:dyDescent="0.3">
      <c r="G1410" t="s">
        <v>973</v>
      </c>
    </row>
    <row r="1411" spans="7:7" x14ac:dyDescent="0.3">
      <c r="G1411" t="s">
        <v>974</v>
      </c>
    </row>
    <row r="1412" spans="7:7" x14ac:dyDescent="0.3">
      <c r="G1412" t="s">
        <v>975</v>
      </c>
    </row>
    <row r="1413" spans="7:7" x14ac:dyDescent="0.3">
      <c r="G1413" t="s">
        <v>448</v>
      </c>
    </row>
    <row r="1414" spans="7:7" x14ac:dyDescent="0.3">
      <c r="G1414" t="s">
        <v>393</v>
      </c>
    </row>
    <row r="1415" spans="7:7" x14ac:dyDescent="0.3">
      <c r="G1415" t="s">
        <v>470</v>
      </c>
    </row>
    <row r="1416" spans="7:7" x14ac:dyDescent="0.3">
      <c r="G1416" t="s">
        <v>481</v>
      </c>
    </row>
    <row r="1417" spans="7:7" x14ac:dyDescent="0.3">
      <c r="G1417" t="s">
        <v>976</v>
      </c>
    </row>
    <row r="1418" spans="7:7" x14ac:dyDescent="0.3">
      <c r="G1418" t="s">
        <v>473</v>
      </c>
    </row>
    <row r="1419" spans="7:7" x14ac:dyDescent="0.3">
      <c r="G1419" t="s">
        <v>474</v>
      </c>
    </row>
    <row r="1420" spans="7:7" x14ac:dyDescent="0.3">
      <c r="G1420" t="s">
        <v>504</v>
      </c>
    </row>
    <row r="1421" spans="7:7" x14ac:dyDescent="0.3">
      <c r="G1421" t="s">
        <v>977</v>
      </c>
    </row>
    <row r="1422" spans="7:7" x14ac:dyDescent="0.3">
      <c r="G1422" t="s">
        <v>601</v>
      </c>
    </row>
    <row r="1423" spans="7:7" x14ac:dyDescent="0.3">
      <c r="G1423" t="s">
        <v>474</v>
      </c>
    </row>
    <row r="1424" spans="7:7" x14ac:dyDescent="0.3">
      <c r="G1424" t="s">
        <v>471</v>
      </c>
    </row>
    <row r="1425" spans="7:7" x14ac:dyDescent="0.3">
      <c r="G1425" t="s">
        <v>978</v>
      </c>
    </row>
    <row r="1426" spans="7:7" x14ac:dyDescent="0.3">
      <c r="G1426" t="s">
        <v>473</v>
      </c>
    </row>
    <row r="1427" spans="7:7" x14ac:dyDescent="0.3">
      <c r="G1427" t="s">
        <v>474</v>
      </c>
    </row>
    <row r="1428" spans="7:7" x14ac:dyDescent="0.3">
      <c r="G1428" t="s">
        <v>508</v>
      </c>
    </row>
    <row r="1429" spans="7:7" x14ac:dyDescent="0.3">
      <c r="G1429" t="s">
        <v>979</v>
      </c>
    </row>
    <row r="1430" spans="7:7" x14ac:dyDescent="0.3">
      <c r="G1430" t="s">
        <v>473</v>
      </c>
    </row>
    <row r="1431" spans="7:7" x14ac:dyDescent="0.3">
      <c r="G1431" t="s">
        <v>474</v>
      </c>
    </row>
    <row r="1432" spans="7:7" x14ac:dyDescent="0.3">
      <c r="G1432" t="s">
        <v>479</v>
      </c>
    </row>
    <row r="1433" spans="7:7" x14ac:dyDescent="0.3">
      <c r="G1433" t="s">
        <v>980</v>
      </c>
    </row>
    <row r="1434" spans="7:7" x14ac:dyDescent="0.3">
      <c r="G1434" t="s">
        <v>473</v>
      </c>
    </row>
    <row r="1435" spans="7:7" x14ac:dyDescent="0.3">
      <c r="G1435" t="s">
        <v>448</v>
      </c>
    </row>
    <row r="1436" spans="7:7" x14ac:dyDescent="0.3">
      <c r="G1436" t="s">
        <v>409</v>
      </c>
    </row>
    <row r="1437" spans="7:7" x14ac:dyDescent="0.3">
      <c r="G1437" t="s">
        <v>177</v>
      </c>
    </row>
    <row r="1438" spans="7:7" x14ac:dyDescent="0.3">
      <c r="G1438" t="s">
        <v>436</v>
      </c>
    </row>
    <row r="1439" spans="7:7" x14ac:dyDescent="0.3">
      <c r="G1439" t="s">
        <v>437</v>
      </c>
    </row>
    <row r="1440" spans="7:7" x14ac:dyDescent="0.3">
      <c r="G1440" t="s">
        <v>438</v>
      </c>
    </row>
    <row r="1441" spans="7:7" x14ac:dyDescent="0.3">
      <c r="G1441" t="s">
        <v>439</v>
      </c>
    </row>
    <row r="1442" spans="7:7" x14ac:dyDescent="0.3">
      <c r="G1442" t="s">
        <v>440</v>
      </c>
    </row>
    <row r="1443" spans="7:7" x14ac:dyDescent="0.3">
      <c r="G1443" t="s">
        <v>441</v>
      </c>
    </row>
    <row r="1444" spans="7:7" x14ac:dyDescent="0.3">
      <c r="G1444" t="s">
        <v>981</v>
      </c>
    </row>
    <row r="1445" spans="7:7" x14ac:dyDescent="0.3">
      <c r="G1445" t="s">
        <v>443</v>
      </c>
    </row>
    <row r="1446" spans="7:7" x14ac:dyDescent="0.3">
      <c r="G1446" t="s">
        <v>483</v>
      </c>
    </row>
    <row r="1447" spans="7:7" x14ac:dyDescent="0.3">
      <c r="G1447" t="s">
        <v>982</v>
      </c>
    </row>
    <row r="1448" spans="7:7" x14ac:dyDescent="0.3">
      <c r="G1448" t="s">
        <v>445</v>
      </c>
    </row>
    <row r="1449" spans="7:7" x14ac:dyDescent="0.3">
      <c r="G1449" t="s">
        <v>983</v>
      </c>
    </row>
    <row r="1450" spans="7:7" x14ac:dyDescent="0.3">
      <c r="G1450" t="s">
        <v>448</v>
      </c>
    </row>
    <row r="1451" spans="7:7" x14ac:dyDescent="0.3">
      <c r="G1451" t="s">
        <v>393</v>
      </c>
    </row>
    <row r="1452" spans="7:7" x14ac:dyDescent="0.3">
      <c r="G1452" t="s">
        <v>449</v>
      </c>
    </row>
    <row r="1453" spans="7:7" x14ac:dyDescent="0.3">
      <c r="G1453" t="s">
        <v>488</v>
      </c>
    </row>
    <row r="1454" spans="7:7" x14ac:dyDescent="0.3">
      <c r="G1454" t="s">
        <v>451</v>
      </c>
    </row>
    <row r="1455" spans="7:7" x14ac:dyDescent="0.3">
      <c r="G1455" t="s">
        <v>452</v>
      </c>
    </row>
    <row r="1456" spans="7:7" x14ac:dyDescent="0.3">
      <c r="G1456" t="s">
        <v>984</v>
      </c>
    </row>
    <row r="1457" spans="7:7" x14ac:dyDescent="0.3">
      <c r="G1457" t="s">
        <v>985</v>
      </c>
    </row>
    <row r="1458" spans="7:7" x14ac:dyDescent="0.3">
      <c r="G1458" t="s">
        <v>986</v>
      </c>
    </row>
    <row r="1459" spans="7:7" x14ac:dyDescent="0.3">
      <c r="G1459" t="s">
        <v>987</v>
      </c>
    </row>
    <row r="1460" spans="7:7" x14ac:dyDescent="0.3">
      <c r="G1460" t="s">
        <v>988</v>
      </c>
    </row>
    <row r="1461" spans="7:7" x14ac:dyDescent="0.3">
      <c r="G1461" t="s">
        <v>989</v>
      </c>
    </row>
    <row r="1462" spans="7:7" x14ac:dyDescent="0.3">
      <c r="G1462" t="s">
        <v>990</v>
      </c>
    </row>
    <row r="1463" spans="7:7" x14ac:dyDescent="0.3">
      <c r="G1463" t="s">
        <v>991</v>
      </c>
    </row>
    <row r="1464" spans="7:7" x14ac:dyDescent="0.3">
      <c r="G1464" t="s">
        <v>992</v>
      </c>
    </row>
    <row r="1465" spans="7:7" x14ac:dyDescent="0.3">
      <c r="G1465" t="s">
        <v>993</v>
      </c>
    </row>
    <row r="1466" spans="7:7" x14ac:dyDescent="0.3">
      <c r="G1466" t="s">
        <v>448</v>
      </c>
    </row>
    <row r="1467" spans="7:7" x14ac:dyDescent="0.3">
      <c r="G1467" t="s">
        <v>393</v>
      </c>
    </row>
    <row r="1468" spans="7:7" x14ac:dyDescent="0.3">
      <c r="G1468" t="s">
        <v>463</v>
      </c>
    </row>
    <row r="1469" spans="7:7" x14ac:dyDescent="0.3">
      <c r="G1469" t="s">
        <v>464</v>
      </c>
    </row>
    <row r="1470" spans="7:7" x14ac:dyDescent="0.3">
      <c r="G1470" t="s">
        <v>994</v>
      </c>
    </row>
    <row r="1471" spans="7:7" x14ac:dyDescent="0.3">
      <c r="G1471" t="s">
        <v>995</v>
      </c>
    </row>
    <row r="1472" spans="7:7" x14ac:dyDescent="0.3">
      <c r="G1472" t="s">
        <v>996</v>
      </c>
    </row>
    <row r="1473" spans="7:7" x14ac:dyDescent="0.3">
      <c r="G1473" t="s">
        <v>997</v>
      </c>
    </row>
    <row r="1474" spans="7:7" x14ac:dyDescent="0.3">
      <c r="G1474" t="s">
        <v>998</v>
      </c>
    </row>
    <row r="1475" spans="7:7" x14ac:dyDescent="0.3">
      <c r="G1475" t="s">
        <v>448</v>
      </c>
    </row>
    <row r="1476" spans="7:7" x14ac:dyDescent="0.3">
      <c r="G1476" t="s">
        <v>393</v>
      </c>
    </row>
    <row r="1477" spans="7:7" x14ac:dyDescent="0.3">
      <c r="G1477" t="s">
        <v>470</v>
      </c>
    </row>
    <row r="1478" spans="7:7" x14ac:dyDescent="0.3">
      <c r="G1478" t="s">
        <v>471</v>
      </c>
    </row>
    <row r="1479" spans="7:7" x14ac:dyDescent="0.3">
      <c r="G1479" t="s">
        <v>999</v>
      </c>
    </row>
    <row r="1480" spans="7:7" x14ac:dyDescent="0.3">
      <c r="G1480" t="s">
        <v>473</v>
      </c>
    </row>
    <row r="1481" spans="7:7" x14ac:dyDescent="0.3">
      <c r="G1481" t="s">
        <v>474</v>
      </c>
    </row>
    <row r="1482" spans="7:7" x14ac:dyDescent="0.3">
      <c r="G1482" t="s">
        <v>475</v>
      </c>
    </row>
    <row r="1483" spans="7:7" x14ac:dyDescent="0.3">
      <c r="G1483" t="s">
        <v>1000</v>
      </c>
    </row>
    <row r="1484" spans="7:7" x14ac:dyDescent="0.3">
      <c r="G1484" t="s">
        <v>473</v>
      </c>
    </row>
    <row r="1485" spans="7:7" x14ac:dyDescent="0.3">
      <c r="G1485" t="s">
        <v>474</v>
      </c>
    </row>
    <row r="1486" spans="7:7" x14ac:dyDescent="0.3">
      <c r="G1486" t="s">
        <v>508</v>
      </c>
    </row>
    <row r="1487" spans="7:7" x14ac:dyDescent="0.3">
      <c r="G1487" t="s">
        <v>1001</v>
      </c>
    </row>
    <row r="1488" spans="7:7" x14ac:dyDescent="0.3">
      <c r="G1488" t="s">
        <v>473</v>
      </c>
    </row>
    <row r="1489" spans="7:7" x14ac:dyDescent="0.3">
      <c r="G1489" t="s">
        <v>474</v>
      </c>
    </row>
    <row r="1490" spans="7:7" x14ac:dyDescent="0.3">
      <c r="G1490" t="s">
        <v>481</v>
      </c>
    </row>
    <row r="1491" spans="7:7" x14ac:dyDescent="0.3">
      <c r="G1491" t="s">
        <v>1002</v>
      </c>
    </row>
    <row r="1492" spans="7:7" x14ac:dyDescent="0.3">
      <c r="G1492" t="s">
        <v>473</v>
      </c>
    </row>
    <row r="1493" spans="7:7" x14ac:dyDescent="0.3">
      <c r="G1493" t="s">
        <v>474</v>
      </c>
    </row>
    <row r="1494" spans="7:7" x14ac:dyDescent="0.3">
      <c r="G1494" t="s">
        <v>479</v>
      </c>
    </row>
    <row r="1495" spans="7:7" x14ac:dyDescent="0.3">
      <c r="G1495" t="s">
        <v>1003</v>
      </c>
    </row>
    <row r="1496" spans="7:7" x14ac:dyDescent="0.3">
      <c r="G1496" t="s">
        <v>473</v>
      </c>
    </row>
    <row r="1497" spans="7:7" x14ac:dyDescent="0.3">
      <c r="G1497" t="s">
        <v>448</v>
      </c>
    </row>
    <row r="1498" spans="7:7" x14ac:dyDescent="0.3">
      <c r="G1498" t="s">
        <v>409</v>
      </c>
    </row>
    <row r="1499" spans="7:7" x14ac:dyDescent="0.3">
      <c r="G1499" t="s">
        <v>177</v>
      </c>
    </row>
    <row r="1500" spans="7:7" x14ac:dyDescent="0.3">
      <c r="G1500" t="s">
        <v>436</v>
      </c>
    </row>
    <row r="1501" spans="7:7" x14ac:dyDescent="0.3">
      <c r="G1501" t="s">
        <v>437</v>
      </c>
    </row>
    <row r="1502" spans="7:7" x14ac:dyDescent="0.3">
      <c r="G1502" t="s">
        <v>438</v>
      </c>
    </row>
    <row r="1503" spans="7:7" x14ac:dyDescent="0.3">
      <c r="G1503" t="s">
        <v>439</v>
      </c>
    </row>
    <row r="1504" spans="7:7" x14ac:dyDescent="0.3">
      <c r="G1504" t="s">
        <v>440</v>
      </c>
    </row>
    <row r="1505" spans="7:7" x14ac:dyDescent="0.3">
      <c r="G1505" t="s">
        <v>441</v>
      </c>
    </row>
    <row r="1506" spans="7:7" x14ac:dyDescent="0.3">
      <c r="G1506" t="s">
        <v>443</v>
      </c>
    </row>
    <row r="1507" spans="7:7" x14ac:dyDescent="0.3">
      <c r="G1507" t="s">
        <v>483</v>
      </c>
    </row>
    <row r="1508" spans="7:7" x14ac:dyDescent="0.3">
      <c r="G1508" t="s">
        <v>1004</v>
      </c>
    </row>
    <row r="1509" spans="7:7" x14ac:dyDescent="0.3">
      <c r="G1509" t="s">
        <v>486</v>
      </c>
    </row>
    <row r="1510" spans="7:7" x14ac:dyDescent="0.3">
      <c r="G1510" t="s">
        <v>750</v>
      </c>
    </row>
    <row r="1511" spans="7:7" x14ac:dyDescent="0.3">
      <c r="G1511" t="s">
        <v>1005</v>
      </c>
    </row>
    <row r="1512" spans="7:7" x14ac:dyDescent="0.3">
      <c r="G1512" t="s">
        <v>448</v>
      </c>
    </row>
    <row r="1513" spans="7:7" x14ac:dyDescent="0.3">
      <c r="G1513" t="s">
        <v>393</v>
      </c>
    </row>
    <row r="1514" spans="7:7" x14ac:dyDescent="0.3">
      <c r="G1514" t="s">
        <v>449</v>
      </c>
    </row>
    <row r="1515" spans="7:7" x14ac:dyDescent="0.3">
      <c r="G1515" t="s">
        <v>450</v>
      </c>
    </row>
    <row r="1516" spans="7:7" x14ac:dyDescent="0.3">
      <c r="G1516" t="s">
        <v>451</v>
      </c>
    </row>
    <row r="1517" spans="7:7" x14ac:dyDescent="0.3">
      <c r="G1517" t="s">
        <v>452</v>
      </c>
    </row>
    <row r="1518" spans="7:7" x14ac:dyDescent="0.3">
      <c r="G1518" t="s">
        <v>1006</v>
      </c>
    </row>
    <row r="1519" spans="7:7" x14ac:dyDescent="0.3">
      <c r="G1519" t="s">
        <v>1007</v>
      </c>
    </row>
    <row r="1520" spans="7:7" x14ac:dyDescent="0.3">
      <c r="G1520" t="s">
        <v>1008</v>
      </c>
    </row>
    <row r="1521" spans="7:7" x14ac:dyDescent="0.3">
      <c r="G1521" t="s">
        <v>1009</v>
      </c>
    </row>
    <row r="1522" spans="7:7" x14ac:dyDescent="0.3">
      <c r="G1522" t="s">
        <v>1010</v>
      </c>
    </row>
    <row r="1523" spans="7:7" x14ac:dyDescent="0.3">
      <c r="G1523" t="s">
        <v>1011</v>
      </c>
    </row>
    <row r="1524" spans="7:7" x14ac:dyDescent="0.3">
      <c r="G1524" t="s">
        <v>1012</v>
      </c>
    </row>
    <row r="1525" spans="7:7" x14ac:dyDescent="0.3">
      <c r="G1525" t="s">
        <v>1013</v>
      </c>
    </row>
    <row r="1526" spans="7:7" x14ac:dyDescent="0.3">
      <c r="G1526" t="s">
        <v>1014</v>
      </c>
    </row>
    <row r="1527" spans="7:7" x14ac:dyDescent="0.3">
      <c r="G1527" t="s">
        <v>1015</v>
      </c>
    </row>
    <row r="1528" spans="7:7" x14ac:dyDescent="0.3">
      <c r="G1528" t="s">
        <v>448</v>
      </c>
    </row>
    <row r="1529" spans="7:7" x14ac:dyDescent="0.3">
      <c r="G1529" t="s">
        <v>393</v>
      </c>
    </row>
    <row r="1530" spans="7:7" x14ac:dyDescent="0.3">
      <c r="G1530" t="s">
        <v>463</v>
      </c>
    </row>
    <row r="1531" spans="7:7" x14ac:dyDescent="0.3">
      <c r="G1531" t="s">
        <v>464</v>
      </c>
    </row>
    <row r="1532" spans="7:7" x14ac:dyDescent="0.3">
      <c r="G1532" t="s">
        <v>1016</v>
      </c>
    </row>
    <row r="1533" spans="7:7" x14ac:dyDescent="0.3">
      <c r="G1533" t="s">
        <v>1017</v>
      </c>
    </row>
    <row r="1534" spans="7:7" x14ac:dyDescent="0.3">
      <c r="G1534" t="s">
        <v>1018</v>
      </c>
    </row>
    <row r="1535" spans="7:7" x14ac:dyDescent="0.3">
      <c r="G1535" t="s">
        <v>1019</v>
      </c>
    </row>
    <row r="1536" spans="7:7" x14ac:dyDescent="0.3">
      <c r="G1536" t="s">
        <v>1020</v>
      </c>
    </row>
    <row r="1537" spans="7:7" x14ac:dyDescent="0.3">
      <c r="G1537" t="s">
        <v>448</v>
      </c>
    </row>
    <row r="1538" spans="7:7" x14ac:dyDescent="0.3">
      <c r="G1538" t="s">
        <v>393</v>
      </c>
    </row>
    <row r="1539" spans="7:7" x14ac:dyDescent="0.3">
      <c r="G1539" t="s">
        <v>470</v>
      </c>
    </row>
    <row r="1540" spans="7:7" x14ac:dyDescent="0.3">
      <c r="G1540" t="s">
        <v>504</v>
      </c>
    </row>
    <row r="1541" spans="7:7" x14ac:dyDescent="0.3">
      <c r="G1541" t="s">
        <v>1021</v>
      </c>
    </row>
    <row r="1542" spans="7:7" x14ac:dyDescent="0.3">
      <c r="G1542" t="s">
        <v>473</v>
      </c>
    </row>
    <row r="1543" spans="7:7" x14ac:dyDescent="0.3">
      <c r="G1543" t="s">
        <v>474</v>
      </c>
    </row>
    <row r="1544" spans="7:7" x14ac:dyDescent="0.3">
      <c r="G1544" t="s">
        <v>471</v>
      </c>
    </row>
    <row r="1545" spans="7:7" x14ac:dyDescent="0.3">
      <c r="G1545" t="s">
        <v>1022</v>
      </c>
    </row>
    <row r="1546" spans="7:7" x14ac:dyDescent="0.3">
      <c r="G1546" t="s">
        <v>473</v>
      </c>
    </row>
    <row r="1547" spans="7:7" x14ac:dyDescent="0.3">
      <c r="G1547" t="s">
        <v>474</v>
      </c>
    </row>
    <row r="1548" spans="7:7" x14ac:dyDescent="0.3">
      <c r="G1548" t="s">
        <v>481</v>
      </c>
    </row>
    <row r="1549" spans="7:7" x14ac:dyDescent="0.3">
      <c r="G1549" t="s">
        <v>1023</v>
      </c>
    </row>
    <row r="1550" spans="7:7" x14ac:dyDescent="0.3">
      <c r="G1550" t="s">
        <v>473</v>
      </c>
    </row>
    <row r="1551" spans="7:7" x14ac:dyDescent="0.3">
      <c r="G1551" t="s">
        <v>474</v>
      </c>
    </row>
    <row r="1552" spans="7:7" x14ac:dyDescent="0.3">
      <c r="G1552" t="s">
        <v>508</v>
      </c>
    </row>
    <row r="1553" spans="7:7" x14ac:dyDescent="0.3">
      <c r="G1553" t="s">
        <v>1024</v>
      </c>
    </row>
    <row r="1554" spans="7:7" x14ac:dyDescent="0.3">
      <c r="G1554" t="s">
        <v>473</v>
      </c>
    </row>
    <row r="1555" spans="7:7" x14ac:dyDescent="0.3">
      <c r="G1555" t="s">
        <v>474</v>
      </c>
    </row>
    <row r="1556" spans="7:7" x14ac:dyDescent="0.3">
      <c r="G1556" t="s">
        <v>479</v>
      </c>
    </row>
    <row r="1557" spans="7:7" x14ac:dyDescent="0.3">
      <c r="G1557" t="s">
        <v>1025</v>
      </c>
    </row>
    <row r="1558" spans="7:7" x14ac:dyDescent="0.3">
      <c r="G1558" t="s">
        <v>473</v>
      </c>
    </row>
    <row r="1559" spans="7:7" x14ac:dyDescent="0.3">
      <c r="G1559" t="s">
        <v>448</v>
      </c>
    </row>
    <row r="1560" spans="7:7" x14ac:dyDescent="0.3">
      <c r="G1560" t="s">
        <v>409</v>
      </c>
    </row>
    <row r="1561" spans="7:7" x14ac:dyDescent="0.3">
      <c r="G1561" t="s">
        <v>177</v>
      </c>
    </row>
    <row r="1562" spans="7:7" x14ac:dyDescent="0.3">
      <c r="G1562" t="s">
        <v>436</v>
      </c>
    </row>
    <row r="1563" spans="7:7" x14ac:dyDescent="0.3">
      <c r="G1563" t="s">
        <v>437</v>
      </c>
    </row>
    <row r="1564" spans="7:7" x14ac:dyDescent="0.3">
      <c r="G1564" t="s">
        <v>438</v>
      </c>
    </row>
    <row r="1565" spans="7:7" x14ac:dyDescent="0.3">
      <c r="G1565" t="s">
        <v>439</v>
      </c>
    </row>
    <row r="1566" spans="7:7" x14ac:dyDescent="0.3">
      <c r="G1566" t="s">
        <v>441</v>
      </c>
    </row>
    <row r="1567" spans="7:7" x14ac:dyDescent="0.3">
      <c r="G1567" t="s">
        <v>981</v>
      </c>
    </row>
    <row r="1568" spans="7:7" x14ac:dyDescent="0.3">
      <c r="G1568" t="s">
        <v>443</v>
      </c>
    </row>
    <row r="1569" spans="7:7" x14ac:dyDescent="0.3">
      <c r="G1569" t="s">
        <v>483</v>
      </c>
    </row>
    <row r="1570" spans="7:7" x14ac:dyDescent="0.3">
      <c r="G1570" t="s">
        <v>1026</v>
      </c>
    </row>
    <row r="1571" spans="7:7" x14ac:dyDescent="0.3">
      <c r="G1571" t="s">
        <v>445</v>
      </c>
    </row>
    <row r="1572" spans="7:7" x14ac:dyDescent="0.3">
      <c r="G1572" t="s">
        <v>535</v>
      </c>
    </row>
    <row r="1573" spans="7:7" x14ac:dyDescent="0.3">
      <c r="G1573" t="s">
        <v>1027</v>
      </c>
    </row>
    <row r="1574" spans="7:7" x14ac:dyDescent="0.3">
      <c r="G1574" t="s">
        <v>448</v>
      </c>
    </row>
    <row r="1575" spans="7:7" x14ac:dyDescent="0.3">
      <c r="G1575" t="s">
        <v>393</v>
      </c>
    </row>
    <row r="1576" spans="7:7" x14ac:dyDescent="0.3">
      <c r="G1576" t="s">
        <v>449</v>
      </c>
    </row>
    <row r="1577" spans="7:7" x14ac:dyDescent="0.3">
      <c r="G1577" t="s">
        <v>450</v>
      </c>
    </row>
    <row r="1578" spans="7:7" x14ac:dyDescent="0.3">
      <c r="G1578" t="s">
        <v>451</v>
      </c>
    </row>
    <row r="1579" spans="7:7" x14ac:dyDescent="0.3">
      <c r="G1579" t="s">
        <v>452</v>
      </c>
    </row>
    <row r="1580" spans="7:7" x14ac:dyDescent="0.3">
      <c r="G1580" t="s">
        <v>1028</v>
      </c>
    </row>
    <row r="1581" spans="7:7" x14ac:dyDescent="0.3">
      <c r="G1581" t="s">
        <v>1029</v>
      </c>
    </row>
    <row r="1582" spans="7:7" x14ac:dyDescent="0.3">
      <c r="G1582" t="s">
        <v>1030</v>
      </c>
    </row>
    <row r="1583" spans="7:7" x14ac:dyDescent="0.3">
      <c r="G1583" t="s">
        <v>1031</v>
      </c>
    </row>
    <row r="1584" spans="7:7" x14ac:dyDescent="0.3">
      <c r="G1584" t="s">
        <v>1032</v>
      </c>
    </row>
    <row r="1585" spans="7:7" x14ac:dyDescent="0.3">
      <c r="G1585" t="s">
        <v>1033</v>
      </c>
    </row>
    <row r="1586" spans="7:7" x14ac:dyDescent="0.3">
      <c r="G1586" t="s">
        <v>1034</v>
      </c>
    </row>
    <row r="1587" spans="7:7" x14ac:dyDescent="0.3">
      <c r="G1587" t="s">
        <v>1035</v>
      </c>
    </row>
    <row r="1588" spans="7:7" x14ac:dyDescent="0.3">
      <c r="G1588" t="s">
        <v>1036</v>
      </c>
    </row>
    <row r="1589" spans="7:7" x14ac:dyDescent="0.3">
      <c r="G1589" t="s">
        <v>1037</v>
      </c>
    </row>
    <row r="1590" spans="7:7" x14ac:dyDescent="0.3">
      <c r="G1590" t="s">
        <v>448</v>
      </c>
    </row>
    <row r="1591" spans="7:7" x14ac:dyDescent="0.3">
      <c r="G1591" t="s">
        <v>393</v>
      </c>
    </row>
    <row r="1592" spans="7:7" x14ac:dyDescent="0.3">
      <c r="G1592" t="s">
        <v>463</v>
      </c>
    </row>
    <row r="1593" spans="7:7" x14ac:dyDescent="0.3">
      <c r="G1593" t="s">
        <v>464</v>
      </c>
    </row>
    <row r="1594" spans="7:7" x14ac:dyDescent="0.3">
      <c r="G1594" t="s">
        <v>1038</v>
      </c>
    </row>
    <row r="1595" spans="7:7" x14ac:dyDescent="0.3">
      <c r="G1595" t="s">
        <v>1039</v>
      </c>
    </row>
    <row r="1596" spans="7:7" x14ac:dyDescent="0.3">
      <c r="G1596" t="s">
        <v>1040</v>
      </c>
    </row>
    <row r="1597" spans="7:7" x14ac:dyDescent="0.3">
      <c r="G1597" t="s">
        <v>1041</v>
      </c>
    </row>
    <row r="1598" spans="7:7" x14ac:dyDescent="0.3">
      <c r="G1598" t="s">
        <v>1042</v>
      </c>
    </row>
    <row r="1599" spans="7:7" x14ac:dyDescent="0.3">
      <c r="G1599" t="s">
        <v>448</v>
      </c>
    </row>
    <row r="1600" spans="7:7" x14ac:dyDescent="0.3">
      <c r="G1600" t="s">
        <v>393</v>
      </c>
    </row>
    <row r="1601" spans="7:7" x14ac:dyDescent="0.3">
      <c r="G1601" t="s">
        <v>470</v>
      </c>
    </row>
    <row r="1602" spans="7:7" x14ac:dyDescent="0.3">
      <c r="G1602" t="s">
        <v>553</v>
      </c>
    </row>
    <row r="1603" spans="7:7" x14ac:dyDescent="0.3">
      <c r="G1603" t="s">
        <v>1043</v>
      </c>
    </row>
    <row r="1604" spans="7:7" x14ac:dyDescent="0.3">
      <c r="G1604" t="s">
        <v>473</v>
      </c>
    </row>
    <row r="1605" spans="7:7" x14ac:dyDescent="0.3">
      <c r="G1605" t="s">
        <v>474</v>
      </c>
    </row>
    <row r="1606" spans="7:7" x14ac:dyDescent="0.3">
      <c r="G1606" t="s">
        <v>475</v>
      </c>
    </row>
    <row r="1607" spans="7:7" x14ac:dyDescent="0.3">
      <c r="G1607" t="s">
        <v>1044</v>
      </c>
    </row>
    <row r="1608" spans="7:7" x14ac:dyDescent="0.3">
      <c r="G1608" t="s">
        <v>473</v>
      </c>
    </row>
    <row r="1609" spans="7:7" x14ac:dyDescent="0.3">
      <c r="G1609" t="s">
        <v>474</v>
      </c>
    </row>
    <row r="1610" spans="7:7" x14ac:dyDescent="0.3">
      <c r="G1610" t="s">
        <v>508</v>
      </c>
    </row>
    <row r="1611" spans="7:7" x14ac:dyDescent="0.3">
      <c r="G1611" t="s">
        <v>1045</v>
      </c>
    </row>
    <row r="1612" spans="7:7" x14ac:dyDescent="0.3">
      <c r="G1612" t="s">
        <v>473</v>
      </c>
    </row>
    <row r="1613" spans="7:7" x14ac:dyDescent="0.3">
      <c r="G1613" t="s">
        <v>474</v>
      </c>
    </row>
    <row r="1614" spans="7:7" x14ac:dyDescent="0.3">
      <c r="G1614" t="s">
        <v>481</v>
      </c>
    </row>
    <row r="1615" spans="7:7" x14ac:dyDescent="0.3">
      <c r="G1615" t="s">
        <v>1046</v>
      </c>
    </row>
    <row r="1616" spans="7:7" x14ac:dyDescent="0.3">
      <c r="G1616" t="s">
        <v>473</v>
      </c>
    </row>
    <row r="1617" spans="7:7" x14ac:dyDescent="0.3">
      <c r="G1617" t="s">
        <v>474</v>
      </c>
    </row>
    <row r="1618" spans="7:7" x14ac:dyDescent="0.3">
      <c r="G1618" t="s">
        <v>479</v>
      </c>
    </row>
    <row r="1619" spans="7:7" x14ac:dyDescent="0.3">
      <c r="G1619" t="s">
        <v>1047</v>
      </c>
    </row>
    <row r="1620" spans="7:7" x14ac:dyDescent="0.3">
      <c r="G1620" t="s">
        <v>473</v>
      </c>
    </row>
    <row r="1621" spans="7:7" x14ac:dyDescent="0.3">
      <c r="G1621" t="s">
        <v>448</v>
      </c>
    </row>
    <row r="1622" spans="7:7" x14ac:dyDescent="0.3">
      <c r="G1622" t="s">
        <v>409</v>
      </c>
    </row>
    <row r="1623" spans="7:7" x14ac:dyDescent="0.3">
      <c r="G1623" t="s">
        <v>177</v>
      </c>
    </row>
    <row r="1624" spans="7:7" x14ac:dyDescent="0.3">
      <c r="G1624" t="s">
        <v>436</v>
      </c>
    </row>
    <row r="1625" spans="7:7" x14ac:dyDescent="0.3">
      <c r="G1625" t="s">
        <v>437</v>
      </c>
    </row>
    <row r="1626" spans="7:7" x14ac:dyDescent="0.3">
      <c r="G1626" t="s">
        <v>438</v>
      </c>
    </row>
    <row r="1627" spans="7:7" x14ac:dyDescent="0.3">
      <c r="G1627" t="s">
        <v>439</v>
      </c>
    </row>
    <row r="1628" spans="7:7" x14ac:dyDescent="0.3">
      <c r="G1628" t="s">
        <v>440</v>
      </c>
    </row>
    <row r="1629" spans="7:7" x14ac:dyDescent="0.3">
      <c r="G1629" t="s">
        <v>1048</v>
      </c>
    </row>
    <row r="1630" spans="7:7" x14ac:dyDescent="0.3">
      <c r="G1630" t="s">
        <v>441</v>
      </c>
    </row>
    <row r="1631" spans="7:7" x14ac:dyDescent="0.3">
      <c r="G1631" t="s">
        <v>443</v>
      </c>
    </row>
    <row r="1632" spans="7:7" x14ac:dyDescent="0.3">
      <c r="G1632" t="s">
        <v>483</v>
      </c>
    </row>
    <row r="1633" spans="7:7" x14ac:dyDescent="0.3">
      <c r="G1633" t="s">
        <v>1049</v>
      </c>
    </row>
    <row r="1634" spans="7:7" x14ac:dyDescent="0.3">
      <c r="G1634" t="s">
        <v>486</v>
      </c>
    </row>
    <row r="1635" spans="7:7" x14ac:dyDescent="0.3">
      <c r="G1635" t="s">
        <v>1050</v>
      </c>
    </row>
    <row r="1636" spans="7:7" x14ac:dyDescent="0.3">
      <c r="G1636" t="s">
        <v>448</v>
      </c>
    </row>
    <row r="1637" spans="7:7" x14ac:dyDescent="0.3">
      <c r="G1637" t="s">
        <v>393</v>
      </c>
    </row>
    <row r="1638" spans="7:7" x14ac:dyDescent="0.3">
      <c r="G1638" t="s">
        <v>449</v>
      </c>
    </row>
    <row r="1639" spans="7:7" x14ac:dyDescent="0.3">
      <c r="G1639" t="s">
        <v>488</v>
      </c>
    </row>
    <row r="1640" spans="7:7" x14ac:dyDescent="0.3">
      <c r="G1640" t="s">
        <v>451</v>
      </c>
    </row>
    <row r="1641" spans="7:7" x14ac:dyDescent="0.3">
      <c r="G1641" t="s">
        <v>452</v>
      </c>
    </row>
    <row r="1642" spans="7:7" x14ac:dyDescent="0.3">
      <c r="G1642" t="s">
        <v>1051</v>
      </c>
    </row>
    <row r="1643" spans="7:7" x14ac:dyDescent="0.3">
      <c r="G1643" t="s">
        <v>1052</v>
      </c>
    </row>
    <row r="1644" spans="7:7" x14ac:dyDescent="0.3">
      <c r="G1644" t="s">
        <v>1053</v>
      </c>
    </row>
    <row r="1645" spans="7:7" x14ac:dyDescent="0.3">
      <c r="G1645" t="s">
        <v>1054</v>
      </c>
    </row>
    <row r="1646" spans="7:7" x14ac:dyDescent="0.3">
      <c r="G1646" t="s">
        <v>1055</v>
      </c>
    </row>
    <row r="1647" spans="7:7" x14ac:dyDescent="0.3">
      <c r="G1647" t="s">
        <v>1056</v>
      </c>
    </row>
    <row r="1648" spans="7:7" x14ac:dyDescent="0.3">
      <c r="G1648" t="s">
        <v>1057</v>
      </c>
    </row>
    <row r="1649" spans="7:7" x14ac:dyDescent="0.3">
      <c r="G1649" t="s">
        <v>1058</v>
      </c>
    </row>
    <row r="1650" spans="7:7" x14ac:dyDescent="0.3">
      <c r="G1650" t="s">
        <v>1059</v>
      </c>
    </row>
    <row r="1651" spans="7:7" x14ac:dyDescent="0.3">
      <c r="G1651" t="s">
        <v>1060</v>
      </c>
    </row>
    <row r="1652" spans="7:7" x14ac:dyDescent="0.3">
      <c r="G1652" t="s">
        <v>448</v>
      </c>
    </row>
    <row r="1653" spans="7:7" x14ac:dyDescent="0.3">
      <c r="G1653" t="s">
        <v>393</v>
      </c>
    </row>
    <row r="1654" spans="7:7" x14ac:dyDescent="0.3">
      <c r="G1654" t="s">
        <v>463</v>
      </c>
    </row>
    <row r="1655" spans="7:7" x14ac:dyDescent="0.3">
      <c r="G1655" t="s">
        <v>464</v>
      </c>
    </row>
    <row r="1656" spans="7:7" x14ac:dyDescent="0.3">
      <c r="G1656" t="s">
        <v>1061</v>
      </c>
    </row>
    <row r="1657" spans="7:7" x14ac:dyDescent="0.3">
      <c r="G1657" t="s">
        <v>1062</v>
      </c>
    </row>
    <row r="1658" spans="7:7" x14ac:dyDescent="0.3">
      <c r="G1658" t="s">
        <v>1063</v>
      </c>
    </row>
    <row r="1659" spans="7:7" x14ac:dyDescent="0.3">
      <c r="G1659" t="s">
        <v>1064</v>
      </c>
    </row>
    <row r="1660" spans="7:7" x14ac:dyDescent="0.3">
      <c r="G1660" t="s">
        <v>1065</v>
      </c>
    </row>
    <row r="1661" spans="7:7" x14ac:dyDescent="0.3">
      <c r="G1661" t="s">
        <v>448</v>
      </c>
    </row>
    <row r="1662" spans="7:7" x14ac:dyDescent="0.3">
      <c r="G1662" t="s">
        <v>393</v>
      </c>
    </row>
    <row r="1663" spans="7:7" x14ac:dyDescent="0.3">
      <c r="G1663" t="s">
        <v>470</v>
      </c>
    </row>
    <row r="1664" spans="7:7" x14ac:dyDescent="0.3">
      <c r="G1664" t="s">
        <v>481</v>
      </c>
    </row>
    <row r="1665" spans="7:7" x14ac:dyDescent="0.3">
      <c r="G1665" t="s">
        <v>1066</v>
      </c>
    </row>
    <row r="1666" spans="7:7" x14ac:dyDescent="0.3">
      <c r="G1666" t="s">
        <v>473</v>
      </c>
    </row>
    <row r="1667" spans="7:7" x14ac:dyDescent="0.3">
      <c r="G1667" t="s">
        <v>474</v>
      </c>
    </row>
    <row r="1668" spans="7:7" x14ac:dyDescent="0.3">
      <c r="G1668" t="s">
        <v>508</v>
      </c>
    </row>
    <row r="1669" spans="7:7" x14ac:dyDescent="0.3">
      <c r="G1669" t="s">
        <v>1067</v>
      </c>
    </row>
    <row r="1670" spans="7:7" x14ac:dyDescent="0.3">
      <c r="G1670" t="s">
        <v>473</v>
      </c>
    </row>
    <row r="1671" spans="7:7" x14ac:dyDescent="0.3">
      <c r="G1671" t="s">
        <v>474</v>
      </c>
    </row>
    <row r="1672" spans="7:7" x14ac:dyDescent="0.3">
      <c r="G1672" t="s">
        <v>504</v>
      </c>
    </row>
    <row r="1673" spans="7:7" x14ac:dyDescent="0.3">
      <c r="G1673" t="s">
        <v>1068</v>
      </c>
    </row>
    <row r="1674" spans="7:7" x14ac:dyDescent="0.3">
      <c r="G1674" t="s">
        <v>473</v>
      </c>
    </row>
    <row r="1675" spans="7:7" x14ac:dyDescent="0.3">
      <c r="G1675" t="s">
        <v>474</v>
      </c>
    </row>
    <row r="1676" spans="7:7" x14ac:dyDescent="0.3">
      <c r="G1676" t="s">
        <v>471</v>
      </c>
    </row>
    <row r="1677" spans="7:7" x14ac:dyDescent="0.3">
      <c r="G1677" t="s">
        <v>1069</v>
      </c>
    </row>
    <row r="1678" spans="7:7" x14ac:dyDescent="0.3">
      <c r="G1678" t="s">
        <v>473</v>
      </c>
    </row>
    <row r="1679" spans="7:7" x14ac:dyDescent="0.3">
      <c r="G1679" t="s">
        <v>474</v>
      </c>
    </row>
    <row r="1680" spans="7:7" x14ac:dyDescent="0.3">
      <c r="G1680" t="s">
        <v>479</v>
      </c>
    </row>
    <row r="1681" spans="7:7" x14ac:dyDescent="0.3">
      <c r="G1681" t="s">
        <v>1070</v>
      </c>
    </row>
    <row r="1682" spans="7:7" x14ac:dyDescent="0.3">
      <c r="G1682" t="s">
        <v>473</v>
      </c>
    </row>
    <row r="1683" spans="7:7" x14ac:dyDescent="0.3">
      <c r="G1683" t="s">
        <v>448</v>
      </c>
    </row>
    <row r="1684" spans="7:7" x14ac:dyDescent="0.3">
      <c r="G1684" t="s">
        <v>409</v>
      </c>
    </row>
    <row r="1685" spans="7:7" x14ac:dyDescent="0.3">
      <c r="G1685" t="s">
        <v>177</v>
      </c>
    </row>
    <row r="1686" spans="7:7" x14ac:dyDescent="0.3">
      <c r="G1686" t="s">
        <v>436</v>
      </c>
    </row>
    <row r="1687" spans="7:7" x14ac:dyDescent="0.3">
      <c r="G1687" t="s">
        <v>437</v>
      </c>
    </row>
    <row r="1688" spans="7:7" x14ac:dyDescent="0.3">
      <c r="G1688" t="s">
        <v>438</v>
      </c>
    </row>
    <row r="1689" spans="7:7" x14ac:dyDescent="0.3">
      <c r="G1689" t="s">
        <v>439</v>
      </c>
    </row>
    <row r="1690" spans="7:7" x14ac:dyDescent="0.3">
      <c r="G1690" t="s">
        <v>440</v>
      </c>
    </row>
    <row r="1691" spans="7:7" x14ac:dyDescent="0.3">
      <c r="G1691" t="s">
        <v>1071</v>
      </c>
    </row>
    <row r="1692" spans="7:7" x14ac:dyDescent="0.3">
      <c r="G1692" t="s">
        <v>441</v>
      </c>
    </row>
    <row r="1693" spans="7:7" x14ac:dyDescent="0.3">
      <c r="G1693" t="s">
        <v>443</v>
      </c>
    </row>
    <row r="1694" spans="7:7" x14ac:dyDescent="0.3">
      <c r="G1694" t="s">
        <v>483</v>
      </c>
    </row>
    <row r="1695" spans="7:7" x14ac:dyDescent="0.3">
      <c r="G1695" t="s">
        <v>486</v>
      </c>
    </row>
    <row r="1696" spans="7:7" x14ac:dyDescent="0.3">
      <c r="G1696" t="s">
        <v>1072</v>
      </c>
    </row>
    <row r="1697" spans="7:7" x14ac:dyDescent="0.3">
      <c r="G1697" t="s">
        <v>1073</v>
      </c>
    </row>
    <row r="1698" spans="7:7" x14ac:dyDescent="0.3">
      <c r="G1698" t="s">
        <v>448</v>
      </c>
    </row>
    <row r="1699" spans="7:7" x14ac:dyDescent="0.3">
      <c r="G1699" t="s">
        <v>393</v>
      </c>
    </row>
    <row r="1700" spans="7:7" x14ac:dyDescent="0.3">
      <c r="G1700" t="s">
        <v>449</v>
      </c>
    </row>
    <row r="1701" spans="7:7" x14ac:dyDescent="0.3">
      <c r="G1701" t="s">
        <v>488</v>
      </c>
    </row>
    <row r="1702" spans="7:7" x14ac:dyDescent="0.3">
      <c r="G1702" t="s">
        <v>451</v>
      </c>
    </row>
    <row r="1703" spans="7:7" x14ac:dyDescent="0.3">
      <c r="G1703" t="s">
        <v>452</v>
      </c>
    </row>
    <row r="1704" spans="7:7" x14ac:dyDescent="0.3">
      <c r="G1704" t="s">
        <v>1074</v>
      </c>
    </row>
    <row r="1705" spans="7:7" x14ac:dyDescent="0.3">
      <c r="G1705" t="s">
        <v>1075</v>
      </c>
    </row>
    <row r="1706" spans="7:7" x14ac:dyDescent="0.3">
      <c r="G1706" t="s">
        <v>1076</v>
      </c>
    </row>
    <row r="1707" spans="7:7" x14ac:dyDescent="0.3">
      <c r="G1707" t="s">
        <v>1077</v>
      </c>
    </row>
    <row r="1708" spans="7:7" x14ac:dyDescent="0.3">
      <c r="G1708" t="s">
        <v>1078</v>
      </c>
    </row>
    <row r="1709" spans="7:7" x14ac:dyDescent="0.3">
      <c r="G1709" t="s">
        <v>1079</v>
      </c>
    </row>
    <row r="1710" spans="7:7" x14ac:dyDescent="0.3">
      <c r="G1710" t="s">
        <v>1080</v>
      </c>
    </row>
    <row r="1711" spans="7:7" x14ac:dyDescent="0.3">
      <c r="G1711" t="s">
        <v>1081</v>
      </c>
    </row>
    <row r="1712" spans="7:7" x14ac:dyDescent="0.3">
      <c r="G1712" t="s">
        <v>1082</v>
      </c>
    </row>
    <row r="1713" spans="7:7" x14ac:dyDescent="0.3">
      <c r="G1713" t="s">
        <v>1083</v>
      </c>
    </row>
    <row r="1714" spans="7:7" x14ac:dyDescent="0.3">
      <c r="G1714" t="s">
        <v>448</v>
      </c>
    </row>
    <row r="1715" spans="7:7" x14ac:dyDescent="0.3">
      <c r="G1715" t="s">
        <v>393</v>
      </c>
    </row>
    <row r="1716" spans="7:7" x14ac:dyDescent="0.3">
      <c r="G1716" t="s">
        <v>463</v>
      </c>
    </row>
    <row r="1717" spans="7:7" x14ac:dyDescent="0.3">
      <c r="G1717" t="s">
        <v>464</v>
      </c>
    </row>
    <row r="1718" spans="7:7" x14ac:dyDescent="0.3">
      <c r="G1718" t="s">
        <v>1084</v>
      </c>
    </row>
    <row r="1719" spans="7:7" x14ac:dyDescent="0.3">
      <c r="G1719" t="s">
        <v>1085</v>
      </c>
    </row>
    <row r="1720" spans="7:7" x14ac:dyDescent="0.3">
      <c r="G1720" t="s">
        <v>1086</v>
      </c>
    </row>
    <row r="1721" spans="7:7" x14ac:dyDescent="0.3">
      <c r="G1721" t="s">
        <v>1087</v>
      </c>
    </row>
    <row r="1722" spans="7:7" x14ac:dyDescent="0.3">
      <c r="G1722" t="s">
        <v>1088</v>
      </c>
    </row>
    <row r="1723" spans="7:7" x14ac:dyDescent="0.3">
      <c r="G1723" t="s">
        <v>448</v>
      </c>
    </row>
    <row r="1724" spans="7:7" x14ac:dyDescent="0.3">
      <c r="G1724" t="s">
        <v>393</v>
      </c>
    </row>
    <row r="1725" spans="7:7" x14ac:dyDescent="0.3">
      <c r="G1725" t="s">
        <v>470</v>
      </c>
    </row>
    <row r="1726" spans="7:7" x14ac:dyDescent="0.3">
      <c r="G1726" t="s">
        <v>481</v>
      </c>
    </row>
    <row r="1727" spans="7:7" x14ac:dyDescent="0.3">
      <c r="G1727" t="s">
        <v>1089</v>
      </c>
    </row>
    <row r="1728" spans="7:7" x14ac:dyDescent="0.3">
      <c r="G1728" t="s">
        <v>473</v>
      </c>
    </row>
    <row r="1729" spans="7:7" x14ac:dyDescent="0.3">
      <c r="G1729" t="s">
        <v>474</v>
      </c>
    </row>
    <row r="1730" spans="7:7" x14ac:dyDescent="0.3">
      <c r="G1730" t="s">
        <v>504</v>
      </c>
    </row>
    <row r="1731" spans="7:7" x14ac:dyDescent="0.3">
      <c r="G1731" t="s">
        <v>1090</v>
      </c>
    </row>
    <row r="1732" spans="7:7" x14ac:dyDescent="0.3">
      <c r="G1732" t="s">
        <v>473</v>
      </c>
    </row>
    <row r="1733" spans="7:7" x14ac:dyDescent="0.3">
      <c r="G1733" t="s">
        <v>474</v>
      </c>
    </row>
    <row r="1734" spans="7:7" x14ac:dyDescent="0.3">
      <c r="G1734" t="s">
        <v>471</v>
      </c>
    </row>
    <row r="1735" spans="7:7" x14ac:dyDescent="0.3">
      <c r="G1735" t="s">
        <v>1091</v>
      </c>
    </row>
    <row r="1736" spans="7:7" x14ac:dyDescent="0.3">
      <c r="G1736" t="s">
        <v>473</v>
      </c>
    </row>
    <row r="1737" spans="7:7" x14ac:dyDescent="0.3">
      <c r="G1737" t="s">
        <v>474</v>
      </c>
    </row>
    <row r="1738" spans="7:7" x14ac:dyDescent="0.3">
      <c r="G1738" t="s">
        <v>508</v>
      </c>
    </row>
    <row r="1739" spans="7:7" x14ac:dyDescent="0.3">
      <c r="G1739" t="s">
        <v>1092</v>
      </c>
    </row>
    <row r="1740" spans="7:7" x14ac:dyDescent="0.3">
      <c r="G1740" t="s">
        <v>473</v>
      </c>
    </row>
    <row r="1741" spans="7:7" x14ac:dyDescent="0.3">
      <c r="G1741" t="s">
        <v>474</v>
      </c>
    </row>
    <row r="1742" spans="7:7" x14ac:dyDescent="0.3">
      <c r="G1742" t="s">
        <v>479</v>
      </c>
    </row>
    <row r="1743" spans="7:7" x14ac:dyDescent="0.3">
      <c r="G1743" t="s">
        <v>1093</v>
      </c>
    </row>
    <row r="1744" spans="7:7" x14ac:dyDescent="0.3">
      <c r="G1744" t="s">
        <v>473</v>
      </c>
    </row>
    <row r="1745" spans="7:7" x14ac:dyDescent="0.3">
      <c r="G1745" t="s">
        <v>448</v>
      </c>
    </row>
    <row r="1746" spans="7:7" x14ac:dyDescent="0.3">
      <c r="G1746" t="s">
        <v>409</v>
      </c>
    </row>
    <row r="1747" spans="7:7" x14ac:dyDescent="0.3">
      <c r="G1747" t="s">
        <v>177</v>
      </c>
    </row>
    <row r="1748" spans="7:7" x14ac:dyDescent="0.3">
      <c r="G1748" t="s">
        <v>436</v>
      </c>
    </row>
    <row r="1749" spans="7:7" x14ac:dyDescent="0.3">
      <c r="G1749" t="s">
        <v>437</v>
      </c>
    </row>
    <row r="1750" spans="7:7" x14ac:dyDescent="0.3">
      <c r="G1750" t="s">
        <v>438</v>
      </c>
    </row>
    <row r="1751" spans="7:7" x14ac:dyDescent="0.3">
      <c r="G1751" t="s">
        <v>439</v>
      </c>
    </row>
    <row r="1752" spans="7:7" x14ac:dyDescent="0.3">
      <c r="G1752" t="s">
        <v>1094</v>
      </c>
    </row>
    <row r="1753" spans="7:7" x14ac:dyDescent="0.3">
      <c r="G1753" t="s">
        <v>440</v>
      </c>
    </row>
    <row r="1754" spans="7:7" x14ac:dyDescent="0.3">
      <c r="G1754" t="s">
        <v>441</v>
      </c>
    </row>
    <row r="1755" spans="7:7" x14ac:dyDescent="0.3">
      <c r="G1755" t="s">
        <v>443</v>
      </c>
    </row>
    <row r="1756" spans="7:7" x14ac:dyDescent="0.3">
      <c r="G1756" t="s">
        <v>1095</v>
      </c>
    </row>
    <row r="1757" spans="7:7" x14ac:dyDescent="0.3">
      <c r="G1757" t="s">
        <v>483</v>
      </c>
    </row>
    <row r="1758" spans="7:7" x14ac:dyDescent="0.3">
      <c r="G1758" t="s">
        <v>445</v>
      </c>
    </row>
    <row r="1759" spans="7:7" x14ac:dyDescent="0.3">
      <c r="G1759" t="s">
        <v>1096</v>
      </c>
    </row>
    <row r="1760" spans="7:7" x14ac:dyDescent="0.3">
      <c r="G1760" t="s">
        <v>448</v>
      </c>
    </row>
    <row r="1761" spans="7:7" x14ac:dyDescent="0.3">
      <c r="G1761" t="s">
        <v>393</v>
      </c>
    </row>
    <row r="1762" spans="7:7" x14ac:dyDescent="0.3">
      <c r="G1762" t="s">
        <v>449</v>
      </c>
    </row>
    <row r="1763" spans="7:7" x14ac:dyDescent="0.3">
      <c r="G1763" t="s">
        <v>450</v>
      </c>
    </row>
    <row r="1764" spans="7:7" x14ac:dyDescent="0.3">
      <c r="G1764" t="s">
        <v>451</v>
      </c>
    </row>
    <row r="1765" spans="7:7" x14ac:dyDescent="0.3">
      <c r="G1765" t="s">
        <v>452</v>
      </c>
    </row>
    <row r="1766" spans="7:7" x14ac:dyDescent="0.3">
      <c r="G1766" t="s">
        <v>1097</v>
      </c>
    </row>
    <row r="1767" spans="7:7" x14ac:dyDescent="0.3">
      <c r="G1767" t="s">
        <v>1098</v>
      </c>
    </row>
    <row r="1768" spans="7:7" x14ac:dyDescent="0.3">
      <c r="G1768" t="s">
        <v>1099</v>
      </c>
    </row>
    <row r="1769" spans="7:7" x14ac:dyDescent="0.3">
      <c r="G1769" t="s">
        <v>1100</v>
      </c>
    </row>
    <row r="1770" spans="7:7" x14ac:dyDescent="0.3">
      <c r="G1770" t="s">
        <v>1101</v>
      </c>
    </row>
    <row r="1771" spans="7:7" x14ac:dyDescent="0.3">
      <c r="G1771" t="s">
        <v>1102</v>
      </c>
    </row>
    <row r="1772" spans="7:7" x14ac:dyDescent="0.3">
      <c r="G1772" t="s">
        <v>1103</v>
      </c>
    </row>
    <row r="1773" spans="7:7" x14ac:dyDescent="0.3">
      <c r="G1773" t="s">
        <v>1104</v>
      </c>
    </row>
    <row r="1774" spans="7:7" x14ac:dyDescent="0.3">
      <c r="G1774" t="s">
        <v>1105</v>
      </c>
    </row>
    <row r="1775" spans="7:7" x14ac:dyDescent="0.3">
      <c r="G1775" t="s">
        <v>1106</v>
      </c>
    </row>
    <row r="1776" spans="7:7" x14ac:dyDescent="0.3">
      <c r="G1776" t="s">
        <v>448</v>
      </c>
    </row>
    <row r="1777" spans="7:7" x14ac:dyDescent="0.3">
      <c r="G1777" t="s">
        <v>393</v>
      </c>
    </row>
    <row r="1778" spans="7:7" x14ac:dyDescent="0.3">
      <c r="G1778" t="s">
        <v>463</v>
      </c>
    </row>
    <row r="1779" spans="7:7" x14ac:dyDescent="0.3">
      <c r="G1779" t="s">
        <v>464</v>
      </c>
    </row>
    <row r="1780" spans="7:7" x14ac:dyDescent="0.3">
      <c r="G1780" t="s">
        <v>1107</v>
      </c>
    </row>
    <row r="1781" spans="7:7" x14ac:dyDescent="0.3">
      <c r="G1781" t="s">
        <v>1108</v>
      </c>
    </row>
    <row r="1782" spans="7:7" x14ac:dyDescent="0.3">
      <c r="G1782" t="s">
        <v>1109</v>
      </c>
    </row>
    <row r="1783" spans="7:7" x14ac:dyDescent="0.3">
      <c r="G1783" t="s">
        <v>1110</v>
      </c>
    </row>
    <row r="1784" spans="7:7" x14ac:dyDescent="0.3">
      <c r="G1784" t="s">
        <v>1111</v>
      </c>
    </row>
    <row r="1785" spans="7:7" x14ac:dyDescent="0.3">
      <c r="G1785" t="s">
        <v>448</v>
      </c>
    </row>
    <row r="1786" spans="7:7" x14ac:dyDescent="0.3">
      <c r="G1786" t="s">
        <v>393</v>
      </c>
    </row>
    <row r="1787" spans="7:7" x14ac:dyDescent="0.3">
      <c r="G1787" t="s">
        <v>470</v>
      </c>
    </row>
    <row r="1788" spans="7:7" x14ac:dyDescent="0.3">
      <c r="G1788" t="s">
        <v>481</v>
      </c>
    </row>
    <row r="1789" spans="7:7" x14ac:dyDescent="0.3">
      <c r="G1789" t="s">
        <v>1112</v>
      </c>
    </row>
    <row r="1790" spans="7:7" x14ac:dyDescent="0.3">
      <c r="G1790" t="s">
        <v>473</v>
      </c>
    </row>
    <row r="1791" spans="7:7" x14ac:dyDescent="0.3">
      <c r="G1791" t="s">
        <v>474</v>
      </c>
    </row>
    <row r="1792" spans="7:7" x14ac:dyDescent="0.3">
      <c r="G1792" t="s">
        <v>479</v>
      </c>
    </row>
    <row r="1793" spans="7:7" x14ac:dyDescent="0.3">
      <c r="G1793" t="s">
        <v>1113</v>
      </c>
    </row>
    <row r="1794" spans="7:7" x14ac:dyDescent="0.3">
      <c r="G1794" t="s">
        <v>473</v>
      </c>
    </row>
    <row r="1795" spans="7:7" x14ac:dyDescent="0.3">
      <c r="G1795" t="s">
        <v>474</v>
      </c>
    </row>
    <row r="1796" spans="7:7" x14ac:dyDescent="0.3">
      <c r="G1796" t="s">
        <v>471</v>
      </c>
    </row>
    <row r="1797" spans="7:7" x14ac:dyDescent="0.3">
      <c r="G1797" t="s">
        <v>1114</v>
      </c>
    </row>
    <row r="1798" spans="7:7" x14ac:dyDescent="0.3">
      <c r="G1798" t="s">
        <v>473</v>
      </c>
    </row>
    <row r="1799" spans="7:7" x14ac:dyDescent="0.3">
      <c r="G1799" t="s">
        <v>474</v>
      </c>
    </row>
    <row r="1800" spans="7:7" x14ac:dyDescent="0.3">
      <c r="G1800" t="s">
        <v>475</v>
      </c>
    </row>
    <row r="1801" spans="7:7" x14ac:dyDescent="0.3">
      <c r="G1801" t="s">
        <v>1115</v>
      </c>
    </row>
    <row r="1802" spans="7:7" x14ac:dyDescent="0.3">
      <c r="G1802" t="s">
        <v>473</v>
      </c>
    </row>
    <row r="1803" spans="7:7" x14ac:dyDescent="0.3">
      <c r="G1803" t="s">
        <v>474</v>
      </c>
    </row>
    <row r="1804" spans="7:7" x14ac:dyDescent="0.3">
      <c r="G1804" t="s">
        <v>508</v>
      </c>
    </row>
    <row r="1805" spans="7:7" x14ac:dyDescent="0.3">
      <c r="G1805" t="s">
        <v>1116</v>
      </c>
    </row>
    <row r="1806" spans="7:7" x14ac:dyDescent="0.3">
      <c r="G1806" t="s">
        <v>473</v>
      </c>
    </row>
    <row r="1807" spans="7:7" x14ac:dyDescent="0.3">
      <c r="G1807" t="s">
        <v>448</v>
      </c>
    </row>
    <row r="1808" spans="7:7" x14ac:dyDescent="0.3">
      <c r="G1808" t="s">
        <v>409</v>
      </c>
    </row>
    <row r="1809" spans="7:7" x14ac:dyDescent="0.3">
      <c r="G1809" t="s">
        <v>177</v>
      </c>
    </row>
    <row r="1810" spans="7:7" x14ac:dyDescent="0.3">
      <c r="G1810" t="s">
        <v>436</v>
      </c>
    </row>
    <row r="1811" spans="7:7" x14ac:dyDescent="0.3">
      <c r="G1811" t="s">
        <v>437</v>
      </c>
    </row>
    <row r="1812" spans="7:7" x14ac:dyDescent="0.3">
      <c r="G1812" t="s">
        <v>438</v>
      </c>
    </row>
    <row r="1813" spans="7:7" x14ac:dyDescent="0.3">
      <c r="G1813" t="s">
        <v>439</v>
      </c>
    </row>
    <row r="1814" spans="7:7" x14ac:dyDescent="0.3">
      <c r="G1814" t="s">
        <v>440</v>
      </c>
    </row>
    <row r="1815" spans="7:7" x14ac:dyDescent="0.3">
      <c r="G1815" t="s">
        <v>441</v>
      </c>
    </row>
    <row r="1816" spans="7:7" x14ac:dyDescent="0.3">
      <c r="G1816" t="s">
        <v>443</v>
      </c>
    </row>
    <row r="1817" spans="7:7" x14ac:dyDescent="0.3">
      <c r="G1817" t="s">
        <v>483</v>
      </c>
    </row>
    <row r="1818" spans="7:7" x14ac:dyDescent="0.3">
      <c r="G1818" t="s">
        <v>1117</v>
      </c>
    </row>
    <row r="1819" spans="7:7" x14ac:dyDescent="0.3">
      <c r="G1819" t="s">
        <v>1118</v>
      </c>
    </row>
    <row r="1820" spans="7:7" x14ac:dyDescent="0.3">
      <c r="G1820" t="s">
        <v>445</v>
      </c>
    </row>
    <row r="1821" spans="7:7" x14ac:dyDescent="0.3">
      <c r="G1821" t="s">
        <v>1119</v>
      </c>
    </row>
    <row r="1822" spans="7:7" x14ac:dyDescent="0.3">
      <c r="G1822" t="s">
        <v>448</v>
      </c>
    </row>
    <row r="1823" spans="7:7" x14ac:dyDescent="0.3">
      <c r="G1823" t="s">
        <v>393</v>
      </c>
    </row>
    <row r="1824" spans="7:7" x14ac:dyDescent="0.3">
      <c r="G1824" t="s">
        <v>449</v>
      </c>
    </row>
    <row r="1825" spans="7:7" x14ac:dyDescent="0.3">
      <c r="G1825" t="s">
        <v>450</v>
      </c>
    </row>
    <row r="1826" spans="7:7" x14ac:dyDescent="0.3">
      <c r="G1826" t="s">
        <v>451</v>
      </c>
    </row>
    <row r="1827" spans="7:7" x14ac:dyDescent="0.3">
      <c r="G1827" t="s">
        <v>452</v>
      </c>
    </row>
    <row r="1828" spans="7:7" x14ac:dyDescent="0.3">
      <c r="G1828" t="s">
        <v>1120</v>
      </c>
    </row>
    <row r="1829" spans="7:7" x14ac:dyDescent="0.3">
      <c r="G1829" t="s">
        <v>1121</v>
      </c>
    </row>
    <row r="1830" spans="7:7" x14ac:dyDescent="0.3">
      <c r="G1830" t="s">
        <v>1122</v>
      </c>
    </row>
    <row r="1831" spans="7:7" x14ac:dyDescent="0.3">
      <c r="G1831" t="s">
        <v>1123</v>
      </c>
    </row>
    <row r="1832" spans="7:7" x14ac:dyDescent="0.3">
      <c r="G1832" t="s">
        <v>1124</v>
      </c>
    </row>
    <row r="1833" spans="7:7" x14ac:dyDescent="0.3">
      <c r="G1833" t="s">
        <v>1125</v>
      </c>
    </row>
    <row r="1834" spans="7:7" x14ac:dyDescent="0.3">
      <c r="G1834" t="s">
        <v>1126</v>
      </c>
    </row>
    <row r="1835" spans="7:7" x14ac:dyDescent="0.3">
      <c r="G1835" t="s">
        <v>1127</v>
      </c>
    </row>
    <row r="1836" spans="7:7" x14ac:dyDescent="0.3">
      <c r="G1836" t="s">
        <v>1128</v>
      </c>
    </row>
    <row r="1837" spans="7:7" x14ac:dyDescent="0.3">
      <c r="G1837" t="s">
        <v>1129</v>
      </c>
    </row>
    <row r="1838" spans="7:7" x14ac:dyDescent="0.3">
      <c r="G1838" t="s">
        <v>448</v>
      </c>
    </row>
    <row r="1839" spans="7:7" x14ac:dyDescent="0.3">
      <c r="G1839" t="s">
        <v>393</v>
      </c>
    </row>
    <row r="1840" spans="7:7" x14ac:dyDescent="0.3">
      <c r="G1840" t="s">
        <v>463</v>
      </c>
    </row>
    <row r="1841" spans="7:7" x14ac:dyDescent="0.3">
      <c r="G1841" t="s">
        <v>464</v>
      </c>
    </row>
    <row r="1842" spans="7:7" x14ac:dyDescent="0.3">
      <c r="G1842" t="s">
        <v>1130</v>
      </c>
    </row>
    <row r="1843" spans="7:7" x14ac:dyDescent="0.3">
      <c r="G1843" t="s">
        <v>1131</v>
      </c>
    </row>
    <row r="1844" spans="7:7" x14ac:dyDescent="0.3">
      <c r="G1844" t="s">
        <v>1132</v>
      </c>
    </row>
    <row r="1845" spans="7:7" x14ac:dyDescent="0.3">
      <c r="G1845" t="s">
        <v>1133</v>
      </c>
    </row>
    <row r="1846" spans="7:7" x14ac:dyDescent="0.3">
      <c r="G1846" t="s">
        <v>1134</v>
      </c>
    </row>
    <row r="1847" spans="7:7" x14ac:dyDescent="0.3">
      <c r="G1847" t="s">
        <v>448</v>
      </c>
    </row>
    <row r="1848" spans="7:7" x14ac:dyDescent="0.3">
      <c r="G1848" t="s">
        <v>393</v>
      </c>
    </row>
    <row r="1849" spans="7:7" x14ac:dyDescent="0.3">
      <c r="G1849" t="s">
        <v>470</v>
      </c>
    </row>
    <row r="1850" spans="7:7" x14ac:dyDescent="0.3">
      <c r="G1850" t="s">
        <v>471</v>
      </c>
    </row>
    <row r="1851" spans="7:7" x14ac:dyDescent="0.3">
      <c r="G1851" t="s">
        <v>1135</v>
      </c>
    </row>
    <row r="1852" spans="7:7" x14ac:dyDescent="0.3">
      <c r="G1852" t="s">
        <v>473</v>
      </c>
    </row>
    <row r="1853" spans="7:7" x14ac:dyDescent="0.3">
      <c r="G1853" t="s">
        <v>474</v>
      </c>
    </row>
    <row r="1854" spans="7:7" x14ac:dyDescent="0.3">
      <c r="G1854" t="s">
        <v>475</v>
      </c>
    </row>
    <row r="1855" spans="7:7" x14ac:dyDescent="0.3">
      <c r="G1855" t="s">
        <v>1136</v>
      </c>
    </row>
    <row r="1856" spans="7:7" x14ac:dyDescent="0.3">
      <c r="G1856" t="s">
        <v>473</v>
      </c>
    </row>
    <row r="1857" spans="7:7" x14ac:dyDescent="0.3">
      <c r="G1857" t="s">
        <v>474</v>
      </c>
    </row>
    <row r="1858" spans="7:7" x14ac:dyDescent="0.3">
      <c r="G1858" t="s">
        <v>508</v>
      </c>
    </row>
    <row r="1859" spans="7:7" x14ac:dyDescent="0.3">
      <c r="G1859" t="s">
        <v>1137</v>
      </c>
    </row>
    <row r="1860" spans="7:7" x14ac:dyDescent="0.3">
      <c r="G1860" t="s">
        <v>473</v>
      </c>
    </row>
    <row r="1861" spans="7:7" x14ac:dyDescent="0.3">
      <c r="G1861" t="s">
        <v>474</v>
      </c>
    </row>
    <row r="1862" spans="7:7" x14ac:dyDescent="0.3">
      <c r="G1862" t="s">
        <v>479</v>
      </c>
    </row>
    <row r="1863" spans="7:7" x14ac:dyDescent="0.3">
      <c r="G1863" t="s">
        <v>1138</v>
      </c>
    </row>
    <row r="1864" spans="7:7" x14ac:dyDescent="0.3">
      <c r="G1864" t="s">
        <v>473</v>
      </c>
    </row>
    <row r="1865" spans="7:7" x14ac:dyDescent="0.3">
      <c r="G1865" t="s">
        <v>474</v>
      </c>
    </row>
    <row r="1866" spans="7:7" x14ac:dyDescent="0.3">
      <c r="G1866" t="s">
        <v>481</v>
      </c>
    </row>
    <row r="1867" spans="7:7" x14ac:dyDescent="0.3">
      <c r="G1867" t="s">
        <v>1139</v>
      </c>
    </row>
    <row r="1868" spans="7:7" x14ac:dyDescent="0.3">
      <c r="G1868" t="s">
        <v>473</v>
      </c>
    </row>
    <row r="1869" spans="7:7" x14ac:dyDescent="0.3">
      <c r="G1869" t="s">
        <v>448</v>
      </c>
    </row>
    <row r="1870" spans="7:7" x14ac:dyDescent="0.3">
      <c r="G1870" t="s">
        <v>409</v>
      </c>
    </row>
    <row r="1871" spans="7:7" x14ac:dyDescent="0.3">
      <c r="G1871" t="s">
        <v>177</v>
      </c>
    </row>
    <row r="1872" spans="7:7" x14ac:dyDescent="0.3">
      <c r="G1872" t="s">
        <v>436</v>
      </c>
    </row>
    <row r="1873" spans="7:7" x14ac:dyDescent="0.3">
      <c r="G1873" t="s">
        <v>437</v>
      </c>
    </row>
    <row r="1874" spans="7:7" x14ac:dyDescent="0.3">
      <c r="G1874" t="s">
        <v>438</v>
      </c>
    </row>
    <row r="1875" spans="7:7" x14ac:dyDescent="0.3">
      <c r="G1875" t="s">
        <v>439</v>
      </c>
    </row>
    <row r="1876" spans="7:7" x14ac:dyDescent="0.3">
      <c r="G1876" t="s">
        <v>440</v>
      </c>
    </row>
    <row r="1877" spans="7:7" x14ac:dyDescent="0.3">
      <c r="G1877" t="s">
        <v>1140</v>
      </c>
    </row>
    <row r="1878" spans="7:7" x14ac:dyDescent="0.3">
      <c r="G1878" t="s">
        <v>1141</v>
      </c>
    </row>
    <row r="1879" spans="7:7" x14ac:dyDescent="0.3">
      <c r="G1879" t="s">
        <v>441</v>
      </c>
    </row>
    <row r="1880" spans="7:7" x14ac:dyDescent="0.3">
      <c r="G1880" t="s">
        <v>1142</v>
      </c>
    </row>
    <row r="1881" spans="7:7" x14ac:dyDescent="0.3">
      <c r="G1881" t="s">
        <v>443</v>
      </c>
    </row>
    <row r="1882" spans="7:7" x14ac:dyDescent="0.3">
      <c r="G1882" t="s">
        <v>483</v>
      </c>
    </row>
    <row r="1883" spans="7:7" x14ac:dyDescent="0.3">
      <c r="G1883" t="s">
        <v>1143</v>
      </c>
    </row>
    <row r="1884" spans="7:7" x14ac:dyDescent="0.3">
      <c r="G1884" t="s">
        <v>448</v>
      </c>
    </row>
    <row r="1885" spans="7:7" x14ac:dyDescent="0.3">
      <c r="G1885" t="s">
        <v>393</v>
      </c>
    </row>
    <row r="1886" spans="7:7" x14ac:dyDescent="0.3">
      <c r="G1886" t="s">
        <v>449</v>
      </c>
    </row>
    <row r="1887" spans="7:7" x14ac:dyDescent="0.3">
      <c r="G1887" t="s">
        <v>450</v>
      </c>
    </row>
    <row r="1888" spans="7:7" x14ac:dyDescent="0.3">
      <c r="G1888" t="s">
        <v>451</v>
      </c>
    </row>
    <row r="1889" spans="7:7" x14ac:dyDescent="0.3">
      <c r="G1889" t="s">
        <v>452</v>
      </c>
    </row>
    <row r="1890" spans="7:7" x14ac:dyDescent="0.3">
      <c r="G1890" t="s">
        <v>1144</v>
      </c>
    </row>
    <row r="1891" spans="7:7" x14ac:dyDescent="0.3">
      <c r="G1891" t="s">
        <v>1145</v>
      </c>
    </row>
    <row r="1892" spans="7:7" x14ac:dyDescent="0.3">
      <c r="G1892" t="s">
        <v>1146</v>
      </c>
    </row>
    <row r="1893" spans="7:7" x14ac:dyDescent="0.3">
      <c r="G1893" t="s">
        <v>1147</v>
      </c>
    </row>
    <row r="1894" spans="7:7" x14ac:dyDescent="0.3">
      <c r="G1894" t="s">
        <v>1148</v>
      </c>
    </row>
    <row r="1895" spans="7:7" x14ac:dyDescent="0.3">
      <c r="G1895" t="s">
        <v>1149</v>
      </c>
    </row>
    <row r="1896" spans="7:7" x14ac:dyDescent="0.3">
      <c r="G1896" t="s">
        <v>1150</v>
      </c>
    </row>
    <row r="1897" spans="7:7" x14ac:dyDescent="0.3">
      <c r="G1897" t="s">
        <v>1151</v>
      </c>
    </row>
    <row r="1898" spans="7:7" x14ac:dyDescent="0.3">
      <c r="G1898" t="s">
        <v>1152</v>
      </c>
    </row>
    <row r="1899" spans="7:7" x14ac:dyDescent="0.3">
      <c r="G1899" t="s">
        <v>1153</v>
      </c>
    </row>
    <row r="1900" spans="7:7" x14ac:dyDescent="0.3">
      <c r="G1900" t="s">
        <v>448</v>
      </c>
    </row>
    <row r="1901" spans="7:7" x14ac:dyDescent="0.3">
      <c r="G1901" t="s">
        <v>393</v>
      </c>
    </row>
    <row r="1902" spans="7:7" x14ac:dyDescent="0.3">
      <c r="G1902" t="s">
        <v>463</v>
      </c>
    </row>
    <row r="1903" spans="7:7" x14ac:dyDescent="0.3">
      <c r="G1903" t="s">
        <v>464</v>
      </c>
    </row>
    <row r="1904" spans="7:7" x14ac:dyDescent="0.3">
      <c r="G1904" t="s">
        <v>1154</v>
      </c>
    </row>
    <row r="1905" spans="7:7" x14ac:dyDescent="0.3">
      <c r="G1905" t="s">
        <v>1155</v>
      </c>
    </row>
    <row r="1906" spans="7:7" x14ac:dyDescent="0.3">
      <c r="G1906" t="s">
        <v>1156</v>
      </c>
    </row>
    <row r="1907" spans="7:7" x14ac:dyDescent="0.3">
      <c r="G1907" t="s">
        <v>1157</v>
      </c>
    </row>
    <row r="1908" spans="7:7" x14ac:dyDescent="0.3">
      <c r="G1908" t="s">
        <v>1158</v>
      </c>
    </row>
    <row r="1909" spans="7:7" x14ac:dyDescent="0.3">
      <c r="G1909" t="s">
        <v>448</v>
      </c>
    </row>
    <row r="1910" spans="7:7" x14ac:dyDescent="0.3">
      <c r="G1910" t="s">
        <v>393</v>
      </c>
    </row>
    <row r="1911" spans="7:7" x14ac:dyDescent="0.3">
      <c r="G1911" t="s">
        <v>470</v>
      </c>
    </row>
    <row r="1912" spans="7:7" x14ac:dyDescent="0.3">
      <c r="G1912" t="s">
        <v>481</v>
      </c>
    </row>
    <row r="1913" spans="7:7" x14ac:dyDescent="0.3">
      <c r="G1913" t="s">
        <v>1159</v>
      </c>
    </row>
    <row r="1914" spans="7:7" x14ac:dyDescent="0.3">
      <c r="G1914" t="s">
        <v>473</v>
      </c>
    </row>
    <row r="1915" spans="7:7" x14ac:dyDescent="0.3">
      <c r="G1915" t="s">
        <v>474</v>
      </c>
    </row>
    <row r="1916" spans="7:7" x14ac:dyDescent="0.3">
      <c r="G1916" t="s">
        <v>471</v>
      </c>
    </row>
    <row r="1917" spans="7:7" x14ac:dyDescent="0.3">
      <c r="G1917" t="s">
        <v>1160</v>
      </c>
    </row>
    <row r="1918" spans="7:7" x14ac:dyDescent="0.3">
      <c r="G1918" t="s">
        <v>473</v>
      </c>
    </row>
    <row r="1919" spans="7:7" x14ac:dyDescent="0.3">
      <c r="G1919" t="s">
        <v>474</v>
      </c>
    </row>
    <row r="1920" spans="7:7" x14ac:dyDescent="0.3">
      <c r="G1920" t="s">
        <v>475</v>
      </c>
    </row>
    <row r="1921" spans="7:7" x14ac:dyDescent="0.3">
      <c r="G1921" t="s">
        <v>1161</v>
      </c>
    </row>
    <row r="1922" spans="7:7" x14ac:dyDescent="0.3">
      <c r="G1922" t="s">
        <v>473</v>
      </c>
    </row>
    <row r="1923" spans="7:7" x14ac:dyDescent="0.3">
      <c r="G1923" t="s">
        <v>474</v>
      </c>
    </row>
    <row r="1924" spans="7:7" x14ac:dyDescent="0.3">
      <c r="G1924" t="s">
        <v>508</v>
      </c>
    </row>
    <row r="1925" spans="7:7" x14ac:dyDescent="0.3">
      <c r="G1925" t="s">
        <v>1162</v>
      </c>
    </row>
    <row r="1926" spans="7:7" x14ac:dyDescent="0.3">
      <c r="G1926" t="s">
        <v>473</v>
      </c>
    </row>
    <row r="1927" spans="7:7" x14ac:dyDescent="0.3">
      <c r="G1927" t="s">
        <v>474</v>
      </c>
    </row>
    <row r="1928" spans="7:7" x14ac:dyDescent="0.3">
      <c r="G1928" t="s">
        <v>479</v>
      </c>
    </row>
    <row r="1929" spans="7:7" x14ac:dyDescent="0.3">
      <c r="G1929" t="s">
        <v>1163</v>
      </c>
    </row>
    <row r="1930" spans="7:7" x14ac:dyDescent="0.3">
      <c r="G1930" t="s">
        <v>473</v>
      </c>
    </row>
    <row r="1931" spans="7:7" x14ac:dyDescent="0.3">
      <c r="G1931" t="s">
        <v>448</v>
      </c>
    </row>
    <row r="1932" spans="7:7" x14ac:dyDescent="0.3">
      <c r="G1932" t="s">
        <v>409</v>
      </c>
    </row>
    <row r="1933" spans="7:7" x14ac:dyDescent="0.3">
      <c r="G1933" t="s">
        <v>177</v>
      </c>
    </row>
    <row r="1934" spans="7:7" x14ac:dyDescent="0.3">
      <c r="G1934" t="s">
        <v>436</v>
      </c>
    </row>
    <row r="1935" spans="7:7" x14ac:dyDescent="0.3">
      <c r="G1935" t="s">
        <v>437</v>
      </c>
    </row>
    <row r="1936" spans="7:7" x14ac:dyDescent="0.3">
      <c r="G1936" t="s">
        <v>438</v>
      </c>
    </row>
    <row r="1937" spans="7:7" x14ac:dyDescent="0.3">
      <c r="G1937" t="s">
        <v>439</v>
      </c>
    </row>
    <row r="1938" spans="7:7" x14ac:dyDescent="0.3">
      <c r="G1938" t="s">
        <v>440</v>
      </c>
    </row>
    <row r="1939" spans="7:7" x14ac:dyDescent="0.3">
      <c r="G1939" t="s">
        <v>441</v>
      </c>
    </row>
    <row r="1940" spans="7:7" x14ac:dyDescent="0.3">
      <c r="G1940" t="s">
        <v>1164</v>
      </c>
    </row>
    <row r="1941" spans="7:7" x14ac:dyDescent="0.3">
      <c r="G1941" t="s">
        <v>443</v>
      </c>
    </row>
    <row r="1942" spans="7:7" x14ac:dyDescent="0.3">
      <c r="G1942" t="s">
        <v>483</v>
      </c>
    </row>
    <row r="1943" spans="7:7" x14ac:dyDescent="0.3">
      <c r="G1943" t="s">
        <v>888</v>
      </c>
    </row>
    <row r="1944" spans="7:7" x14ac:dyDescent="0.3">
      <c r="G1944" t="s">
        <v>445</v>
      </c>
    </row>
    <row r="1945" spans="7:7" x14ac:dyDescent="0.3">
      <c r="G1945" t="s">
        <v>1165</v>
      </c>
    </row>
    <row r="1946" spans="7:7" x14ac:dyDescent="0.3">
      <c r="G1946" t="s">
        <v>448</v>
      </c>
    </row>
    <row r="1947" spans="7:7" x14ac:dyDescent="0.3">
      <c r="G1947" t="s">
        <v>393</v>
      </c>
    </row>
    <row r="1948" spans="7:7" x14ac:dyDescent="0.3">
      <c r="G1948" t="s">
        <v>449</v>
      </c>
    </row>
    <row r="1949" spans="7:7" x14ac:dyDescent="0.3">
      <c r="G1949" t="s">
        <v>450</v>
      </c>
    </row>
    <row r="1950" spans="7:7" x14ac:dyDescent="0.3">
      <c r="G1950" t="s">
        <v>451</v>
      </c>
    </row>
    <row r="1951" spans="7:7" x14ac:dyDescent="0.3">
      <c r="G1951" t="s">
        <v>452</v>
      </c>
    </row>
    <row r="1952" spans="7:7" x14ac:dyDescent="0.3">
      <c r="G1952" t="s">
        <v>1166</v>
      </c>
    </row>
    <row r="1953" spans="7:7" x14ac:dyDescent="0.3">
      <c r="G1953" t="s">
        <v>1167</v>
      </c>
    </row>
    <row r="1954" spans="7:7" x14ac:dyDescent="0.3">
      <c r="G1954" t="s">
        <v>1168</v>
      </c>
    </row>
    <row r="1955" spans="7:7" x14ac:dyDescent="0.3">
      <c r="G1955" t="s">
        <v>1169</v>
      </c>
    </row>
    <row r="1956" spans="7:7" x14ac:dyDescent="0.3">
      <c r="G1956" t="s">
        <v>1170</v>
      </c>
    </row>
    <row r="1957" spans="7:7" x14ac:dyDescent="0.3">
      <c r="G1957" t="s">
        <v>1171</v>
      </c>
    </row>
    <row r="1958" spans="7:7" x14ac:dyDescent="0.3">
      <c r="G1958" t="s">
        <v>1172</v>
      </c>
    </row>
    <row r="1959" spans="7:7" x14ac:dyDescent="0.3">
      <c r="G1959" t="s">
        <v>1173</v>
      </c>
    </row>
    <row r="1960" spans="7:7" x14ac:dyDescent="0.3">
      <c r="G1960" t="s">
        <v>1174</v>
      </c>
    </row>
    <row r="1961" spans="7:7" x14ac:dyDescent="0.3">
      <c r="G1961" t="s">
        <v>1175</v>
      </c>
    </row>
    <row r="1962" spans="7:7" x14ac:dyDescent="0.3">
      <c r="G1962" t="s">
        <v>448</v>
      </c>
    </row>
    <row r="1963" spans="7:7" x14ac:dyDescent="0.3">
      <c r="G1963" t="s">
        <v>393</v>
      </c>
    </row>
    <row r="1964" spans="7:7" x14ac:dyDescent="0.3">
      <c r="G1964" t="s">
        <v>463</v>
      </c>
    </row>
    <row r="1965" spans="7:7" x14ac:dyDescent="0.3">
      <c r="G1965" t="s">
        <v>464</v>
      </c>
    </row>
    <row r="1966" spans="7:7" x14ac:dyDescent="0.3">
      <c r="G1966" t="s">
        <v>1176</v>
      </c>
    </row>
    <row r="1967" spans="7:7" x14ac:dyDescent="0.3">
      <c r="G1967" t="s">
        <v>1177</v>
      </c>
    </row>
    <row r="1968" spans="7:7" x14ac:dyDescent="0.3">
      <c r="G1968" t="s">
        <v>1178</v>
      </c>
    </row>
    <row r="1969" spans="7:7" x14ac:dyDescent="0.3">
      <c r="G1969" t="s">
        <v>1179</v>
      </c>
    </row>
    <row r="1970" spans="7:7" x14ac:dyDescent="0.3">
      <c r="G1970" t="s">
        <v>1180</v>
      </c>
    </row>
    <row r="1971" spans="7:7" x14ac:dyDescent="0.3">
      <c r="G1971" t="s">
        <v>448</v>
      </c>
    </row>
    <row r="1972" spans="7:7" x14ac:dyDescent="0.3">
      <c r="G1972" t="s">
        <v>393</v>
      </c>
    </row>
    <row r="1973" spans="7:7" x14ac:dyDescent="0.3">
      <c r="G1973" t="s">
        <v>470</v>
      </c>
    </row>
    <row r="1974" spans="7:7" x14ac:dyDescent="0.3">
      <c r="G1974" t="s">
        <v>471</v>
      </c>
    </row>
    <row r="1975" spans="7:7" x14ac:dyDescent="0.3">
      <c r="G1975" t="s">
        <v>1181</v>
      </c>
    </row>
    <row r="1976" spans="7:7" x14ac:dyDescent="0.3">
      <c r="G1976" t="s">
        <v>473</v>
      </c>
    </row>
    <row r="1977" spans="7:7" x14ac:dyDescent="0.3">
      <c r="G1977" t="s">
        <v>474</v>
      </c>
    </row>
    <row r="1978" spans="7:7" x14ac:dyDescent="0.3">
      <c r="G1978" t="s">
        <v>481</v>
      </c>
    </row>
    <row r="1979" spans="7:7" x14ac:dyDescent="0.3">
      <c r="G1979" t="s">
        <v>1182</v>
      </c>
    </row>
    <row r="1980" spans="7:7" x14ac:dyDescent="0.3">
      <c r="G1980" t="s">
        <v>473</v>
      </c>
    </row>
    <row r="1981" spans="7:7" x14ac:dyDescent="0.3">
      <c r="G1981" t="s">
        <v>474</v>
      </c>
    </row>
    <row r="1982" spans="7:7" x14ac:dyDescent="0.3">
      <c r="G1982" t="s">
        <v>475</v>
      </c>
    </row>
    <row r="1983" spans="7:7" x14ac:dyDescent="0.3">
      <c r="G1983" t="s">
        <v>1183</v>
      </c>
    </row>
    <row r="1984" spans="7:7" x14ac:dyDescent="0.3">
      <c r="G1984" t="s">
        <v>473</v>
      </c>
    </row>
    <row r="1985" spans="7:7" x14ac:dyDescent="0.3">
      <c r="G1985" t="s">
        <v>474</v>
      </c>
    </row>
    <row r="1986" spans="7:7" x14ac:dyDescent="0.3">
      <c r="G1986" t="s">
        <v>508</v>
      </c>
    </row>
    <row r="1987" spans="7:7" x14ac:dyDescent="0.3">
      <c r="G1987" t="s">
        <v>1184</v>
      </c>
    </row>
    <row r="1988" spans="7:7" x14ac:dyDescent="0.3">
      <c r="G1988" t="s">
        <v>473</v>
      </c>
    </row>
    <row r="1989" spans="7:7" x14ac:dyDescent="0.3">
      <c r="G1989" t="s">
        <v>474</v>
      </c>
    </row>
    <row r="1990" spans="7:7" x14ac:dyDescent="0.3">
      <c r="G1990" t="s">
        <v>479</v>
      </c>
    </row>
    <row r="1991" spans="7:7" x14ac:dyDescent="0.3">
      <c r="G1991" t="s">
        <v>1185</v>
      </c>
    </row>
    <row r="1992" spans="7:7" x14ac:dyDescent="0.3">
      <c r="G1992" t="s">
        <v>473</v>
      </c>
    </row>
    <row r="1993" spans="7:7" x14ac:dyDescent="0.3">
      <c r="G1993" t="s">
        <v>448</v>
      </c>
    </row>
    <row r="1994" spans="7:7" x14ac:dyDescent="0.3">
      <c r="G1994" t="s">
        <v>409</v>
      </c>
    </row>
    <row r="1995" spans="7:7" x14ac:dyDescent="0.3">
      <c r="G1995" t="s">
        <v>177</v>
      </c>
    </row>
    <row r="1996" spans="7:7" x14ac:dyDescent="0.3">
      <c r="G1996" t="s">
        <v>436</v>
      </c>
    </row>
    <row r="1997" spans="7:7" x14ac:dyDescent="0.3">
      <c r="G1997" t="s">
        <v>437</v>
      </c>
    </row>
    <row r="1998" spans="7:7" x14ac:dyDescent="0.3">
      <c r="G1998" t="s">
        <v>438</v>
      </c>
    </row>
    <row r="1999" spans="7:7" x14ac:dyDescent="0.3">
      <c r="G1999" t="s">
        <v>439</v>
      </c>
    </row>
    <row r="2000" spans="7:7" x14ac:dyDescent="0.3">
      <c r="G2000" t="s">
        <v>440</v>
      </c>
    </row>
    <row r="2001" spans="7:7" x14ac:dyDescent="0.3">
      <c r="G2001" t="s">
        <v>441</v>
      </c>
    </row>
    <row r="2002" spans="7:7" x14ac:dyDescent="0.3">
      <c r="G2002" t="s">
        <v>443</v>
      </c>
    </row>
    <row r="2003" spans="7:7" x14ac:dyDescent="0.3">
      <c r="G2003" t="s">
        <v>483</v>
      </c>
    </row>
    <row r="2004" spans="7:7" x14ac:dyDescent="0.3">
      <c r="G2004" t="s">
        <v>1186</v>
      </c>
    </row>
    <row r="2005" spans="7:7" x14ac:dyDescent="0.3">
      <c r="G2005" t="s">
        <v>486</v>
      </c>
    </row>
    <row r="2006" spans="7:7" x14ac:dyDescent="0.3">
      <c r="G2006" t="s">
        <v>750</v>
      </c>
    </row>
    <row r="2007" spans="7:7" x14ac:dyDescent="0.3">
      <c r="G2007" t="s">
        <v>1187</v>
      </c>
    </row>
    <row r="2008" spans="7:7" x14ac:dyDescent="0.3">
      <c r="G2008" t="s">
        <v>448</v>
      </c>
    </row>
    <row r="2009" spans="7:7" x14ac:dyDescent="0.3">
      <c r="G2009" t="s">
        <v>393</v>
      </c>
    </row>
    <row r="2010" spans="7:7" x14ac:dyDescent="0.3">
      <c r="G2010" t="s">
        <v>449</v>
      </c>
    </row>
    <row r="2011" spans="7:7" x14ac:dyDescent="0.3">
      <c r="G2011" t="s">
        <v>450</v>
      </c>
    </row>
    <row r="2012" spans="7:7" x14ac:dyDescent="0.3">
      <c r="G2012" t="s">
        <v>451</v>
      </c>
    </row>
    <row r="2013" spans="7:7" x14ac:dyDescent="0.3">
      <c r="G2013" t="s">
        <v>452</v>
      </c>
    </row>
    <row r="2014" spans="7:7" x14ac:dyDescent="0.3">
      <c r="G2014" t="s">
        <v>1188</v>
      </c>
    </row>
    <row r="2015" spans="7:7" x14ac:dyDescent="0.3">
      <c r="G2015" t="s">
        <v>1189</v>
      </c>
    </row>
    <row r="2016" spans="7:7" x14ac:dyDescent="0.3">
      <c r="G2016" t="s">
        <v>1190</v>
      </c>
    </row>
    <row r="2017" spans="7:7" x14ac:dyDescent="0.3">
      <c r="G2017" t="s">
        <v>1191</v>
      </c>
    </row>
    <row r="2018" spans="7:7" x14ac:dyDescent="0.3">
      <c r="G2018" t="s">
        <v>1192</v>
      </c>
    </row>
    <row r="2019" spans="7:7" x14ac:dyDescent="0.3">
      <c r="G2019" t="s">
        <v>1193</v>
      </c>
    </row>
    <row r="2020" spans="7:7" x14ac:dyDescent="0.3">
      <c r="G2020" t="s">
        <v>1194</v>
      </c>
    </row>
    <row r="2021" spans="7:7" x14ac:dyDescent="0.3">
      <c r="G2021" t="s">
        <v>1195</v>
      </c>
    </row>
    <row r="2022" spans="7:7" x14ac:dyDescent="0.3">
      <c r="G2022" t="s">
        <v>1196</v>
      </c>
    </row>
    <row r="2023" spans="7:7" x14ac:dyDescent="0.3">
      <c r="G2023" t="s">
        <v>1197</v>
      </c>
    </row>
    <row r="2024" spans="7:7" x14ac:dyDescent="0.3">
      <c r="G2024" t="s">
        <v>448</v>
      </c>
    </row>
    <row r="2025" spans="7:7" x14ac:dyDescent="0.3">
      <c r="G2025" t="s">
        <v>393</v>
      </c>
    </row>
    <row r="2026" spans="7:7" x14ac:dyDescent="0.3">
      <c r="G2026" t="s">
        <v>463</v>
      </c>
    </row>
    <row r="2027" spans="7:7" x14ac:dyDescent="0.3">
      <c r="G2027" t="s">
        <v>464</v>
      </c>
    </row>
    <row r="2028" spans="7:7" x14ac:dyDescent="0.3">
      <c r="G2028" t="s">
        <v>1198</v>
      </c>
    </row>
    <row r="2029" spans="7:7" x14ac:dyDescent="0.3">
      <c r="G2029" t="s">
        <v>1199</v>
      </c>
    </row>
    <row r="2030" spans="7:7" x14ac:dyDescent="0.3">
      <c r="G2030" t="s">
        <v>1200</v>
      </c>
    </row>
    <row r="2031" spans="7:7" x14ac:dyDescent="0.3">
      <c r="G2031" t="s">
        <v>1201</v>
      </c>
    </row>
    <row r="2032" spans="7:7" x14ac:dyDescent="0.3">
      <c r="G2032" t="s">
        <v>1202</v>
      </c>
    </row>
    <row r="2033" spans="7:7" x14ac:dyDescent="0.3">
      <c r="G2033" t="s">
        <v>448</v>
      </c>
    </row>
    <row r="2034" spans="7:7" x14ac:dyDescent="0.3">
      <c r="G2034" t="s">
        <v>393</v>
      </c>
    </row>
    <row r="2035" spans="7:7" x14ac:dyDescent="0.3">
      <c r="G2035" t="s">
        <v>470</v>
      </c>
    </row>
    <row r="2036" spans="7:7" x14ac:dyDescent="0.3">
      <c r="G2036" t="s">
        <v>481</v>
      </c>
    </row>
    <row r="2037" spans="7:7" x14ac:dyDescent="0.3">
      <c r="G2037" t="s">
        <v>1203</v>
      </c>
    </row>
    <row r="2038" spans="7:7" x14ac:dyDescent="0.3">
      <c r="G2038" t="s">
        <v>473</v>
      </c>
    </row>
    <row r="2039" spans="7:7" x14ac:dyDescent="0.3">
      <c r="G2039" t="s">
        <v>474</v>
      </c>
    </row>
    <row r="2040" spans="7:7" x14ac:dyDescent="0.3">
      <c r="G2040" t="s">
        <v>504</v>
      </c>
    </row>
    <row r="2041" spans="7:7" x14ac:dyDescent="0.3">
      <c r="G2041" t="s">
        <v>1204</v>
      </c>
    </row>
    <row r="2042" spans="7:7" x14ac:dyDescent="0.3">
      <c r="G2042" t="s">
        <v>473</v>
      </c>
    </row>
    <row r="2043" spans="7:7" x14ac:dyDescent="0.3">
      <c r="G2043" t="s">
        <v>474</v>
      </c>
    </row>
    <row r="2044" spans="7:7" x14ac:dyDescent="0.3">
      <c r="G2044" t="s">
        <v>471</v>
      </c>
    </row>
    <row r="2045" spans="7:7" x14ac:dyDescent="0.3">
      <c r="G2045" t="s">
        <v>1205</v>
      </c>
    </row>
    <row r="2046" spans="7:7" x14ac:dyDescent="0.3">
      <c r="G2046" t="s">
        <v>473</v>
      </c>
    </row>
    <row r="2047" spans="7:7" x14ac:dyDescent="0.3">
      <c r="G2047" t="s">
        <v>474</v>
      </c>
    </row>
    <row r="2048" spans="7:7" x14ac:dyDescent="0.3">
      <c r="G2048" t="s">
        <v>479</v>
      </c>
    </row>
    <row r="2049" spans="7:7" x14ac:dyDescent="0.3">
      <c r="G2049" t="s">
        <v>1206</v>
      </c>
    </row>
    <row r="2050" spans="7:7" x14ac:dyDescent="0.3">
      <c r="G2050" t="s">
        <v>473</v>
      </c>
    </row>
    <row r="2051" spans="7:7" x14ac:dyDescent="0.3">
      <c r="G2051" t="s">
        <v>474</v>
      </c>
    </row>
    <row r="2052" spans="7:7" x14ac:dyDescent="0.3">
      <c r="G2052" t="s">
        <v>508</v>
      </c>
    </row>
    <row r="2053" spans="7:7" x14ac:dyDescent="0.3">
      <c r="G2053" t="s">
        <v>1207</v>
      </c>
    </row>
    <row r="2054" spans="7:7" x14ac:dyDescent="0.3">
      <c r="G2054" t="s">
        <v>473</v>
      </c>
    </row>
    <row r="2055" spans="7:7" x14ac:dyDescent="0.3">
      <c r="G2055" t="s">
        <v>448</v>
      </c>
    </row>
    <row r="2056" spans="7:7" x14ac:dyDescent="0.3">
      <c r="G2056" t="s">
        <v>409</v>
      </c>
    </row>
    <row r="2057" spans="7:7" x14ac:dyDescent="0.3">
      <c r="G2057" t="s">
        <v>177</v>
      </c>
    </row>
    <row r="2058" spans="7:7" x14ac:dyDescent="0.3">
      <c r="G2058" t="s">
        <v>436</v>
      </c>
    </row>
    <row r="2059" spans="7:7" x14ac:dyDescent="0.3">
      <c r="G2059" t="s">
        <v>437</v>
      </c>
    </row>
    <row r="2060" spans="7:7" x14ac:dyDescent="0.3">
      <c r="G2060" t="s">
        <v>438</v>
      </c>
    </row>
    <row r="2061" spans="7:7" x14ac:dyDescent="0.3">
      <c r="G2061" t="s">
        <v>439</v>
      </c>
    </row>
    <row r="2062" spans="7:7" x14ac:dyDescent="0.3">
      <c r="G2062" t="s">
        <v>440</v>
      </c>
    </row>
    <row r="2063" spans="7:7" x14ac:dyDescent="0.3">
      <c r="G2063" t="s">
        <v>1208</v>
      </c>
    </row>
    <row r="2064" spans="7:7" x14ac:dyDescent="0.3">
      <c r="G2064" t="s">
        <v>441</v>
      </c>
    </row>
    <row r="2065" spans="7:7" x14ac:dyDescent="0.3">
      <c r="G2065" t="s">
        <v>443</v>
      </c>
    </row>
    <row r="2066" spans="7:7" x14ac:dyDescent="0.3">
      <c r="G2066" t="s">
        <v>483</v>
      </c>
    </row>
    <row r="2067" spans="7:7" x14ac:dyDescent="0.3">
      <c r="G2067" t="s">
        <v>1209</v>
      </c>
    </row>
    <row r="2068" spans="7:7" x14ac:dyDescent="0.3">
      <c r="G2068" t="s">
        <v>486</v>
      </c>
    </row>
    <row r="2069" spans="7:7" x14ac:dyDescent="0.3">
      <c r="G2069" t="s">
        <v>1210</v>
      </c>
    </row>
    <row r="2070" spans="7:7" x14ac:dyDescent="0.3">
      <c r="G2070" t="s">
        <v>448</v>
      </c>
    </row>
    <row r="2071" spans="7:7" x14ac:dyDescent="0.3">
      <c r="G2071" t="s">
        <v>393</v>
      </c>
    </row>
    <row r="2072" spans="7:7" x14ac:dyDescent="0.3">
      <c r="G2072" t="s">
        <v>449</v>
      </c>
    </row>
    <row r="2073" spans="7:7" x14ac:dyDescent="0.3">
      <c r="G2073" t="s">
        <v>450</v>
      </c>
    </row>
    <row r="2074" spans="7:7" x14ac:dyDescent="0.3">
      <c r="G2074" t="s">
        <v>451</v>
      </c>
    </row>
    <row r="2075" spans="7:7" x14ac:dyDescent="0.3">
      <c r="G2075" t="s">
        <v>452</v>
      </c>
    </row>
    <row r="2076" spans="7:7" x14ac:dyDescent="0.3">
      <c r="G2076" t="s">
        <v>1211</v>
      </c>
    </row>
    <row r="2077" spans="7:7" x14ac:dyDescent="0.3">
      <c r="G2077" t="s">
        <v>1212</v>
      </c>
    </row>
    <row r="2078" spans="7:7" x14ac:dyDescent="0.3">
      <c r="G2078" t="s">
        <v>1213</v>
      </c>
    </row>
    <row r="2079" spans="7:7" x14ac:dyDescent="0.3">
      <c r="G2079" t="s">
        <v>1214</v>
      </c>
    </row>
    <row r="2080" spans="7:7" x14ac:dyDescent="0.3">
      <c r="G2080" t="s">
        <v>1215</v>
      </c>
    </row>
    <row r="2081" spans="7:7" x14ac:dyDescent="0.3">
      <c r="G2081" t="s">
        <v>1216</v>
      </c>
    </row>
    <row r="2082" spans="7:7" x14ac:dyDescent="0.3">
      <c r="G2082" t="s">
        <v>1217</v>
      </c>
    </row>
    <row r="2083" spans="7:7" x14ac:dyDescent="0.3">
      <c r="G2083" t="s">
        <v>1218</v>
      </c>
    </row>
    <row r="2084" spans="7:7" x14ac:dyDescent="0.3">
      <c r="G2084" t="s">
        <v>1219</v>
      </c>
    </row>
    <row r="2085" spans="7:7" x14ac:dyDescent="0.3">
      <c r="G2085" t="s">
        <v>1220</v>
      </c>
    </row>
    <row r="2086" spans="7:7" x14ac:dyDescent="0.3">
      <c r="G2086" t="s">
        <v>448</v>
      </c>
    </row>
    <row r="2087" spans="7:7" x14ac:dyDescent="0.3">
      <c r="G2087" t="s">
        <v>393</v>
      </c>
    </row>
    <row r="2088" spans="7:7" x14ac:dyDescent="0.3">
      <c r="G2088" t="s">
        <v>463</v>
      </c>
    </row>
    <row r="2089" spans="7:7" x14ac:dyDescent="0.3">
      <c r="G2089" t="s">
        <v>464</v>
      </c>
    </row>
    <row r="2090" spans="7:7" x14ac:dyDescent="0.3">
      <c r="G2090" t="s">
        <v>1221</v>
      </c>
    </row>
    <row r="2091" spans="7:7" x14ac:dyDescent="0.3">
      <c r="G2091" t="s">
        <v>1222</v>
      </c>
    </row>
    <row r="2092" spans="7:7" x14ac:dyDescent="0.3">
      <c r="G2092" t="s">
        <v>1223</v>
      </c>
    </row>
    <row r="2093" spans="7:7" x14ac:dyDescent="0.3">
      <c r="G2093" t="s">
        <v>1224</v>
      </c>
    </row>
    <row r="2094" spans="7:7" x14ac:dyDescent="0.3">
      <c r="G2094" t="s">
        <v>1225</v>
      </c>
    </row>
    <row r="2095" spans="7:7" x14ac:dyDescent="0.3">
      <c r="G2095" t="s">
        <v>448</v>
      </c>
    </row>
    <row r="2096" spans="7:7" x14ac:dyDescent="0.3">
      <c r="G2096" t="s">
        <v>393</v>
      </c>
    </row>
    <row r="2097" spans="7:7" x14ac:dyDescent="0.3">
      <c r="G2097" t="s">
        <v>470</v>
      </c>
    </row>
    <row r="2098" spans="7:7" x14ac:dyDescent="0.3">
      <c r="G2098" t="s">
        <v>481</v>
      </c>
    </row>
    <row r="2099" spans="7:7" x14ac:dyDescent="0.3">
      <c r="G2099" t="s">
        <v>1226</v>
      </c>
    </row>
    <row r="2100" spans="7:7" x14ac:dyDescent="0.3">
      <c r="G2100" t="s">
        <v>473</v>
      </c>
    </row>
    <row r="2101" spans="7:7" x14ac:dyDescent="0.3">
      <c r="G2101" t="s">
        <v>474</v>
      </c>
    </row>
    <row r="2102" spans="7:7" x14ac:dyDescent="0.3">
      <c r="G2102" t="s">
        <v>504</v>
      </c>
    </row>
    <row r="2103" spans="7:7" x14ac:dyDescent="0.3">
      <c r="G2103" t="s">
        <v>1227</v>
      </c>
    </row>
    <row r="2104" spans="7:7" x14ac:dyDescent="0.3">
      <c r="G2104" t="s">
        <v>473</v>
      </c>
    </row>
    <row r="2105" spans="7:7" x14ac:dyDescent="0.3">
      <c r="G2105" t="s">
        <v>474</v>
      </c>
    </row>
    <row r="2106" spans="7:7" x14ac:dyDescent="0.3">
      <c r="G2106" t="s">
        <v>471</v>
      </c>
    </row>
    <row r="2107" spans="7:7" x14ac:dyDescent="0.3">
      <c r="G2107" t="s">
        <v>1228</v>
      </c>
    </row>
    <row r="2108" spans="7:7" x14ac:dyDescent="0.3">
      <c r="G2108" t="s">
        <v>473</v>
      </c>
    </row>
    <row r="2109" spans="7:7" x14ac:dyDescent="0.3">
      <c r="G2109" t="s">
        <v>474</v>
      </c>
    </row>
    <row r="2110" spans="7:7" x14ac:dyDescent="0.3">
      <c r="G2110" t="s">
        <v>508</v>
      </c>
    </row>
    <row r="2111" spans="7:7" x14ac:dyDescent="0.3">
      <c r="G2111" t="s">
        <v>1229</v>
      </c>
    </row>
    <row r="2112" spans="7:7" x14ac:dyDescent="0.3">
      <c r="G2112" t="s">
        <v>473</v>
      </c>
    </row>
    <row r="2113" spans="7:7" x14ac:dyDescent="0.3">
      <c r="G2113" t="s">
        <v>474</v>
      </c>
    </row>
    <row r="2114" spans="7:7" x14ac:dyDescent="0.3">
      <c r="G2114" t="s">
        <v>479</v>
      </c>
    </row>
    <row r="2115" spans="7:7" x14ac:dyDescent="0.3">
      <c r="G2115" t="s">
        <v>1230</v>
      </c>
    </row>
    <row r="2116" spans="7:7" x14ac:dyDescent="0.3">
      <c r="G2116" t="s">
        <v>473</v>
      </c>
    </row>
    <row r="2117" spans="7:7" x14ac:dyDescent="0.3">
      <c r="G2117" t="s">
        <v>448</v>
      </c>
    </row>
    <row r="2118" spans="7:7" x14ac:dyDescent="0.3">
      <c r="G2118" t="s">
        <v>409</v>
      </c>
    </row>
    <row r="2119" spans="7:7" x14ac:dyDescent="0.3">
      <c r="G2119" t="s">
        <v>177</v>
      </c>
    </row>
    <row r="2120" spans="7:7" x14ac:dyDescent="0.3">
      <c r="G2120" t="s">
        <v>436</v>
      </c>
    </row>
    <row r="2121" spans="7:7" x14ac:dyDescent="0.3">
      <c r="G2121" t="s">
        <v>437</v>
      </c>
    </row>
    <row r="2122" spans="7:7" x14ac:dyDescent="0.3">
      <c r="G2122" t="s">
        <v>438</v>
      </c>
    </row>
    <row r="2123" spans="7:7" x14ac:dyDescent="0.3">
      <c r="G2123" t="s">
        <v>439</v>
      </c>
    </row>
    <row r="2124" spans="7:7" x14ac:dyDescent="0.3">
      <c r="G2124" t="s">
        <v>1231</v>
      </c>
    </row>
    <row r="2125" spans="7:7" x14ac:dyDescent="0.3">
      <c r="G2125" t="s">
        <v>1232</v>
      </c>
    </row>
    <row r="2126" spans="7:7" x14ac:dyDescent="0.3">
      <c r="G2126" t="s">
        <v>1233</v>
      </c>
    </row>
    <row r="2127" spans="7:7" x14ac:dyDescent="0.3">
      <c r="G2127" t="s">
        <v>441</v>
      </c>
    </row>
    <row r="2128" spans="7:7" x14ac:dyDescent="0.3">
      <c r="G2128" t="s">
        <v>443</v>
      </c>
    </row>
    <row r="2129" spans="7:7" x14ac:dyDescent="0.3">
      <c r="G2129" t="s">
        <v>483</v>
      </c>
    </row>
    <row r="2130" spans="7:7" x14ac:dyDescent="0.3">
      <c r="G2130" t="s">
        <v>486</v>
      </c>
    </row>
    <row r="2131" spans="7:7" x14ac:dyDescent="0.3">
      <c r="G2131" t="s">
        <v>1234</v>
      </c>
    </row>
    <row r="2132" spans="7:7" x14ac:dyDescent="0.3">
      <c r="G2132" t="s">
        <v>448</v>
      </c>
    </row>
    <row r="2133" spans="7:7" x14ac:dyDescent="0.3">
      <c r="G2133" t="s">
        <v>393</v>
      </c>
    </row>
    <row r="2134" spans="7:7" x14ac:dyDescent="0.3">
      <c r="G2134" t="s">
        <v>449</v>
      </c>
    </row>
    <row r="2135" spans="7:7" x14ac:dyDescent="0.3">
      <c r="G2135" t="s">
        <v>450</v>
      </c>
    </row>
    <row r="2136" spans="7:7" x14ac:dyDescent="0.3">
      <c r="G2136" t="s">
        <v>451</v>
      </c>
    </row>
    <row r="2137" spans="7:7" x14ac:dyDescent="0.3">
      <c r="G2137" t="s">
        <v>452</v>
      </c>
    </row>
    <row r="2138" spans="7:7" x14ac:dyDescent="0.3">
      <c r="G2138" t="s">
        <v>1235</v>
      </c>
    </row>
    <row r="2139" spans="7:7" x14ac:dyDescent="0.3">
      <c r="G2139" t="s">
        <v>1236</v>
      </c>
    </row>
    <row r="2140" spans="7:7" x14ac:dyDescent="0.3">
      <c r="G2140" t="s">
        <v>1237</v>
      </c>
    </row>
    <row r="2141" spans="7:7" x14ac:dyDescent="0.3">
      <c r="G2141" t="s">
        <v>1238</v>
      </c>
    </row>
    <row r="2142" spans="7:7" x14ac:dyDescent="0.3">
      <c r="G2142" t="s">
        <v>1239</v>
      </c>
    </row>
    <row r="2143" spans="7:7" x14ac:dyDescent="0.3">
      <c r="G2143" t="s">
        <v>1240</v>
      </c>
    </row>
    <row r="2144" spans="7:7" x14ac:dyDescent="0.3">
      <c r="G2144" t="s">
        <v>1241</v>
      </c>
    </row>
    <row r="2145" spans="7:7" x14ac:dyDescent="0.3">
      <c r="G2145" t="s">
        <v>1242</v>
      </c>
    </row>
    <row r="2146" spans="7:7" x14ac:dyDescent="0.3">
      <c r="G2146" t="s">
        <v>1243</v>
      </c>
    </row>
    <row r="2147" spans="7:7" x14ac:dyDescent="0.3">
      <c r="G2147" t="s">
        <v>1244</v>
      </c>
    </row>
    <row r="2148" spans="7:7" x14ac:dyDescent="0.3">
      <c r="G2148" t="s">
        <v>448</v>
      </c>
    </row>
    <row r="2149" spans="7:7" x14ac:dyDescent="0.3">
      <c r="G2149" t="s">
        <v>393</v>
      </c>
    </row>
    <row r="2150" spans="7:7" x14ac:dyDescent="0.3">
      <c r="G2150" t="s">
        <v>463</v>
      </c>
    </row>
    <row r="2151" spans="7:7" x14ac:dyDescent="0.3">
      <c r="G2151" t="s">
        <v>464</v>
      </c>
    </row>
    <row r="2152" spans="7:7" x14ac:dyDescent="0.3">
      <c r="G2152" t="s">
        <v>1245</v>
      </c>
    </row>
    <row r="2153" spans="7:7" x14ac:dyDescent="0.3">
      <c r="G2153" t="s">
        <v>1246</v>
      </c>
    </row>
    <row r="2154" spans="7:7" x14ac:dyDescent="0.3">
      <c r="G2154" t="s">
        <v>1247</v>
      </c>
    </row>
    <row r="2155" spans="7:7" x14ac:dyDescent="0.3">
      <c r="G2155" t="s">
        <v>1248</v>
      </c>
    </row>
    <row r="2156" spans="7:7" x14ac:dyDescent="0.3">
      <c r="G2156" t="s">
        <v>1249</v>
      </c>
    </row>
    <row r="2157" spans="7:7" x14ac:dyDescent="0.3">
      <c r="G2157" t="s">
        <v>448</v>
      </c>
    </row>
    <row r="2158" spans="7:7" x14ac:dyDescent="0.3">
      <c r="G2158" t="s">
        <v>393</v>
      </c>
    </row>
    <row r="2159" spans="7:7" x14ac:dyDescent="0.3">
      <c r="G2159" t="s">
        <v>470</v>
      </c>
    </row>
    <row r="2160" spans="7:7" x14ac:dyDescent="0.3">
      <c r="G2160" t="s">
        <v>553</v>
      </c>
    </row>
    <row r="2161" spans="7:7" x14ac:dyDescent="0.3">
      <c r="G2161" t="s">
        <v>1250</v>
      </c>
    </row>
    <row r="2162" spans="7:7" x14ac:dyDescent="0.3">
      <c r="G2162" t="s">
        <v>473</v>
      </c>
    </row>
    <row r="2163" spans="7:7" x14ac:dyDescent="0.3">
      <c r="G2163" t="s">
        <v>474</v>
      </c>
    </row>
    <row r="2164" spans="7:7" x14ac:dyDescent="0.3">
      <c r="G2164" t="s">
        <v>504</v>
      </c>
    </row>
    <row r="2165" spans="7:7" x14ac:dyDescent="0.3">
      <c r="G2165" t="s">
        <v>1251</v>
      </c>
    </row>
    <row r="2166" spans="7:7" x14ac:dyDescent="0.3">
      <c r="G2166" t="s">
        <v>473</v>
      </c>
    </row>
    <row r="2167" spans="7:7" x14ac:dyDescent="0.3">
      <c r="G2167" t="s">
        <v>474</v>
      </c>
    </row>
    <row r="2168" spans="7:7" x14ac:dyDescent="0.3">
      <c r="G2168" t="s">
        <v>508</v>
      </c>
    </row>
    <row r="2169" spans="7:7" x14ac:dyDescent="0.3">
      <c r="G2169" t="s">
        <v>1252</v>
      </c>
    </row>
    <row r="2170" spans="7:7" x14ac:dyDescent="0.3">
      <c r="G2170" t="s">
        <v>473</v>
      </c>
    </row>
    <row r="2171" spans="7:7" x14ac:dyDescent="0.3">
      <c r="G2171" t="s">
        <v>474</v>
      </c>
    </row>
    <row r="2172" spans="7:7" x14ac:dyDescent="0.3">
      <c r="G2172" t="s">
        <v>481</v>
      </c>
    </row>
    <row r="2173" spans="7:7" x14ac:dyDescent="0.3">
      <c r="G2173" t="s">
        <v>1253</v>
      </c>
    </row>
    <row r="2174" spans="7:7" x14ac:dyDescent="0.3">
      <c r="G2174" t="s">
        <v>473</v>
      </c>
    </row>
    <row r="2175" spans="7:7" x14ac:dyDescent="0.3">
      <c r="G2175" t="s">
        <v>474</v>
      </c>
    </row>
    <row r="2176" spans="7:7" x14ac:dyDescent="0.3">
      <c r="G2176" t="s">
        <v>479</v>
      </c>
    </row>
    <row r="2177" spans="7:7" x14ac:dyDescent="0.3">
      <c r="G2177" t="s">
        <v>1254</v>
      </c>
    </row>
    <row r="2178" spans="7:7" x14ac:dyDescent="0.3">
      <c r="G2178" t="s">
        <v>473</v>
      </c>
    </row>
    <row r="2179" spans="7:7" x14ac:dyDescent="0.3">
      <c r="G2179" t="s">
        <v>448</v>
      </c>
    </row>
    <row r="2180" spans="7:7" x14ac:dyDescent="0.3">
      <c r="G2180" t="s">
        <v>409</v>
      </c>
    </row>
    <row r="2181" spans="7:7" x14ac:dyDescent="0.3">
      <c r="G2181" t="s">
        <v>177</v>
      </c>
    </row>
    <row r="2182" spans="7:7" x14ac:dyDescent="0.3">
      <c r="G2182" t="s">
        <v>436</v>
      </c>
    </row>
    <row r="2183" spans="7:7" x14ac:dyDescent="0.3">
      <c r="G2183" t="s">
        <v>437</v>
      </c>
    </row>
    <row r="2184" spans="7:7" x14ac:dyDescent="0.3">
      <c r="G2184" t="s">
        <v>438</v>
      </c>
    </row>
    <row r="2185" spans="7:7" x14ac:dyDescent="0.3">
      <c r="G2185" t="s">
        <v>439</v>
      </c>
    </row>
    <row r="2186" spans="7:7" x14ac:dyDescent="0.3">
      <c r="G2186" t="s">
        <v>440</v>
      </c>
    </row>
    <row r="2187" spans="7:7" x14ac:dyDescent="0.3">
      <c r="G2187" t="s">
        <v>1255</v>
      </c>
    </row>
    <row r="2188" spans="7:7" x14ac:dyDescent="0.3">
      <c r="G2188" t="s">
        <v>441</v>
      </c>
    </row>
    <row r="2189" spans="7:7" x14ac:dyDescent="0.3">
      <c r="G2189" t="s">
        <v>443</v>
      </c>
    </row>
    <row r="2190" spans="7:7" x14ac:dyDescent="0.3">
      <c r="G2190" t="s">
        <v>483</v>
      </c>
    </row>
    <row r="2191" spans="7:7" x14ac:dyDescent="0.3">
      <c r="G2191" t="s">
        <v>486</v>
      </c>
    </row>
    <row r="2192" spans="7:7" x14ac:dyDescent="0.3">
      <c r="G2192" t="s">
        <v>750</v>
      </c>
    </row>
    <row r="2193" spans="7:7" x14ac:dyDescent="0.3">
      <c r="G2193" t="s">
        <v>1256</v>
      </c>
    </row>
    <row r="2194" spans="7:7" x14ac:dyDescent="0.3">
      <c r="G2194" t="s">
        <v>448</v>
      </c>
    </row>
    <row r="2195" spans="7:7" x14ac:dyDescent="0.3">
      <c r="G2195" t="s">
        <v>393</v>
      </c>
    </row>
    <row r="2196" spans="7:7" x14ac:dyDescent="0.3">
      <c r="G2196" t="s">
        <v>449</v>
      </c>
    </row>
    <row r="2197" spans="7:7" x14ac:dyDescent="0.3">
      <c r="G2197" t="s">
        <v>450</v>
      </c>
    </row>
    <row r="2198" spans="7:7" x14ac:dyDescent="0.3">
      <c r="G2198" t="s">
        <v>451</v>
      </c>
    </row>
    <row r="2199" spans="7:7" x14ac:dyDescent="0.3">
      <c r="G2199" t="s">
        <v>452</v>
      </c>
    </row>
    <row r="2200" spans="7:7" x14ac:dyDescent="0.3">
      <c r="G2200" t="s">
        <v>1257</v>
      </c>
    </row>
    <row r="2201" spans="7:7" x14ac:dyDescent="0.3">
      <c r="G2201" t="s">
        <v>1258</v>
      </c>
    </row>
    <row r="2202" spans="7:7" x14ac:dyDescent="0.3">
      <c r="G2202" t="s">
        <v>1259</v>
      </c>
    </row>
    <row r="2203" spans="7:7" x14ac:dyDescent="0.3">
      <c r="G2203" t="s">
        <v>1260</v>
      </c>
    </row>
    <row r="2204" spans="7:7" x14ac:dyDescent="0.3">
      <c r="G2204" t="s">
        <v>1261</v>
      </c>
    </row>
    <row r="2205" spans="7:7" x14ac:dyDescent="0.3">
      <c r="G2205" t="s">
        <v>1262</v>
      </c>
    </row>
    <row r="2206" spans="7:7" x14ac:dyDescent="0.3">
      <c r="G2206" t="s">
        <v>1263</v>
      </c>
    </row>
    <row r="2207" spans="7:7" x14ac:dyDescent="0.3">
      <c r="G2207" t="s">
        <v>1264</v>
      </c>
    </row>
    <row r="2208" spans="7:7" x14ac:dyDescent="0.3">
      <c r="G2208" t="s">
        <v>1265</v>
      </c>
    </row>
    <row r="2209" spans="7:7" x14ac:dyDescent="0.3">
      <c r="G2209" t="s">
        <v>1266</v>
      </c>
    </row>
    <row r="2210" spans="7:7" x14ac:dyDescent="0.3">
      <c r="G2210" t="s">
        <v>448</v>
      </c>
    </row>
    <row r="2211" spans="7:7" x14ac:dyDescent="0.3">
      <c r="G2211" t="s">
        <v>393</v>
      </c>
    </row>
    <row r="2212" spans="7:7" x14ac:dyDescent="0.3">
      <c r="G2212" t="s">
        <v>463</v>
      </c>
    </row>
    <row r="2213" spans="7:7" x14ac:dyDescent="0.3">
      <c r="G2213" t="s">
        <v>464</v>
      </c>
    </row>
    <row r="2214" spans="7:7" x14ac:dyDescent="0.3">
      <c r="G2214" t="s">
        <v>1267</v>
      </c>
    </row>
    <row r="2215" spans="7:7" x14ac:dyDescent="0.3">
      <c r="G2215" t="s">
        <v>1268</v>
      </c>
    </row>
    <row r="2216" spans="7:7" x14ac:dyDescent="0.3">
      <c r="G2216" t="s">
        <v>1269</v>
      </c>
    </row>
    <row r="2217" spans="7:7" x14ac:dyDescent="0.3">
      <c r="G2217" t="s">
        <v>1270</v>
      </c>
    </row>
    <row r="2218" spans="7:7" x14ac:dyDescent="0.3">
      <c r="G2218" t="s">
        <v>1271</v>
      </c>
    </row>
    <row r="2219" spans="7:7" x14ac:dyDescent="0.3">
      <c r="G2219" t="s">
        <v>448</v>
      </c>
    </row>
    <row r="2220" spans="7:7" x14ac:dyDescent="0.3">
      <c r="G2220" t="s">
        <v>393</v>
      </c>
    </row>
    <row r="2221" spans="7:7" x14ac:dyDescent="0.3">
      <c r="G2221" t="s">
        <v>470</v>
      </c>
    </row>
    <row r="2222" spans="7:7" x14ac:dyDescent="0.3">
      <c r="G2222" t="s">
        <v>481</v>
      </c>
    </row>
    <row r="2223" spans="7:7" x14ac:dyDescent="0.3">
      <c r="G2223" t="s">
        <v>1272</v>
      </c>
    </row>
    <row r="2224" spans="7:7" x14ac:dyDescent="0.3">
      <c r="G2224" t="s">
        <v>473</v>
      </c>
    </row>
    <row r="2225" spans="7:7" x14ac:dyDescent="0.3">
      <c r="G2225" t="s">
        <v>474</v>
      </c>
    </row>
    <row r="2226" spans="7:7" x14ac:dyDescent="0.3">
      <c r="G2226" t="s">
        <v>504</v>
      </c>
    </row>
    <row r="2227" spans="7:7" x14ac:dyDescent="0.3">
      <c r="G2227" t="s">
        <v>1273</v>
      </c>
    </row>
    <row r="2228" spans="7:7" x14ac:dyDescent="0.3">
      <c r="G2228" t="s">
        <v>473</v>
      </c>
    </row>
    <row r="2229" spans="7:7" x14ac:dyDescent="0.3">
      <c r="G2229" t="s">
        <v>474</v>
      </c>
    </row>
    <row r="2230" spans="7:7" x14ac:dyDescent="0.3">
      <c r="G2230" t="s">
        <v>471</v>
      </c>
    </row>
    <row r="2231" spans="7:7" x14ac:dyDescent="0.3">
      <c r="G2231" t="s">
        <v>1274</v>
      </c>
    </row>
    <row r="2232" spans="7:7" x14ac:dyDescent="0.3">
      <c r="G2232" t="s">
        <v>473</v>
      </c>
    </row>
    <row r="2233" spans="7:7" x14ac:dyDescent="0.3">
      <c r="G2233" t="s">
        <v>474</v>
      </c>
    </row>
    <row r="2234" spans="7:7" x14ac:dyDescent="0.3">
      <c r="G2234" t="s">
        <v>479</v>
      </c>
    </row>
    <row r="2235" spans="7:7" x14ac:dyDescent="0.3">
      <c r="G2235" t="s">
        <v>1275</v>
      </c>
    </row>
    <row r="2236" spans="7:7" x14ac:dyDescent="0.3">
      <c r="G2236" t="s">
        <v>473</v>
      </c>
    </row>
    <row r="2237" spans="7:7" x14ac:dyDescent="0.3">
      <c r="G2237" t="s">
        <v>474</v>
      </c>
    </row>
    <row r="2238" spans="7:7" x14ac:dyDescent="0.3">
      <c r="G2238" t="s">
        <v>508</v>
      </c>
    </row>
    <row r="2239" spans="7:7" x14ac:dyDescent="0.3">
      <c r="G2239" t="s">
        <v>1276</v>
      </c>
    </row>
    <row r="2240" spans="7:7" x14ac:dyDescent="0.3">
      <c r="G2240" t="s">
        <v>473</v>
      </c>
    </row>
    <row r="2241" spans="7:7" x14ac:dyDescent="0.3">
      <c r="G2241" t="s">
        <v>448</v>
      </c>
    </row>
    <row r="2242" spans="7:7" x14ac:dyDescent="0.3">
      <c r="G2242" t="s">
        <v>409</v>
      </c>
    </row>
    <row r="2243" spans="7:7" x14ac:dyDescent="0.3">
      <c r="G2243" t="s">
        <v>177</v>
      </c>
    </row>
    <row r="2244" spans="7:7" x14ac:dyDescent="0.3">
      <c r="G2244" t="s">
        <v>436</v>
      </c>
    </row>
    <row r="2245" spans="7:7" x14ac:dyDescent="0.3">
      <c r="G2245" t="s">
        <v>437</v>
      </c>
    </row>
    <row r="2246" spans="7:7" x14ac:dyDescent="0.3">
      <c r="G2246" t="s">
        <v>438</v>
      </c>
    </row>
    <row r="2247" spans="7:7" x14ac:dyDescent="0.3">
      <c r="G2247" t="s">
        <v>439</v>
      </c>
    </row>
    <row r="2248" spans="7:7" x14ac:dyDescent="0.3">
      <c r="G2248" t="s">
        <v>440</v>
      </c>
    </row>
    <row r="2249" spans="7:7" x14ac:dyDescent="0.3">
      <c r="G2249" t="s">
        <v>1277</v>
      </c>
    </row>
    <row r="2250" spans="7:7" x14ac:dyDescent="0.3">
      <c r="G2250" t="s">
        <v>441</v>
      </c>
    </row>
    <row r="2251" spans="7:7" x14ac:dyDescent="0.3">
      <c r="G2251" t="s">
        <v>443</v>
      </c>
    </row>
    <row r="2252" spans="7:7" x14ac:dyDescent="0.3">
      <c r="G2252" t="s">
        <v>483</v>
      </c>
    </row>
    <row r="2253" spans="7:7" x14ac:dyDescent="0.3">
      <c r="G2253" t="s">
        <v>1278</v>
      </c>
    </row>
    <row r="2254" spans="7:7" x14ac:dyDescent="0.3">
      <c r="G2254" t="s">
        <v>486</v>
      </c>
    </row>
    <row r="2255" spans="7:7" x14ac:dyDescent="0.3">
      <c r="G2255" t="s">
        <v>487</v>
      </c>
    </row>
    <row r="2256" spans="7:7" x14ac:dyDescent="0.3">
      <c r="G2256" t="s">
        <v>448</v>
      </c>
    </row>
    <row r="2257" spans="7:7" x14ac:dyDescent="0.3">
      <c r="G2257" t="s">
        <v>393</v>
      </c>
    </row>
    <row r="2258" spans="7:7" x14ac:dyDescent="0.3">
      <c r="G2258" t="s">
        <v>449</v>
      </c>
    </row>
    <row r="2259" spans="7:7" x14ac:dyDescent="0.3">
      <c r="G2259" t="s">
        <v>488</v>
      </c>
    </row>
    <row r="2260" spans="7:7" x14ac:dyDescent="0.3">
      <c r="G2260" t="s">
        <v>451</v>
      </c>
    </row>
    <row r="2261" spans="7:7" x14ac:dyDescent="0.3">
      <c r="G2261" t="s">
        <v>452</v>
      </c>
    </row>
    <row r="2262" spans="7:7" x14ac:dyDescent="0.3">
      <c r="G2262" t="s">
        <v>1279</v>
      </c>
    </row>
    <row r="2263" spans="7:7" x14ac:dyDescent="0.3">
      <c r="G2263" t="s">
        <v>1280</v>
      </c>
    </row>
    <row r="2264" spans="7:7" x14ac:dyDescent="0.3">
      <c r="G2264" t="s">
        <v>1281</v>
      </c>
    </row>
    <row r="2265" spans="7:7" x14ac:dyDescent="0.3">
      <c r="G2265" t="s">
        <v>1282</v>
      </c>
    </row>
    <row r="2266" spans="7:7" x14ac:dyDescent="0.3">
      <c r="G2266" t="s">
        <v>1283</v>
      </c>
    </row>
    <row r="2267" spans="7:7" x14ac:dyDescent="0.3">
      <c r="G2267" t="s">
        <v>1284</v>
      </c>
    </row>
    <row r="2268" spans="7:7" x14ac:dyDescent="0.3">
      <c r="G2268" t="s">
        <v>1285</v>
      </c>
    </row>
    <row r="2269" spans="7:7" x14ac:dyDescent="0.3">
      <c r="G2269" t="s">
        <v>1286</v>
      </c>
    </row>
    <row r="2270" spans="7:7" x14ac:dyDescent="0.3">
      <c r="G2270" t="s">
        <v>1287</v>
      </c>
    </row>
    <row r="2271" spans="7:7" x14ac:dyDescent="0.3">
      <c r="G2271" t="s">
        <v>1288</v>
      </c>
    </row>
    <row r="2272" spans="7:7" x14ac:dyDescent="0.3">
      <c r="G2272" t="s">
        <v>448</v>
      </c>
    </row>
    <row r="2273" spans="7:7" x14ac:dyDescent="0.3">
      <c r="G2273" t="s">
        <v>393</v>
      </c>
    </row>
    <row r="2274" spans="7:7" x14ac:dyDescent="0.3">
      <c r="G2274" t="s">
        <v>463</v>
      </c>
    </row>
    <row r="2275" spans="7:7" x14ac:dyDescent="0.3">
      <c r="G2275" t="s">
        <v>464</v>
      </c>
    </row>
    <row r="2276" spans="7:7" x14ac:dyDescent="0.3">
      <c r="G2276" t="s">
        <v>1289</v>
      </c>
    </row>
    <row r="2277" spans="7:7" x14ac:dyDescent="0.3">
      <c r="G2277" t="s">
        <v>1290</v>
      </c>
    </row>
    <row r="2278" spans="7:7" x14ac:dyDescent="0.3">
      <c r="G2278" t="s">
        <v>1291</v>
      </c>
    </row>
    <row r="2279" spans="7:7" x14ac:dyDescent="0.3">
      <c r="G2279" t="s">
        <v>1292</v>
      </c>
    </row>
    <row r="2280" spans="7:7" x14ac:dyDescent="0.3">
      <c r="G2280" t="s">
        <v>1293</v>
      </c>
    </row>
    <row r="2281" spans="7:7" x14ac:dyDescent="0.3">
      <c r="G2281" t="s">
        <v>448</v>
      </c>
    </row>
    <row r="2282" spans="7:7" x14ac:dyDescent="0.3">
      <c r="G2282" t="s">
        <v>393</v>
      </c>
    </row>
    <row r="2283" spans="7:7" x14ac:dyDescent="0.3">
      <c r="G2283" t="s">
        <v>470</v>
      </c>
    </row>
    <row r="2284" spans="7:7" x14ac:dyDescent="0.3">
      <c r="G2284" t="s">
        <v>504</v>
      </c>
    </row>
    <row r="2285" spans="7:7" x14ac:dyDescent="0.3">
      <c r="G2285" t="s">
        <v>1294</v>
      </c>
    </row>
    <row r="2286" spans="7:7" x14ac:dyDescent="0.3">
      <c r="G2286" t="s">
        <v>473</v>
      </c>
    </row>
    <row r="2287" spans="7:7" x14ac:dyDescent="0.3">
      <c r="G2287" t="s">
        <v>474</v>
      </c>
    </row>
    <row r="2288" spans="7:7" x14ac:dyDescent="0.3">
      <c r="G2288" t="s">
        <v>481</v>
      </c>
    </row>
    <row r="2289" spans="7:7" x14ac:dyDescent="0.3">
      <c r="G2289" t="s">
        <v>1295</v>
      </c>
    </row>
    <row r="2290" spans="7:7" x14ac:dyDescent="0.3">
      <c r="G2290" t="s">
        <v>473</v>
      </c>
    </row>
    <row r="2291" spans="7:7" x14ac:dyDescent="0.3">
      <c r="G2291" t="s">
        <v>474</v>
      </c>
    </row>
    <row r="2292" spans="7:7" x14ac:dyDescent="0.3">
      <c r="G2292" t="s">
        <v>471</v>
      </c>
    </row>
    <row r="2293" spans="7:7" x14ac:dyDescent="0.3">
      <c r="G2293" t="s">
        <v>1296</v>
      </c>
    </row>
    <row r="2294" spans="7:7" x14ac:dyDescent="0.3">
      <c r="G2294" t="s">
        <v>473</v>
      </c>
    </row>
    <row r="2295" spans="7:7" x14ac:dyDescent="0.3">
      <c r="G2295" t="s">
        <v>474</v>
      </c>
    </row>
    <row r="2296" spans="7:7" x14ac:dyDescent="0.3">
      <c r="G2296" t="s">
        <v>508</v>
      </c>
    </row>
    <row r="2297" spans="7:7" x14ac:dyDescent="0.3">
      <c r="G2297" t="s">
        <v>1297</v>
      </c>
    </row>
    <row r="2298" spans="7:7" x14ac:dyDescent="0.3">
      <c r="G2298" t="s">
        <v>473</v>
      </c>
    </row>
    <row r="2299" spans="7:7" x14ac:dyDescent="0.3">
      <c r="G2299" t="s">
        <v>474</v>
      </c>
    </row>
    <row r="2300" spans="7:7" x14ac:dyDescent="0.3">
      <c r="G2300" t="s">
        <v>479</v>
      </c>
    </row>
    <row r="2301" spans="7:7" x14ac:dyDescent="0.3">
      <c r="G2301" t="s">
        <v>1298</v>
      </c>
    </row>
    <row r="2302" spans="7:7" x14ac:dyDescent="0.3">
      <c r="G2302" t="s">
        <v>473</v>
      </c>
    </row>
    <row r="2303" spans="7:7" x14ac:dyDescent="0.3">
      <c r="G2303" t="s">
        <v>448</v>
      </c>
    </row>
    <row r="2304" spans="7:7" x14ac:dyDescent="0.3">
      <c r="G2304" t="s">
        <v>409</v>
      </c>
    </row>
    <row r="2305" spans="7:7" x14ac:dyDescent="0.3">
      <c r="G2305" t="s">
        <v>177</v>
      </c>
    </row>
    <row r="2306" spans="7:7" x14ac:dyDescent="0.3">
      <c r="G2306" t="s">
        <v>436</v>
      </c>
    </row>
    <row r="2307" spans="7:7" x14ac:dyDescent="0.3">
      <c r="G2307" t="s">
        <v>437</v>
      </c>
    </row>
    <row r="2308" spans="7:7" x14ac:dyDescent="0.3">
      <c r="G2308" t="s">
        <v>438</v>
      </c>
    </row>
    <row r="2309" spans="7:7" x14ac:dyDescent="0.3">
      <c r="G2309" t="s">
        <v>439</v>
      </c>
    </row>
    <row r="2310" spans="7:7" x14ac:dyDescent="0.3">
      <c r="G2310" t="s">
        <v>440</v>
      </c>
    </row>
    <row r="2311" spans="7:7" x14ac:dyDescent="0.3">
      <c r="G2311" t="s">
        <v>441</v>
      </c>
    </row>
    <row r="2312" spans="7:7" x14ac:dyDescent="0.3">
      <c r="G2312" t="s">
        <v>443</v>
      </c>
    </row>
    <row r="2313" spans="7:7" x14ac:dyDescent="0.3">
      <c r="G2313" t="s">
        <v>483</v>
      </c>
    </row>
    <row r="2314" spans="7:7" x14ac:dyDescent="0.3">
      <c r="G2314" t="s">
        <v>1299</v>
      </c>
    </row>
    <row r="2315" spans="7:7" x14ac:dyDescent="0.3">
      <c r="G2315" t="s">
        <v>1300</v>
      </c>
    </row>
    <row r="2316" spans="7:7" x14ac:dyDescent="0.3">
      <c r="G2316" t="s">
        <v>486</v>
      </c>
    </row>
    <row r="2317" spans="7:7" x14ac:dyDescent="0.3">
      <c r="G2317" t="s">
        <v>1301</v>
      </c>
    </row>
    <row r="2318" spans="7:7" x14ac:dyDescent="0.3">
      <c r="G2318" t="s">
        <v>448</v>
      </c>
    </row>
    <row r="2319" spans="7:7" x14ac:dyDescent="0.3">
      <c r="G2319" t="s">
        <v>393</v>
      </c>
    </row>
    <row r="2320" spans="7:7" x14ac:dyDescent="0.3">
      <c r="G2320" t="s">
        <v>449</v>
      </c>
    </row>
    <row r="2321" spans="7:7" x14ac:dyDescent="0.3">
      <c r="G2321" t="s">
        <v>488</v>
      </c>
    </row>
    <row r="2322" spans="7:7" x14ac:dyDescent="0.3">
      <c r="G2322" t="s">
        <v>451</v>
      </c>
    </row>
    <row r="2323" spans="7:7" x14ac:dyDescent="0.3">
      <c r="G2323" t="s">
        <v>452</v>
      </c>
    </row>
    <row r="2324" spans="7:7" x14ac:dyDescent="0.3">
      <c r="G2324" t="s">
        <v>1302</v>
      </c>
    </row>
    <row r="2325" spans="7:7" x14ac:dyDescent="0.3">
      <c r="G2325" t="s">
        <v>1303</v>
      </c>
    </row>
    <row r="2326" spans="7:7" x14ac:dyDescent="0.3">
      <c r="G2326" t="s">
        <v>1304</v>
      </c>
    </row>
    <row r="2327" spans="7:7" x14ac:dyDescent="0.3">
      <c r="G2327" t="s">
        <v>1305</v>
      </c>
    </row>
    <row r="2328" spans="7:7" x14ac:dyDescent="0.3">
      <c r="G2328" t="s">
        <v>1306</v>
      </c>
    </row>
    <row r="2329" spans="7:7" x14ac:dyDescent="0.3">
      <c r="G2329" t="s">
        <v>1307</v>
      </c>
    </row>
    <row r="2330" spans="7:7" x14ac:dyDescent="0.3">
      <c r="G2330" t="s">
        <v>1308</v>
      </c>
    </row>
    <row r="2331" spans="7:7" x14ac:dyDescent="0.3">
      <c r="G2331" t="s">
        <v>1309</v>
      </c>
    </row>
    <row r="2332" spans="7:7" x14ac:dyDescent="0.3">
      <c r="G2332" t="s">
        <v>1310</v>
      </c>
    </row>
    <row r="2333" spans="7:7" x14ac:dyDescent="0.3">
      <c r="G2333" t="s">
        <v>1311</v>
      </c>
    </row>
    <row r="2334" spans="7:7" x14ac:dyDescent="0.3">
      <c r="G2334" t="s">
        <v>448</v>
      </c>
    </row>
    <row r="2335" spans="7:7" x14ac:dyDescent="0.3">
      <c r="G2335" t="s">
        <v>393</v>
      </c>
    </row>
    <row r="2336" spans="7:7" x14ac:dyDescent="0.3">
      <c r="G2336" t="s">
        <v>463</v>
      </c>
    </row>
    <row r="2337" spans="7:7" x14ac:dyDescent="0.3">
      <c r="G2337" t="s">
        <v>464</v>
      </c>
    </row>
    <row r="2338" spans="7:7" x14ac:dyDescent="0.3">
      <c r="G2338" t="s">
        <v>1312</v>
      </c>
    </row>
    <row r="2339" spans="7:7" x14ac:dyDescent="0.3">
      <c r="G2339" t="s">
        <v>1313</v>
      </c>
    </row>
    <row r="2340" spans="7:7" x14ac:dyDescent="0.3">
      <c r="G2340" t="s">
        <v>1314</v>
      </c>
    </row>
    <row r="2341" spans="7:7" x14ac:dyDescent="0.3">
      <c r="G2341" t="s">
        <v>1315</v>
      </c>
    </row>
    <row r="2342" spans="7:7" x14ac:dyDescent="0.3">
      <c r="G2342" t="s">
        <v>1316</v>
      </c>
    </row>
    <row r="2343" spans="7:7" x14ac:dyDescent="0.3">
      <c r="G2343" t="s">
        <v>448</v>
      </c>
    </row>
    <row r="2344" spans="7:7" x14ac:dyDescent="0.3">
      <c r="G2344" t="s">
        <v>393</v>
      </c>
    </row>
    <row r="2345" spans="7:7" x14ac:dyDescent="0.3">
      <c r="G2345" t="s">
        <v>470</v>
      </c>
    </row>
    <row r="2346" spans="7:7" x14ac:dyDescent="0.3">
      <c r="G2346" t="s">
        <v>504</v>
      </c>
    </row>
    <row r="2347" spans="7:7" x14ac:dyDescent="0.3">
      <c r="G2347" t="s">
        <v>1317</v>
      </c>
    </row>
    <row r="2348" spans="7:7" x14ac:dyDescent="0.3">
      <c r="G2348" t="s">
        <v>601</v>
      </c>
    </row>
    <row r="2349" spans="7:7" x14ac:dyDescent="0.3">
      <c r="G2349" t="s">
        <v>474</v>
      </c>
    </row>
    <row r="2350" spans="7:7" x14ac:dyDescent="0.3">
      <c r="G2350" t="s">
        <v>471</v>
      </c>
    </row>
    <row r="2351" spans="7:7" x14ac:dyDescent="0.3">
      <c r="G2351" t="s">
        <v>1318</v>
      </c>
    </row>
    <row r="2352" spans="7:7" x14ac:dyDescent="0.3">
      <c r="G2352" t="s">
        <v>473</v>
      </c>
    </row>
    <row r="2353" spans="7:7" x14ac:dyDescent="0.3">
      <c r="G2353" t="s">
        <v>474</v>
      </c>
    </row>
    <row r="2354" spans="7:7" x14ac:dyDescent="0.3">
      <c r="G2354" t="s">
        <v>508</v>
      </c>
    </row>
    <row r="2355" spans="7:7" x14ac:dyDescent="0.3">
      <c r="G2355" t="s">
        <v>1319</v>
      </c>
    </row>
    <row r="2356" spans="7:7" x14ac:dyDescent="0.3">
      <c r="G2356" t="s">
        <v>473</v>
      </c>
    </row>
    <row r="2357" spans="7:7" x14ac:dyDescent="0.3">
      <c r="G2357" t="s">
        <v>474</v>
      </c>
    </row>
    <row r="2358" spans="7:7" x14ac:dyDescent="0.3">
      <c r="G2358" t="s">
        <v>481</v>
      </c>
    </row>
    <row r="2359" spans="7:7" x14ac:dyDescent="0.3">
      <c r="G2359" t="s">
        <v>1320</v>
      </c>
    </row>
    <row r="2360" spans="7:7" x14ac:dyDescent="0.3">
      <c r="G2360" t="s">
        <v>473</v>
      </c>
    </row>
    <row r="2361" spans="7:7" x14ac:dyDescent="0.3">
      <c r="G2361" t="s">
        <v>474</v>
      </c>
    </row>
    <row r="2362" spans="7:7" x14ac:dyDescent="0.3">
      <c r="G2362" t="s">
        <v>479</v>
      </c>
    </row>
    <row r="2363" spans="7:7" x14ac:dyDescent="0.3">
      <c r="G2363" t="s">
        <v>1321</v>
      </c>
    </row>
    <row r="2364" spans="7:7" x14ac:dyDescent="0.3">
      <c r="G2364" t="s">
        <v>473</v>
      </c>
    </row>
    <row r="2365" spans="7:7" x14ac:dyDescent="0.3">
      <c r="G2365" t="s">
        <v>448</v>
      </c>
    </row>
    <row r="2366" spans="7:7" x14ac:dyDescent="0.3">
      <c r="G2366" t="s">
        <v>409</v>
      </c>
    </row>
    <row r="2367" spans="7:7" x14ac:dyDescent="0.3">
      <c r="G2367" t="s">
        <v>177</v>
      </c>
    </row>
    <row r="2368" spans="7:7" x14ac:dyDescent="0.3">
      <c r="G2368" t="s">
        <v>436</v>
      </c>
    </row>
    <row r="2369" spans="7:7" x14ac:dyDescent="0.3">
      <c r="G2369" t="s">
        <v>437</v>
      </c>
    </row>
    <row r="2370" spans="7:7" x14ac:dyDescent="0.3">
      <c r="G2370" t="s">
        <v>438</v>
      </c>
    </row>
    <row r="2371" spans="7:7" x14ac:dyDescent="0.3">
      <c r="G2371" t="s">
        <v>439</v>
      </c>
    </row>
    <row r="2372" spans="7:7" x14ac:dyDescent="0.3">
      <c r="G2372" t="s">
        <v>440</v>
      </c>
    </row>
    <row r="2373" spans="7:7" x14ac:dyDescent="0.3">
      <c r="G2373" t="s">
        <v>441</v>
      </c>
    </row>
    <row r="2374" spans="7:7" x14ac:dyDescent="0.3">
      <c r="G2374" t="s">
        <v>443</v>
      </c>
    </row>
    <row r="2375" spans="7:7" x14ac:dyDescent="0.3">
      <c r="G2375" t="s">
        <v>483</v>
      </c>
    </row>
    <row r="2376" spans="7:7" x14ac:dyDescent="0.3">
      <c r="G2376" t="s">
        <v>486</v>
      </c>
    </row>
    <row r="2377" spans="7:7" x14ac:dyDescent="0.3">
      <c r="G2377" t="s">
        <v>1322</v>
      </c>
    </row>
    <row r="2378" spans="7:7" x14ac:dyDescent="0.3">
      <c r="G2378" t="s">
        <v>1323</v>
      </c>
    </row>
    <row r="2379" spans="7:7" x14ac:dyDescent="0.3">
      <c r="G2379" t="s">
        <v>1324</v>
      </c>
    </row>
    <row r="2380" spans="7:7" x14ac:dyDescent="0.3">
      <c r="G2380" t="s">
        <v>448</v>
      </c>
    </row>
    <row r="2381" spans="7:7" x14ac:dyDescent="0.3">
      <c r="G2381" t="s">
        <v>393</v>
      </c>
    </row>
    <row r="2382" spans="7:7" x14ac:dyDescent="0.3">
      <c r="G2382" t="s">
        <v>449</v>
      </c>
    </row>
    <row r="2383" spans="7:7" x14ac:dyDescent="0.3">
      <c r="G2383" t="s">
        <v>488</v>
      </c>
    </row>
    <row r="2384" spans="7:7" x14ac:dyDescent="0.3">
      <c r="G2384" t="s">
        <v>451</v>
      </c>
    </row>
    <row r="2385" spans="7:7" x14ac:dyDescent="0.3">
      <c r="G2385" t="s">
        <v>452</v>
      </c>
    </row>
    <row r="2386" spans="7:7" x14ac:dyDescent="0.3">
      <c r="G2386" t="s">
        <v>1325</v>
      </c>
    </row>
    <row r="2387" spans="7:7" x14ac:dyDescent="0.3">
      <c r="G2387" t="s">
        <v>1326</v>
      </c>
    </row>
    <row r="2388" spans="7:7" x14ac:dyDescent="0.3">
      <c r="G2388" t="s">
        <v>1327</v>
      </c>
    </row>
    <row r="2389" spans="7:7" x14ac:dyDescent="0.3">
      <c r="G2389" t="s">
        <v>1328</v>
      </c>
    </row>
    <row r="2390" spans="7:7" x14ac:dyDescent="0.3">
      <c r="G2390" t="s">
        <v>1329</v>
      </c>
    </row>
    <row r="2391" spans="7:7" x14ac:dyDescent="0.3">
      <c r="G2391" t="s">
        <v>1330</v>
      </c>
    </row>
    <row r="2392" spans="7:7" x14ac:dyDescent="0.3">
      <c r="G2392" t="s">
        <v>1331</v>
      </c>
    </row>
    <row r="2393" spans="7:7" x14ac:dyDescent="0.3">
      <c r="G2393" t="s">
        <v>1332</v>
      </c>
    </row>
    <row r="2394" spans="7:7" x14ac:dyDescent="0.3">
      <c r="G2394" t="s">
        <v>1333</v>
      </c>
    </row>
    <row r="2395" spans="7:7" x14ac:dyDescent="0.3">
      <c r="G2395" t="s">
        <v>1334</v>
      </c>
    </row>
    <row r="2396" spans="7:7" x14ac:dyDescent="0.3">
      <c r="G2396" t="s">
        <v>448</v>
      </c>
    </row>
    <row r="2397" spans="7:7" x14ac:dyDescent="0.3">
      <c r="G2397" t="s">
        <v>393</v>
      </c>
    </row>
    <row r="2398" spans="7:7" x14ac:dyDescent="0.3">
      <c r="G2398" t="s">
        <v>463</v>
      </c>
    </row>
    <row r="2399" spans="7:7" x14ac:dyDescent="0.3">
      <c r="G2399" t="s">
        <v>464</v>
      </c>
    </row>
    <row r="2400" spans="7:7" x14ac:dyDescent="0.3">
      <c r="G2400" t="s">
        <v>1335</v>
      </c>
    </row>
    <row r="2401" spans="7:7" x14ac:dyDescent="0.3">
      <c r="G2401" t="s">
        <v>1336</v>
      </c>
    </row>
    <row r="2402" spans="7:7" x14ac:dyDescent="0.3">
      <c r="G2402" t="s">
        <v>1337</v>
      </c>
    </row>
    <row r="2403" spans="7:7" x14ac:dyDescent="0.3">
      <c r="G2403" t="s">
        <v>1338</v>
      </c>
    </row>
    <row r="2404" spans="7:7" x14ac:dyDescent="0.3">
      <c r="G2404" t="s">
        <v>1339</v>
      </c>
    </row>
    <row r="2405" spans="7:7" x14ac:dyDescent="0.3">
      <c r="G2405" t="s">
        <v>448</v>
      </c>
    </row>
    <row r="2406" spans="7:7" x14ac:dyDescent="0.3">
      <c r="G2406" t="s">
        <v>393</v>
      </c>
    </row>
    <row r="2407" spans="7:7" x14ac:dyDescent="0.3">
      <c r="G2407" t="s">
        <v>470</v>
      </c>
    </row>
    <row r="2408" spans="7:7" x14ac:dyDescent="0.3">
      <c r="G2408" t="s">
        <v>508</v>
      </c>
    </row>
    <row r="2409" spans="7:7" x14ac:dyDescent="0.3">
      <c r="G2409" t="s">
        <v>1340</v>
      </c>
    </row>
    <row r="2410" spans="7:7" x14ac:dyDescent="0.3">
      <c r="G2410" t="s">
        <v>473</v>
      </c>
    </row>
    <row r="2411" spans="7:7" x14ac:dyDescent="0.3">
      <c r="G2411" t="s">
        <v>474</v>
      </c>
    </row>
    <row r="2412" spans="7:7" x14ac:dyDescent="0.3">
      <c r="G2412" t="s">
        <v>504</v>
      </c>
    </row>
    <row r="2413" spans="7:7" x14ac:dyDescent="0.3">
      <c r="G2413" t="s">
        <v>1341</v>
      </c>
    </row>
    <row r="2414" spans="7:7" x14ac:dyDescent="0.3">
      <c r="G2414" t="s">
        <v>473</v>
      </c>
    </row>
    <row r="2415" spans="7:7" x14ac:dyDescent="0.3">
      <c r="G2415" t="s">
        <v>474</v>
      </c>
    </row>
    <row r="2416" spans="7:7" x14ac:dyDescent="0.3">
      <c r="G2416" t="s">
        <v>471</v>
      </c>
    </row>
    <row r="2417" spans="7:7" x14ac:dyDescent="0.3">
      <c r="G2417" t="s">
        <v>1342</v>
      </c>
    </row>
    <row r="2418" spans="7:7" x14ac:dyDescent="0.3">
      <c r="G2418" t="s">
        <v>473</v>
      </c>
    </row>
    <row r="2419" spans="7:7" x14ac:dyDescent="0.3">
      <c r="G2419" t="s">
        <v>474</v>
      </c>
    </row>
    <row r="2420" spans="7:7" x14ac:dyDescent="0.3">
      <c r="G2420" t="s">
        <v>481</v>
      </c>
    </row>
    <row r="2421" spans="7:7" x14ac:dyDescent="0.3">
      <c r="G2421" t="s">
        <v>1343</v>
      </c>
    </row>
    <row r="2422" spans="7:7" x14ac:dyDescent="0.3">
      <c r="G2422" t="s">
        <v>473</v>
      </c>
    </row>
    <row r="2423" spans="7:7" x14ac:dyDescent="0.3">
      <c r="G2423" t="s">
        <v>474</v>
      </c>
    </row>
    <row r="2424" spans="7:7" x14ac:dyDescent="0.3">
      <c r="G2424" t="s">
        <v>479</v>
      </c>
    </row>
    <row r="2425" spans="7:7" x14ac:dyDescent="0.3">
      <c r="G2425" t="s">
        <v>1344</v>
      </c>
    </row>
    <row r="2426" spans="7:7" x14ac:dyDescent="0.3">
      <c r="G2426" t="s">
        <v>473</v>
      </c>
    </row>
    <row r="2427" spans="7:7" x14ac:dyDescent="0.3">
      <c r="G2427" t="s">
        <v>448</v>
      </c>
    </row>
    <row r="2428" spans="7:7" x14ac:dyDescent="0.3">
      <c r="G2428" t="s">
        <v>409</v>
      </c>
    </row>
    <row r="2429" spans="7:7" x14ac:dyDescent="0.3">
      <c r="G2429" t="s">
        <v>177</v>
      </c>
    </row>
    <row r="2430" spans="7:7" x14ac:dyDescent="0.3">
      <c r="G2430" t="s">
        <v>436</v>
      </c>
    </row>
    <row r="2431" spans="7:7" x14ac:dyDescent="0.3">
      <c r="G2431" t="s">
        <v>437</v>
      </c>
    </row>
    <row r="2432" spans="7:7" x14ac:dyDescent="0.3">
      <c r="G2432" t="s">
        <v>438</v>
      </c>
    </row>
    <row r="2433" spans="7:7" x14ac:dyDescent="0.3">
      <c r="G2433" t="s">
        <v>439</v>
      </c>
    </row>
    <row r="2434" spans="7:7" x14ac:dyDescent="0.3">
      <c r="G2434" t="s">
        <v>1345</v>
      </c>
    </row>
    <row r="2435" spans="7:7" x14ac:dyDescent="0.3">
      <c r="G2435" t="s">
        <v>1346</v>
      </c>
    </row>
    <row r="2436" spans="7:7" x14ac:dyDescent="0.3">
      <c r="G2436" t="s">
        <v>441</v>
      </c>
    </row>
    <row r="2437" spans="7:7" x14ac:dyDescent="0.3">
      <c r="G2437" t="s">
        <v>443</v>
      </c>
    </row>
    <row r="2438" spans="7:7" x14ac:dyDescent="0.3">
      <c r="G2438" t="s">
        <v>483</v>
      </c>
    </row>
    <row r="2439" spans="7:7" x14ac:dyDescent="0.3">
      <c r="G2439" t="s">
        <v>486</v>
      </c>
    </row>
    <row r="2440" spans="7:7" x14ac:dyDescent="0.3">
      <c r="G2440" t="s">
        <v>1347</v>
      </c>
    </row>
    <row r="2441" spans="7:7" x14ac:dyDescent="0.3">
      <c r="G2441" t="s">
        <v>704</v>
      </c>
    </row>
    <row r="2442" spans="7:7" x14ac:dyDescent="0.3">
      <c r="G2442" t="s">
        <v>448</v>
      </c>
    </row>
    <row r="2443" spans="7:7" x14ac:dyDescent="0.3">
      <c r="G2443" t="s">
        <v>393</v>
      </c>
    </row>
    <row r="2444" spans="7:7" x14ac:dyDescent="0.3">
      <c r="G2444" t="s">
        <v>449</v>
      </c>
    </row>
    <row r="2445" spans="7:7" x14ac:dyDescent="0.3">
      <c r="G2445" t="s">
        <v>450</v>
      </c>
    </row>
    <row r="2446" spans="7:7" x14ac:dyDescent="0.3">
      <c r="G2446" t="s">
        <v>451</v>
      </c>
    </row>
    <row r="2447" spans="7:7" x14ac:dyDescent="0.3">
      <c r="G2447" t="s">
        <v>452</v>
      </c>
    </row>
    <row r="2448" spans="7:7" x14ac:dyDescent="0.3">
      <c r="G2448" t="s">
        <v>1348</v>
      </c>
    </row>
    <row r="2449" spans="7:7" x14ac:dyDescent="0.3">
      <c r="G2449" t="s">
        <v>1349</v>
      </c>
    </row>
    <row r="2450" spans="7:7" x14ac:dyDescent="0.3">
      <c r="G2450" t="s">
        <v>1350</v>
      </c>
    </row>
    <row r="2451" spans="7:7" x14ac:dyDescent="0.3">
      <c r="G2451" t="s">
        <v>1351</v>
      </c>
    </row>
    <row r="2452" spans="7:7" x14ac:dyDescent="0.3">
      <c r="G2452" t="s">
        <v>1352</v>
      </c>
    </row>
    <row r="2453" spans="7:7" x14ac:dyDescent="0.3">
      <c r="G2453" t="s">
        <v>1353</v>
      </c>
    </row>
    <row r="2454" spans="7:7" x14ac:dyDescent="0.3">
      <c r="G2454" t="s">
        <v>1354</v>
      </c>
    </row>
    <row r="2455" spans="7:7" x14ac:dyDescent="0.3">
      <c r="G2455" t="s">
        <v>1355</v>
      </c>
    </row>
    <row r="2456" spans="7:7" x14ac:dyDescent="0.3">
      <c r="G2456" t="s">
        <v>1356</v>
      </c>
    </row>
    <row r="2457" spans="7:7" x14ac:dyDescent="0.3">
      <c r="G2457" t="s">
        <v>1357</v>
      </c>
    </row>
    <row r="2458" spans="7:7" x14ac:dyDescent="0.3">
      <c r="G2458" t="s">
        <v>448</v>
      </c>
    </row>
    <row r="2459" spans="7:7" x14ac:dyDescent="0.3">
      <c r="G2459" t="s">
        <v>393</v>
      </c>
    </row>
    <row r="2460" spans="7:7" x14ac:dyDescent="0.3">
      <c r="G2460" t="s">
        <v>463</v>
      </c>
    </row>
    <row r="2461" spans="7:7" x14ac:dyDescent="0.3">
      <c r="G2461" t="s">
        <v>464</v>
      </c>
    </row>
    <row r="2462" spans="7:7" x14ac:dyDescent="0.3">
      <c r="G2462" t="s">
        <v>1358</v>
      </c>
    </row>
    <row r="2463" spans="7:7" x14ac:dyDescent="0.3">
      <c r="G2463" t="s">
        <v>1359</v>
      </c>
    </row>
    <row r="2464" spans="7:7" x14ac:dyDescent="0.3">
      <c r="G2464" t="s">
        <v>1360</v>
      </c>
    </row>
    <row r="2465" spans="7:7" x14ac:dyDescent="0.3">
      <c r="G2465" t="s">
        <v>1361</v>
      </c>
    </row>
    <row r="2466" spans="7:7" x14ac:dyDescent="0.3">
      <c r="G2466" t="s">
        <v>1362</v>
      </c>
    </row>
    <row r="2467" spans="7:7" x14ac:dyDescent="0.3">
      <c r="G2467" t="s">
        <v>448</v>
      </c>
    </row>
    <row r="2468" spans="7:7" x14ac:dyDescent="0.3">
      <c r="G2468" t="s">
        <v>393</v>
      </c>
    </row>
    <row r="2469" spans="7:7" x14ac:dyDescent="0.3">
      <c r="G2469" t="s">
        <v>470</v>
      </c>
    </row>
    <row r="2470" spans="7:7" x14ac:dyDescent="0.3">
      <c r="G2470" t="s">
        <v>721</v>
      </c>
    </row>
    <row r="2471" spans="7:7" x14ac:dyDescent="0.3">
      <c r="G2471" t="s">
        <v>1363</v>
      </c>
    </row>
    <row r="2472" spans="7:7" x14ac:dyDescent="0.3">
      <c r="G2472" t="s">
        <v>473</v>
      </c>
    </row>
    <row r="2473" spans="7:7" x14ac:dyDescent="0.3">
      <c r="G2473" t="s">
        <v>474</v>
      </c>
    </row>
    <row r="2474" spans="7:7" x14ac:dyDescent="0.3">
      <c r="G2474" t="s">
        <v>504</v>
      </c>
    </row>
    <row r="2475" spans="7:7" x14ac:dyDescent="0.3">
      <c r="G2475" t="s">
        <v>1364</v>
      </c>
    </row>
    <row r="2476" spans="7:7" x14ac:dyDescent="0.3">
      <c r="G2476" t="s">
        <v>473</v>
      </c>
    </row>
    <row r="2477" spans="7:7" x14ac:dyDescent="0.3">
      <c r="G2477" t="s">
        <v>474</v>
      </c>
    </row>
    <row r="2478" spans="7:7" x14ac:dyDescent="0.3">
      <c r="G2478" t="s">
        <v>508</v>
      </c>
    </row>
    <row r="2479" spans="7:7" x14ac:dyDescent="0.3">
      <c r="G2479" t="s">
        <v>1365</v>
      </c>
    </row>
    <row r="2480" spans="7:7" x14ac:dyDescent="0.3">
      <c r="G2480" t="s">
        <v>473</v>
      </c>
    </row>
    <row r="2481" spans="7:7" x14ac:dyDescent="0.3">
      <c r="G2481" t="s">
        <v>474</v>
      </c>
    </row>
    <row r="2482" spans="7:7" x14ac:dyDescent="0.3">
      <c r="G2482" t="s">
        <v>481</v>
      </c>
    </row>
    <row r="2483" spans="7:7" x14ac:dyDescent="0.3">
      <c r="G2483" t="s">
        <v>1366</v>
      </c>
    </row>
    <row r="2484" spans="7:7" x14ac:dyDescent="0.3">
      <c r="G2484" t="s">
        <v>473</v>
      </c>
    </row>
    <row r="2485" spans="7:7" x14ac:dyDescent="0.3">
      <c r="G2485" t="s">
        <v>474</v>
      </c>
    </row>
    <row r="2486" spans="7:7" x14ac:dyDescent="0.3">
      <c r="G2486" t="s">
        <v>479</v>
      </c>
    </row>
    <row r="2487" spans="7:7" x14ac:dyDescent="0.3">
      <c r="G2487" t="s">
        <v>1367</v>
      </c>
    </row>
    <row r="2488" spans="7:7" x14ac:dyDescent="0.3">
      <c r="G2488" t="s">
        <v>473</v>
      </c>
    </row>
    <row r="2489" spans="7:7" x14ac:dyDescent="0.3">
      <c r="G2489" t="s">
        <v>448</v>
      </c>
    </row>
    <row r="2490" spans="7:7" x14ac:dyDescent="0.3">
      <c r="G2490" t="s">
        <v>409</v>
      </c>
    </row>
    <row r="2491" spans="7:7" x14ac:dyDescent="0.3">
      <c r="G2491" t="s">
        <v>177</v>
      </c>
    </row>
    <row r="2492" spans="7:7" x14ac:dyDescent="0.3">
      <c r="G2492" t="s">
        <v>436</v>
      </c>
    </row>
    <row r="2493" spans="7:7" x14ac:dyDescent="0.3">
      <c r="G2493" t="s">
        <v>437</v>
      </c>
    </row>
    <row r="2494" spans="7:7" x14ac:dyDescent="0.3">
      <c r="G2494" t="s">
        <v>438</v>
      </c>
    </row>
    <row r="2495" spans="7:7" x14ac:dyDescent="0.3">
      <c r="G2495" t="s">
        <v>439</v>
      </c>
    </row>
    <row r="2496" spans="7:7" x14ac:dyDescent="0.3">
      <c r="G2496" t="s">
        <v>440</v>
      </c>
    </row>
    <row r="2497" spans="7:7" x14ac:dyDescent="0.3">
      <c r="G2497" t="s">
        <v>678</v>
      </c>
    </row>
    <row r="2498" spans="7:7" x14ac:dyDescent="0.3">
      <c r="G2498" t="s">
        <v>441</v>
      </c>
    </row>
    <row r="2499" spans="7:7" x14ac:dyDescent="0.3">
      <c r="G2499" t="s">
        <v>443</v>
      </c>
    </row>
    <row r="2500" spans="7:7" x14ac:dyDescent="0.3">
      <c r="G2500" t="s">
        <v>483</v>
      </c>
    </row>
    <row r="2501" spans="7:7" x14ac:dyDescent="0.3">
      <c r="G2501" t="s">
        <v>1368</v>
      </c>
    </row>
    <row r="2502" spans="7:7" x14ac:dyDescent="0.3">
      <c r="G2502" t="s">
        <v>703</v>
      </c>
    </row>
    <row r="2503" spans="7:7" x14ac:dyDescent="0.3">
      <c r="G2503" t="s">
        <v>1369</v>
      </c>
    </row>
    <row r="2504" spans="7:7" x14ac:dyDescent="0.3">
      <c r="G2504" t="s">
        <v>448</v>
      </c>
    </row>
    <row r="2505" spans="7:7" x14ac:dyDescent="0.3">
      <c r="G2505" t="s">
        <v>393</v>
      </c>
    </row>
    <row r="2506" spans="7:7" x14ac:dyDescent="0.3">
      <c r="G2506" t="s">
        <v>449</v>
      </c>
    </row>
    <row r="2507" spans="7:7" x14ac:dyDescent="0.3">
      <c r="G2507" t="s">
        <v>488</v>
      </c>
    </row>
    <row r="2508" spans="7:7" x14ac:dyDescent="0.3">
      <c r="G2508" t="s">
        <v>451</v>
      </c>
    </row>
    <row r="2509" spans="7:7" x14ac:dyDescent="0.3">
      <c r="G2509" t="s">
        <v>452</v>
      </c>
    </row>
    <row r="2510" spans="7:7" x14ac:dyDescent="0.3">
      <c r="G2510" t="s">
        <v>1370</v>
      </c>
    </row>
    <row r="2511" spans="7:7" x14ac:dyDescent="0.3">
      <c r="G2511" t="s">
        <v>1371</v>
      </c>
    </row>
    <row r="2512" spans="7:7" x14ac:dyDescent="0.3">
      <c r="G2512" t="s">
        <v>1372</v>
      </c>
    </row>
    <row r="2513" spans="7:7" x14ac:dyDescent="0.3">
      <c r="G2513" t="s">
        <v>1373</v>
      </c>
    </row>
    <row r="2514" spans="7:7" x14ac:dyDescent="0.3">
      <c r="G2514" t="s">
        <v>1374</v>
      </c>
    </row>
    <row r="2515" spans="7:7" x14ac:dyDescent="0.3">
      <c r="G2515" t="s">
        <v>1375</v>
      </c>
    </row>
    <row r="2516" spans="7:7" x14ac:dyDescent="0.3">
      <c r="G2516" t="s">
        <v>1376</v>
      </c>
    </row>
    <row r="2517" spans="7:7" x14ac:dyDescent="0.3">
      <c r="G2517" t="s">
        <v>1377</v>
      </c>
    </row>
    <row r="2518" spans="7:7" x14ac:dyDescent="0.3">
      <c r="G2518" t="s">
        <v>1378</v>
      </c>
    </row>
    <row r="2519" spans="7:7" x14ac:dyDescent="0.3">
      <c r="G2519" t="s">
        <v>1379</v>
      </c>
    </row>
    <row r="2520" spans="7:7" x14ac:dyDescent="0.3">
      <c r="G2520" t="s">
        <v>448</v>
      </c>
    </row>
    <row r="2521" spans="7:7" x14ac:dyDescent="0.3">
      <c r="G2521" t="s">
        <v>393</v>
      </c>
    </row>
    <row r="2522" spans="7:7" x14ac:dyDescent="0.3">
      <c r="G2522" t="s">
        <v>463</v>
      </c>
    </row>
    <row r="2523" spans="7:7" x14ac:dyDescent="0.3">
      <c r="G2523" t="s">
        <v>464</v>
      </c>
    </row>
    <row r="2524" spans="7:7" x14ac:dyDescent="0.3">
      <c r="G2524" t="s">
        <v>1380</v>
      </c>
    </row>
    <row r="2525" spans="7:7" x14ac:dyDescent="0.3">
      <c r="G2525" t="s">
        <v>1381</v>
      </c>
    </row>
    <row r="2526" spans="7:7" x14ac:dyDescent="0.3">
      <c r="G2526" t="s">
        <v>1382</v>
      </c>
    </row>
    <row r="2527" spans="7:7" x14ac:dyDescent="0.3">
      <c r="G2527" t="s">
        <v>1383</v>
      </c>
    </row>
    <row r="2528" spans="7:7" x14ac:dyDescent="0.3">
      <c r="G2528" t="s">
        <v>1384</v>
      </c>
    </row>
    <row r="2529" spans="7:7" x14ac:dyDescent="0.3">
      <c r="G2529" t="s">
        <v>448</v>
      </c>
    </row>
    <row r="2530" spans="7:7" x14ac:dyDescent="0.3">
      <c r="G2530" t="s">
        <v>393</v>
      </c>
    </row>
    <row r="2531" spans="7:7" x14ac:dyDescent="0.3">
      <c r="G2531" t="s">
        <v>470</v>
      </c>
    </row>
    <row r="2532" spans="7:7" x14ac:dyDescent="0.3">
      <c r="G2532" t="s">
        <v>671</v>
      </c>
    </row>
    <row r="2533" spans="7:7" x14ac:dyDescent="0.3">
      <c r="G2533" t="s">
        <v>1385</v>
      </c>
    </row>
    <row r="2534" spans="7:7" x14ac:dyDescent="0.3">
      <c r="G2534" t="s">
        <v>473</v>
      </c>
    </row>
    <row r="2535" spans="7:7" x14ac:dyDescent="0.3">
      <c r="G2535" t="s">
        <v>474</v>
      </c>
    </row>
    <row r="2536" spans="7:7" x14ac:dyDescent="0.3">
      <c r="G2536" t="s">
        <v>481</v>
      </c>
    </row>
    <row r="2537" spans="7:7" x14ac:dyDescent="0.3">
      <c r="G2537" t="s">
        <v>1386</v>
      </c>
    </row>
    <row r="2538" spans="7:7" x14ac:dyDescent="0.3">
      <c r="G2538" t="s">
        <v>473</v>
      </c>
    </row>
    <row r="2539" spans="7:7" x14ac:dyDescent="0.3">
      <c r="G2539" t="s">
        <v>474</v>
      </c>
    </row>
    <row r="2540" spans="7:7" x14ac:dyDescent="0.3">
      <c r="G2540" t="s">
        <v>471</v>
      </c>
    </row>
    <row r="2541" spans="7:7" x14ac:dyDescent="0.3">
      <c r="G2541" t="s">
        <v>1387</v>
      </c>
    </row>
    <row r="2542" spans="7:7" x14ac:dyDescent="0.3">
      <c r="G2542" t="s">
        <v>473</v>
      </c>
    </row>
    <row r="2543" spans="7:7" x14ac:dyDescent="0.3">
      <c r="G2543" t="s">
        <v>474</v>
      </c>
    </row>
    <row r="2544" spans="7:7" x14ac:dyDescent="0.3">
      <c r="G2544" t="s">
        <v>508</v>
      </c>
    </row>
    <row r="2545" spans="7:7" x14ac:dyDescent="0.3">
      <c r="G2545" t="s">
        <v>1388</v>
      </c>
    </row>
    <row r="2546" spans="7:7" x14ac:dyDescent="0.3">
      <c r="G2546" t="s">
        <v>473</v>
      </c>
    </row>
    <row r="2547" spans="7:7" x14ac:dyDescent="0.3">
      <c r="G2547" t="s">
        <v>474</v>
      </c>
    </row>
    <row r="2548" spans="7:7" x14ac:dyDescent="0.3">
      <c r="G2548" t="s">
        <v>479</v>
      </c>
    </row>
    <row r="2549" spans="7:7" x14ac:dyDescent="0.3">
      <c r="G2549" t="s">
        <v>1389</v>
      </c>
    </row>
    <row r="2550" spans="7:7" x14ac:dyDescent="0.3">
      <c r="G2550" t="s">
        <v>473</v>
      </c>
    </row>
    <row r="2551" spans="7:7" x14ac:dyDescent="0.3">
      <c r="G2551" t="s">
        <v>448</v>
      </c>
    </row>
    <row r="2552" spans="7:7" x14ac:dyDescent="0.3">
      <c r="G2552" t="s">
        <v>409</v>
      </c>
    </row>
    <row r="2553" spans="7:7" x14ac:dyDescent="0.3">
      <c r="G2553" t="s">
        <v>177</v>
      </c>
    </row>
    <row r="2554" spans="7:7" x14ac:dyDescent="0.3">
      <c r="G2554" t="s">
        <v>436</v>
      </c>
    </row>
    <row r="2555" spans="7:7" x14ac:dyDescent="0.3">
      <c r="G2555" t="s">
        <v>437</v>
      </c>
    </row>
    <row r="2556" spans="7:7" x14ac:dyDescent="0.3">
      <c r="G2556" t="s">
        <v>438</v>
      </c>
    </row>
    <row r="2557" spans="7:7" x14ac:dyDescent="0.3">
      <c r="G2557" t="s">
        <v>439</v>
      </c>
    </row>
    <row r="2558" spans="7:7" x14ac:dyDescent="0.3">
      <c r="G2558" t="s">
        <v>440</v>
      </c>
    </row>
    <row r="2559" spans="7:7" x14ac:dyDescent="0.3">
      <c r="G2559" t="s">
        <v>441</v>
      </c>
    </row>
    <row r="2560" spans="7:7" x14ac:dyDescent="0.3">
      <c r="G2560" t="s">
        <v>443</v>
      </c>
    </row>
    <row r="2561" spans="7:7" x14ac:dyDescent="0.3">
      <c r="G2561" t="s">
        <v>444</v>
      </c>
    </row>
    <row r="2562" spans="7:7" x14ac:dyDescent="0.3">
      <c r="G2562" t="s">
        <v>445</v>
      </c>
    </row>
    <row r="2563" spans="7:7" x14ac:dyDescent="0.3">
      <c r="G2563" t="s">
        <v>1390</v>
      </c>
    </row>
    <row r="2564" spans="7:7" x14ac:dyDescent="0.3">
      <c r="G2564" t="s">
        <v>1391</v>
      </c>
    </row>
    <row r="2565" spans="7:7" x14ac:dyDescent="0.3">
      <c r="G2565" t="s">
        <v>1392</v>
      </c>
    </row>
    <row r="2566" spans="7:7" x14ac:dyDescent="0.3">
      <c r="G2566" t="s">
        <v>448</v>
      </c>
    </row>
    <row r="2567" spans="7:7" x14ac:dyDescent="0.3">
      <c r="G2567" t="s">
        <v>393</v>
      </c>
    </row>
    <row r="2568" spans="7:7" x14ac:dyDescent="0.3">
      <c r="G2568" t="s">
        <v>449</v>
      </c>
    </row>
    <row r="2569" spans="7:7" x14ac:dyDescent="0.3">
      <c r="G2569" t="s">
        <v>488</v>
      </c>
    </row>
    <row r="2570" spans="7:7" x14ac:dyDescent="0.3">
      <c r="G2570" t="s">
        <v>451</v>
      </c>
    </row>
    <row r="2571" spans="7:7" x14ac:dyDescent="0.3">
      <c r="G2571" t="s">
        <v>452</v>
      </c>
    </row>
    <row r="2572" spans="7:7" x14ac:dyDescent="0.3">
      <c r="G2572" t="s">
        <v>1393</v>
      </c>
    </row>
    <row r="2573" spans="7:7" x14ac:dyDescent="0.3">
      <c r="G2573" t="s">
        <v>1394</v>
      </c>
    </row>
    <row r="2574" spans="7:7" x14ac:dyDescent="0.3">
      <c r="G2574" t="s">
        <v>1395</v>
      </c>
    </row>
    <row r="2575" spans="7:7" x14ac:dyDescent="0.3">
      <c r="G2575" t="s">
        <v>1396</v>
      </c>
    </row>
    <row r="2576" spans="7:7" x14ac:dyDescent="0.3">
      <c r="G2576" t="s">
        <v>1397</v>
      </c>
    </row>
    <row r="2577" spans="7:7" x14ac:dyDescent="0.3">
      <c r="G2577" t="s">
        <v>1398</v>
      </c>
    </row>
    <row r="2578" spans="7:7" x14ac:dyDescent="0.3">
      <c r="G2578" t="s">
        <v>1399</v>
      </c>
    </row>
    <row r="2579" spans="7:7" x14ac:dyDescent="0.3">
      <c r="G2579" t="s">
        <v>1400</v>
      </c>
    </row>
    <row r="2580" spans="7:7" x14ac:dyDescent="0.3">
      <c r="G2580" t="s">
        <v>1401</v>
      </c>
    </row>
    <row r="2581" spans="7:7" x14ac:dyDescent="0.3">
      <c r="G2581" t="s">
        <v>1402</v>
      </c>
    </row>
    <row r="2582" spans="7:7" x14ac:dyDescent="0.3">
      <c r="G2582" t="s">
        <v>448</v>
      </c>
    </row>
    <row r="2583" spans="7:7" x14ac:dyDescent="0.3">
      <c r="G2583" t="s">
        <v>393</v>
      </c>
    </row>
    <row r="2584" spans="7:7" x14ac:dyDescent="0.3">
      <c r="G2584" t="s">
        <v>463</v>
      </c>
    </row>
    <row r="2585" spans="7:7" x14ac:dyDescent="0.3">
      <c r="G2585" t="s">
        <v>464</v>
      </c>
    </row>
    <row r="2586" spans="7:7" x14ac:dyDescent="0.3">
      <c r="G2586" t="s">
        <v>1403</v>
      </c>
    </row>
    <row r="2587" spans="7:7" x14ac:dyDescent="0.3">
      <c r="G2587" t="s">
        <v>1404</v>
      </c>
    </row>
    <row r="2588" spans="7:7" x14ac:dyDescent="0.3">
      <c r="G2588" t="s">
        <v>1405</v>
      </c>
    </row>
    <row r="2589" spans="7:7" x14ac:dyDescent="0.3">
      <c r="G2589" t="s">
        <v>1406</v>
      </c>
    </row>
    <row r="2590" spans="7:7" x14ac:dyDescent="0.3">
      <c r="G2590" t="s">
        <v>1407</v>
      </c>
    </row>
    <row r="2591" spans="7:7" x14ac:dyDescent="0.3">
      <c r="G2591" t="s">
        <v>448</v>
      </c>
    </row>
    <row r="2592" spans="7:7" x14ac:dyDescent="0.3">
      <c r="G2592" t="s">
        <v>393</v>
      </c>
    </row>
    <row r="2593" spans="7:7" x14ac:dyDescent="0.3">
      <c r="G2593" t="s">
        <v>470</v>
      </c>
    </row>
    <row r="2594" spans="7:7" x14ac:dyDescent="0.3">
      <c r="G2594" t="s">
        <v>471</v>
      </c>
    </row>
    <row r="2595" spans="7:7" x14ac:dyDescent="0.3">
      <c r="G2595" t="s">
        <v>1408</v>
      </c>
    </row>
    <row r="2596" spans="7:7" x14ac:dyDescent="0.3">
      <c r="G2596" t="s">
        <v>473</v>
      </c>
    </row>
    <row r="2597" spans="7:7" x14ac:dyDescent="0.3">
      <c r="G2597" t="s">
        <v>474</v>
      </c>
    </row>
    <row r="2598" spans="7:7" x14ac:dyDescent="0.3">
      <c r="G2598" t="s">
        <v>475</v>
      </c>
    </row>
    <row r="2599" spans="7:7" x14ac:dyDescent="0.3">
      <c r="G2599" t="s">
        <v>1409</v>
      </c>
    </row>
    <row r="2600" spans="7:7" x14ac:dyDescent="0.3">
      <c r="G2600" t="s">
        <v>473</v>
      </c>
    </row>
    <row r="2601" spans="7:7" x14ac:dyDescent="0.3">
      <c r="G2601" t="s">
        <v>474</v>
      </c>
    </row>
    <row r="2602" spans="7:7" x14ac:dyDescent="0.3">
      <c r="G2602" t="s">
        <v>477</v>
      </c>
    </row>
    <row r="2603" spans="7:7" x14ac:dyDescent="0.3">
      <c r="G2603" t="s">
        <v>1410</v>
      </c>
    </row>
    <row r="2604" spans="7:7" x14ac:dyDescent="0.3">
      <c r="G2604" t="s">
        <v>473</v>
      </c>
    </row>
    <row r="2605" spans="7:7" x14ac:dyDescent="0.3">
      <c r="G2605" t="s">
        <v>474</v>
      </c>
    </row>
    <row r="2606" spans="7:7" x14ac:dyDescent="0.3">
      <c r="G2606" t="s">
        <v>481</v>
      </c>
    </row>
    <row r="2607" spans="7:7" x14ac:dyDescent="0.3">
      <c r="G2607" t="s">
        <v>1411</v>
      </c>
    </row>
    <row r="2608" spans="7:7" x14ac:dyDescent="0.3">
      <c r="G2608" t="s">
        <v>473</v>
      </c>
    </row>
    <row r="2609" spans="7:7" x14ac:dyDescent="0.3">
      <c r="G2609" t="s">
        <v>474</v>
      </c>
    </row>
    <row r="2610" spans="7:7" x14ac:dyDescent="0.3">
      <c r="G2610" t="s">
        <v>479</v>
      </c>
    </row>
    <row r="2611" spans="7:7" x14ac:dyDescent="0.3">
      <c r="G2611" t="s">
        <v>1412</v>
      </c>
    </row>
    <row r="2612" spans="7:7" x14ac:dyDescent="0.3">
      <c r="G2612" t="s">
        <v>473</v>
      </c>
    </row>
    <row r="2613" spans="7:7" x14ac:dyDescent="0.3">
      <c r="G2613" t="s">
        <v>448</v>
      </c>
    </row>
    <row r="2614" spans="7:7" x14ac:dyDescent="0.3">
      <c r="G2614" t="s">
        <v>409</v>
      </c>
    </row>
    <row r="2615" spans="7:7" x14ac:dyDescent="0.3">
      <c r="G2615" t="s">
        <v>177</v>
      </c>
    </row>
    <row r="2616" spans="7:7" x14ac:dyDescent="0.3">
      <c r="G2616" t="s">
        <v>436</v>
      </c>
    </row>
    <row r="2617" spans="7:7" x14ac:dyDescent="0.3">
      <c r="G2617" t="s">
        <v>437</v>
      </c>
    </row>
    <row r="2618" spans="7:7" x14ac:dyDescent="0.3">
      <c r="G2618" t="s">
        <v>438</v>
      </c>
    </row>
    <row r="2619" spans="7:7" x14ac:dyDescent="0.3">
      <c r="G2619" t="s">
        <v>439</v>
      </c>
    </row>
    <row r="2620" spans="7:7" x14ac:dyDescent="0.3">
      <c r="G2620" t="s">
        <v>1413</v>
      </c>
    </row>
    <row r="2621" spans="7:7" x14ac:dyDescent="0.3">
      <c r="G2621" t="s">
        <v>1414</v>
      </c>
    </row>
    <row r="2622" spans="7:7" x14ac:dyDescent="0.3">
      <c r="G2622" t="s">
        <v>441</v>
      </c>
    </row>
    <row r="2623" spans="7:7" x14ac:dyDescent="0.3">
      <c r="G2623" t="s">
        <v>443</v>
      </c>
    </row>
    <row r="2624" spans="7:7" x14ac:dyDescent="0.3">
      <c r="G2624" t="s">
        <v>483</v>
      </c>
    </row>
    <row r="2625" spans="7:7" x14ac:dyDescent="0.3">
      <c r="G2625" t="s">
        <v>486</v>
      </c>
    </row>
    <row r="2626" spans="7:7" x14ac:dyDescent="0.3">
      <c r="G2626" t="s">
        <v>1415</v>
      </c>
    </row>
    <row r="2627" spans="7:7" x14ac:dyDescent="0.3">
      <c r="G2627" t="s">
        <v>704</v>
      </c>
    </row>
    <row r="2628" spans="7:7" x14ac:dyDescent="0.3">
      <c r="G2628" t="s">
        <v>448</v>
      </c>
    </row>
    <row r="2629" spans="7:7" x14ac:dyDescent="0.3">
      <c r="G2629" t="s">
        <v>393</v>
      </c>
    </row>
    <row r="2630" spans="7:7" x14ac:dyDescent="0.3">
      <c r="G2630" t="s">
        <v>449</v>
      </c>
    </row>
    <row r="2631" spans="7:7" x14ac:dyDescent="0.3">
      <c r="G2631" t="s">
        <v>450</v>
      </c>
    </row>
    <row r="2632" spans="7:7" x14ac:dyDescent="0.3">
      <c r="G2632" t="s">
        <v>451</v>
      </c>
    </row>
    <row r="2633" spans="7:7" x14ac:dyDescent="0.3">
      <c r="G2633" t="s">
        <v>452</v>
      </c>
    </row>
    <row r="2634" spans="7:7" x14ac:dyDescent="0.3">
      <c r="G2634" t="s">
        <v>1416</v>
      </c>
    </row>
    <row r="2635" spans="7:7" x14ac:dyDescent="0.3">
      <c r="G2635" t="s">
        <v>1417</v>
      </c>
    </row>
    <row r="2636" spans="7:7" x14ac:dyDescent="0.3">
      <c r="G2636" t="s">
        <v>1418</v>
      </c>
    </row>
    <row r="2637" spans="7:7" x14ac:dyDescent="0.3">
      <c r="G2637" t="s">
        <v>1419</v>
      </c>
    </row>
    <row r="2638" spans="7:7" x14ac:dyDescent="0.3">
      <c r="G2638" t="s">
        <v>1420</v>
      </c>
    </row>
    <row r="2639" spans="7:7" x14ac:dyDescent="0.3">
      <c r="G2639" t="s">
        <v>1421</v>
      </c>
    </row>
    <row r="2640" spans="7:7" x14ac:dyDescent="0.3">
      <c r="G2640" t="s">
        <v>1422</v>
      </c>
    </row>
    <row r="2641" spans="7:7" x14ac:dyDescent="0.3">
      <c r="G2641" t="s">
        <v>1423</v>
      </c>
    </row>
    <row r="2642" spans="7:7" x14ac:dyDescent="0.3">
      <c r="G2642" t="s">
        <v>1424</v>
      </c>
    </row>
    <row r="2643" spans="7:7" x14ac:dyDescent="0.3">
      <c r="G2643" t="s">
        <v>1425</v>
      </c>
    </row>
    <row r="2644" spans="7:7" x14ac:dyDescent="0.3">
      <c r="G2644" t="s">
        <v>448</v>
      </c>
    </row>
    <row r="2645" spans="7:7" x14ac:dyDescent="0.3">
      <c r="G2645" t="s">
        <v>393</v>
      </c>
    </row>
    <row r="2646" spans="7:7" x14ac:dyDescent="0.3">
      <c r="G2646" t="s">
        <v>463</v>
      </c>
    </row>
    <row r="2647" spans="7:7" x14ac:dyDescent="0.3">
      <c r="G2647" t="s">
        <v>464</v>
      </c>
    </row>
    <row r="2648" spans="7:7" x14ac:dyDescent="0.3">
      <c r="G2648" t="s">
        <v>1426</v>
      </c>
    </row>
    <row r="2649" spans="7:7" x14ac:dyDescent="0.3">
      <c r="G2649" t="s">
        <v>1427</v>
      </c>
    </row>
    <row r="2650" spans="7:7" x14ac:dyDescent="0.3">
      <c r="G2650" t="s">
        <v>1428</v>
      </c>
    </row>
    <row r="2651" spans="7:7" x14ac:dyDescent="0.3">
      <c r="G2651" t="s">
        <v>1429</v>
      </c>
    </row>
    <row r="2652" spans="7:7" x14ac:dyDescent="0.3">
      <c r="G2652" t="s">
        <v>1430</v>
      </c>
    </row>
    <row r="2653" spans="7:7" x14ac:dyDescent="0.3">
      <c r="G2653" t="s">
        <v>448</v>
      </c>
    </row>
    <row r="2654" spans="7:7" x14ac:dyDescent="0.3">
      <c r="G2654" t="s">
        <v>393</v>
      </c>
    </row>
    <row r="2655" spans="7:7" x14ac:dyDescent="0.3">
      <c r="G2655" t="s">
        <v>470</v>
      </c>
    </row>
    <row r="2656" spans="7:7" x14ac:dyDescent="0.3">
      <c r="G2656" t="s">
        <v>504</v>
      </c>
    </row>
    <row r="2657" spans="7:7" x14ac:dyDescent="0.3">
      <c r="G2657" t="s">
        <v>1431</v>
      </c>
    </row>
    <row r="2658" spans="7:7" x14ac:dyDescent="0.3">
      <c r="G2658" t="s">
        <v>473</v>
      </c>
    </row>
    <row r="2659" spans="7:7" x14ac:dyDescent="0.3">
      <c r="G2659" t="s">
        <v>474</v>
      </c>
    </row>
    <row r="2660" spans="7:7" x14ac:dyDescent="0.3">
      <c r="G2660" t="s">
        <v>721</v>
      </c>
    </row>
    <row r="2661" spans="7:7" x14ac:dyDescent="0.3">
      <c r="G2661" t="s">
        <v>1432</v>
      </c>
    </row>
    <row r="2662" spans="7:7" x14ac:dyDescent="0.3">
      <c r="G2662" t="s">
        <v>473</v>
      </c>
    </row>
    <row r="2663" spans="7:7" x14ac:dyDescent="0.3">
      <c r="G2663" t="s">
        <v>474</v>
      </c>
    </row>
    <row r="2664" spans="7:7" x14ac:dyDescent="0.3">
      <c r="G2664" t="s">
        <v>508</v>
      </c>
    </row>
    <row r="2665" spans="7:7" x14ac:dyDescent="0.3">
      <c r="G2665" t="s">
        <v>1433</v>
      </c>
    </row>
    <row r="2666" spans="7:7" x14ac:dyDescent="0.3">
      <c r="G2666" t="s">
        <v>473</v>
      </c>
    </row>
    <row r="2667" spans="7:7" x14ac:dyDescent="0.3">
      <c r="G2667" t="s">
        <v>474</v>
      </c>
    </row>
    <row r="2668" spans="7:7" x14ac:dyDescent="0.3">
      <c r="G2668" t="s">
        <v>481</v>
      </c>
    </row>
    <row r="2669" spans="7:7" x14ac:dyDescent="0.3">
      <c r="G2669" t="s">
        <v>1434</v>
      </c>
    </row>
    <row r="2670" spans="7:7" x14ac:dyDescent="0.3">
      <c r="G2670" t="s">
        <v>473</v>
      </c>
    </row>
    <row r="2671" spans="7:7" x14ac:dyDescent="0.3">
      <c r="G2671" t="s">
        <v>474</v>
      </c>
    </row>
    <row r="2672" spans="7:7" x14ac:dyDescent="0.3">
      <c r="G2672" t="s">
        <v>479</v>
      </c>
    </row>
    <row r="2673" spans="7:7" x14ac:dyDescent="0.3">
      <c r="G2673" t="s">
        <v>1435</v>
      </c>
    </row>
    <row r="2674" spans="7:7" x14ac:dyDescent="0.3">
      <c r="G2674" t="s">
        <v>473</v>
      </c>
    </row>
    <row r="2675" spans="7:7" x14ac:dyDescent="0.3">
      <c r="G2675" t="s">
        <v>448</v>
      </c>
    </row>
    <row r="2676" spans="7:7" x14ac:dyDescent="0.3">
      <c r="G2676" t="s">
        <v>409</v>
      </c>
    </row>
    <row r="2677" spans="7:7" x14ac:dyDescent="0.3">
      <c r="G2677" t="s">
        <v>177</v>
      </c>
    </row>
    <row r="2678" spans="7:7" x14ac:dyDescent="0.3">
      <c r="G2678" t="s">
        <v>436</v>
      </c>
    </row>
    <row r="2679" spans="7:7" x14ac:dyDescent="0.3">
      <c r="G2679" t="s">
        <v>437</v>
      </c>
    </row>
    <row r="2680" spans="7:7" x14ac:dyDescent="0.3">
      <c r="G2680" t="s">
        <v>438</v>
      </c>
    </row>
    <row r="2681" spans="7:7" x14ac:dyDescent="0.3">
      <c r="G2681" t="s">
        <v>439</v>
      </c>
    </row>
    <row r="2682" spans="7:7" x14ac:dyDescent="0.3">
      <c r="G2682" t="s">
        <v>440</v>
      </c>
    </row>
    <row r="2683" spans="7:7" x14ac:dyDescent="0.3">
      <c r="G2683" t="s">
        <v>1436</v>
      </c>
    </row>
    <row r="2684" spans="7:7" x14ac:dyDescent="0.3">
      <c r="G2684" t="s">
        <v>441</v>
      </c>
    </row>
    <row r="2685" spans="7:7" x14ac:dyDescent="0.3">
      <c r="G2685" t="s">
        <v>443</v>
      </c>
    </row>
    <row r="2686" spans="7:7" x14ac:dyDescent="0.3">
      <c r="G2686" t="s">
        <v>483</v>
      </c>
    </row>
    <row r="2687" spans="7:7" x14ac:dyDescent="0.3">
      <c r="G2687" t="s">
        <v>445</v>
      </c>
    </row>
    <row r="2688" spans="7:7" x14ac:dyDescent="0.3">
      <c r="G2688" t="s">
        <v>1437</v>
      </c>
    </row>
    <row r="2689" spans="7:7" x14ac:dyDescent="0.3">
      <c r="G2689" t="s">
        <v>1438</v>
      </c>
    </row>
    <row r="2690" spans="7:7" x14ac:dyDescent="0.3">
      <c r="G2690" t="s">
        <v>448</v>
      </c>
    </row>
    <row r="2691" spans="7:7" x14ac:dyDescent="0.3">
      <c r="G2691" t="s">
        <v>393</v>
      </c>
    </row>
    <row r="2692" spans="7:7" x14ac:dyDescent="0.3">
      <c r="G2692" t="s">
        <v>449</v>
      </c>
    </row>
    <row r="2693" spans="7:7" x14ac:dyDescent="0.3">
      <c r="G2693" t="s">
        <v>820</v>
      </c>
    </row>
    <row r="2694" spans="7:7" x14ac:dyDescent="0.3">
      <c r="G2694" t="s">
        <v>451</v>
      </c>
    </row>
    <row r="2695" spans="7:7" x14ac:dyDescent="0.3">
      <c r="G2695" t="s">
        <v>452</v>
      </c>
    </row>
    <row r="2696" spans="7:7" x14ac:dyDescent="0.3">
      <c r="G2696" t="s">
        <v>1439</v>
      </c>
    </row>
    <row r="2697" spans="7:7" x14ac:dyDescent="0.3">
      <c r="G2697" t="s">
        <v>1440</v>
      </c>
    </row>
    <row r="2698" spans="7:7" x14ac:dyDescent="0.3">
      <c r="G2698" t="s">
        <v>1441</v>
      </c>
    </row>
    <row r="2699" spans="7:7" x14ac:dyDescent="0.3">
      <c r="G2699" t="s">
        <v>1442</v>
      </c>
    </row>
    <row r="2700" spans="7:7" x14ac:dyDescent="0.3">
      <c r="G2700" t="s">
        <v>1443</v>
      </c>
    </row>
    <row r="2701" spans="7:7" x14ac:dyDescent="0.3">
      <c r="G2701" t="s">
        <v>1444</v>
      </c>
    </row>
    <row r="2702" spans="7:7" x14ac:dyDescent="0.3">
      <c r="G2702" t="s">
        <v>1445</v>
      </c>
    </row>
    <row r="2703" spans="7:7" x14ac:dyDescent="0.3">
      <c r="G2703" t="s">
        <v>1446</v>
      </c>
    </row>
    <row r="2704" spans="7:7" x14ac:dyDescent="0.3">
      <c r="G2704" t="s">
        <v>1447</v>
      </c>
    </row>
    <row r="2705" spans="7:7" x14ac:dyDescent="0.3">
      <c r="G2705" t="s">
        <v>1448</v>
      </c>
    </row>
    <row r="2706" spans="7:7" x14ac:dyDescent="0.3">
      <c r="G2706" t="s">
        <v>448</v>
      </c>
    </row>
    <row r="2707" spans="7:7" x14ac:dyDescent="0.3">
      <c r="G2707" t="s">
        <v>393</v>
      </c>
    </row>
    <row r="2708" spans="7:7" x14ac:dyDescent="0.3">
      <c r="G2708" t="s">
        <v>463</v>
      </c>
    </row>
    <row r="2709" spans="7:7" x14ac:dyDescent="0.3">
      <c r="G2709" t="s">
        <v>464</v>
      </c>
    </row>
    <row r="2710" spans="7:7" x14ac:dyDescent="0.3">
      <c r="G2710" t="s">
        <v>1449</v>
      </c>
    </row>
    <row r="2711" spans="7:7" x14ac:dyDescent="0.3">
      <c r="G2711" t="s">
        <v>1450</v>
      </c>
    </row>
    <row r="2712" spans="7:7" x14ac:dyDescent="0.3">
      <c r="G2712" t="s">
        <v>1451</v>
      </c>
    </row>
    <row r="2713" spans="7:7" x14ac:dyDescent="0.3">
      <c r="G2713" t="s">
        <v>1452</v>
      </c>
    </row>
    <row r="2714" spans="7:7" x14ac:dyDescent="0.3">
      <c r="G2714" t="s">
        <v>1453</v>
      </c>
    </row>
    <row r="2715" spans="7:7" x14ac:dyDescent="0.3">
      <c r="G2715" t="s">
        <v>448</v>
      </c>
    </row>
    <row r="2716" spans="7:7" x14ac:dyDescent="0.3">
      <c r="G2716" t="s">
        <v>393</v>
      </c>
    </row>
    <row r="2717" spans="7:7" x14ac:dyDescent="0.3">
      <c r="G2717" t="s">
        <v>470</v>
      </c>
    </row>
    <row r="2718" spans="7:7" x14ac:dyDescent="0.3">
      <c r="G2718" t="s">
        <v>471</v>
      </c>
    </row>
    <row r="2719" spans="7:7" x14ac:dyDescent="0.3">
      <c r="G2719" t="s">
        <v>1454</v>
      </c>
    </row>
    <row r="2720" spans="7:7" x14ac:dyDescent="0.3">
      <c r="G2720" t="s">
        <v>473</v>
      </c>
    </row>
    <row r="2721" spans="7:7" x14ac:dyDescent="0.3">
      <c r="G2721" t="s">
        <v>474</v>
      </c>
    </row>
    <row r="2722" spans="7:7" x14ac:dyDescent="0.3">
      <c r="G2722" t="s">
        <v>475</v>
      </c>
    </row>
    <row r="2723" spans="7:7" x14ac:dyDescent="0.3">
      <c r="G2723" t="s">
        <v>1455</v>
      </c>
    </row>
    <row r="2724" spans="7:7" x14ac:dyDescent="0.3">
      <c r="G2724" t="s">
        <v>473</v>
      </c>
    </row>
    <row r="2725" spans="7:7" x14ac:dyDescent="0.3">
      <c r="G2725" t="s">
        <v>474</v>
      </c>
    </row>
    <row r="2726" spans="7:7" x14ac:dyDescent="0.3">
      <c r="G2726" t="s">
        <v>508</v>
      </c>
    </row>
    <row r="2727" spans="7:7" x14ac:dyDescent="0.3">
      <c r="G2727" t="s">
        <v>1456</v>
      </c>
    </row>
    <row r="2728" spans="7:7" x14ac:dyDescent="0.3">
      <c r="G2728" t="s">
        <v>601</v>
      </c>
    </row>
    <row r="2729" spans="7:7" x14ac:dyDescent="0.3">
      <c r="G2729" t="s">
        <v>474</v>
      </c>
    </row>
    <row r="2730" spans="7:7" x14ac:dyDescent="0.3">
      <c r="G2730" t="s">
        <v>481</v>
      </c>
    </row>
    <row r="2731" spans="7:7" x14ac:dyDescent="0.3">
      <c r="G2731" t="s">
        <v>1457</v>
      </c>
    </row>
    <row r="2732" spans="7:7" x14ac:dyDescent="0.3">
      <c r="G2732" t="s">
        <v>473</v>
      </c>
    </row>
    <row r="2733" spans="7:7" x14ac:dyDescent="0.3">
      <c r="G2733" t="s">
        <v>474</v>
      </c>
    </row>
    <row r="2734" spans="7:7" x14ac:dyDescent="0.3">
      <c r="G2734" t="s">
        <v>479</v>
      </c>
    </row>
    <row r="2735" spans="7:7" x14ac:dyDescent="0.3">
      <c r="G2735" t="s">
        <v>1458</v>
      </c>
    </row>
    <row r="2736" spans="7:7" x14ac:dyDescent="0.3">
      <c r="G2736" t="s">
        <v>473</v>
      </c>
    </row>
    <row r="2737" spans="7:7" x14ac:dyDescent="0.3">
      <c r="G2737" t="s">
        <v>448</v>
      </c>
    </row>
    <row r="2738" spans="7:7" x14ac:dyDescent="0.3">
      <c r="G2738" t="s">
        <v>409</v>
      </c>
    </row>
    <row r="2739" spans="7:7" x14ac:dyDescent="0.3">
      <c r="G2739" t="s">
        <v>177</v>
      </c>
    </row>
    <row r="2740" spans="7:7" x14ac:dyDescent="0.3">
      <c r="G2740" t="s">
        <v>436</v>
      </c>
    </row>
    <row r="2741" spans="7:7" x14ac:dyDescent="0.3">
      <c r="G2741" t="s">
        <v>437</v>
      </c>
    </row>
    <row r="2742" spans="7:7" x14ac:dyDescent="0.3">
      <c r="G2742" t="s">
        <v>438</v>
      </c>
    </row>
    <row r="2743" spans="7:7" x14ac:dyDescent="0.3">
      <c r="G2743" t="s">
        <v>439</v>
      </c>
    </row>
    <row r="2744" spans="7:7" x14ac:dyDescent="0.3">
      <c r="G2744" t="s">
        <v>440</v>
      </c>
    </row>
    <row r="2745" spans="7:7" x14ac:dyDescent="0.3">
      <c r="G2745" t="s">
        <v>441</v>
      </c>
    </row>
    <row r="2746" spans="7:7" x14ac:dyDescent="0.3">
      <c r="G2746" t="s">
        <v>443</v>
      </c>
    </row>
    <row r="2747" spans="7:7" x14ac:dyDescent="0.3">
      <c r="G2747" t="s">
        <v>483</v>
      </c>
    </row>
    <row r="2748" spans="7:7" x14ac:dyDescent="0.3">
      <c r="G2748" t="s">
        <v>1459</v>
      </c>
    </row>
    <row r="2749" spans="7:7" x14ac:dyDescent="0.3">
      <c r="G2749" t="s">
        <v>445</v>
      </c>
    </row>
    <row r="2750" spans="7:7" x14ac:dyDescent="0.3">
      <c r="G2750" t="s">
        <v>1460</v>
      </c>
    </row>
    <row r="2751" spans="7:7" x14ac:dyDescent="0.3">
      <c r="G2751" t="s">
        <v>1461</v>
      </c>
    </row>
    <row r="2752" spans="7:7" x14ac:dyDescent="0.3">
      <c r="G2752" t="s">
        <v>448</v>
      </c>
    </row>
    <row r="2753" spans="7:7" x14ac:dyDescent="0.3">
      <c r="G2753" t="s">
        <v>393</v>
      </c>
    </row>
    <row r="2754" spans="7:7" x14ac:dyDescent="0.3">
      <c r="G2754" t="s">
        <v>449</v>
      </c>
    </row>
    <row r="2755" spans="7:7" x14ac:dyDescent="0.3">
      <c r="G2755" t="s">
        <v>450</v>
      </c>
    </row>
    <row r="2756" spans="7:7" x14ac:dyDescent="0.3">
      <c r="G2756" t="s">
        <v>451</v>
      </c>
    </row>
    <row r="2757" spans="7:7" x14ac:dyDescent="0.3">
      <c r="G2757" t="s">
        <v>452</v>
      </c>
    </row>
    <row r="2758" spans="7:7" x14ac:dyDescent="0.3">
      <c r="G2758" t="s">
        <v>1462</v>
      </c>
    </row>
    <row r="2759" spans="7:7" x14ac:dyDescent="0.3">
      <c r="G2759" t="s">
        <v>1463</v>
      </c>
    </row>
    <row r="2760" spans="7:7" x14ac:dyDescent="0.3">
      <c r="G2760" t="s">
        <v>1464</v>
      </c>
    </row>
    <row r="2761" spans="7:7" x14ac:dyDescent="0.3">
      <c r="G2761" t="s">
        <v>1465</v>
      </c>
    </row>
    <row r="2762" spans="7:7" x14ac:dyDescent="0.3">
      <c r="G2762" t="s">
        <v>1466</v>
      </c>
    </row>
    <row r="2763" spans="7:7" x14ac:dyDescent="0.3">
      <c r="G2763" t="s">
        <v>1467</v>
      </c>
    </row>
    <row r="2764" spans="7:7" x14ac:dyDescent="0.3">
      <c r="G2764" t="s">
        <v>1468</v>
      </c>
    </row>
    <row r="2765" spans="7:7" x14ac:dyDescent="0.3">
      <c r="G2765" t="s">
        <v>1469</v>
      </c>
    </row>
    <row r="2766" spans="7:7" x14ac:dyDescent="0.3">
      <c r="G2766" t="s">
        <v>1470</v>
      </c>
    </row>
    <row r="2767" spans="7:7" x14ac:dyDescent="0.3">
      <c r="G2767" t="s">
        <v>1471</v>
      </c>
    </row>
    <row r="2768" spans="7:7" x14ac:dyDescent="0.3">
      <c r="G2768" t="s">
        <v>448</v>
      </c>
    </row>
    <row r="2769" spans="7:7" x14ac:dyDescent="0.3">
      <c r="G2769" t="s">
        <v>393</v>
      </c>
    </row>
    <row r="2770" spans="7:7" x14ac:dyDescent="0.3">
      <c r="G2770" t="s">
        <v>463</v>
      </c>
    </row>
    <row r="2771" spans="7:7" x14ac:dyDescent="0.3">
      <c r="G2771" t="s">
        <v>464</v>
      </c>
    </row>
    <row r="2772" spans="7:7" x14ac:dyDescent="0.3">
      <c r="G2772" t="s">
        <v>1472</v>
      </c>
    </row>
    <row r="2773" spans="7:7" x14ac:dyDescent="0.3">
      <c r="G2773" t="s">
        <v>1473</v>
      </c>
    </row>
    <row r="2774" spans="7:7" x14ac:dyDescent="0.3">
      <c r="G2774" t="s">
        <v>1474</v>
      </c>
    </row>
    <row r="2775" spans="7:7" x14ac:dyDescent="0.3">
      <c r="G2775" t="s">
        <v>1475</v>
      </c>
    </row>
    <row r="2776" spans="7:7" x14ac:dyDescent="0.3">
      <c r="G2776" t="s">
        <v>1476</v>
      </c>
    </row>
    <row r="2777" spans="7:7" x14ac:dyDescent="0.3">
      <c r="G2777" t="s">
        <v>448</v>
      </c>
    </row>
    <row r="2778" spans="7:7" x14ac:dyDescent="0.3">
      <c r="G2778" t="s">
        <v>393</v>
      </c>
    </row>
    <row r="2779" spans="7:7" x14ac:dyDescent="0.3">
      <c r="G2779" t="s">
        <v>470</v>
      </c>
    </row>
    <row r="2780" spans="7:7" x14ac:dyDescent="0.3">
      <c r="G2780" t="s">
        <v>471</v>
      </c>
    </row>
    <row r="2781" spans="7:7" x14ac:dyDescent="0.3">
      <c r="G2781" t="s">
        <v>1477</v>
      </c>
    </row>
    <row r="2782" spans="7:7" x14ac:dyDescent="0.3">
      <c r="G2782" t="s">
        <v>473</v>
      </c>
    </row>
    <row r="2783" spans="7:7" x14ac:dyDescent="0.3">
      <c r="G2783" t="s">
        <v>474</v>
      </c>
    </row>
    <row r="2784" spans="7:7" x14ac:dyDescent="0.3">
      <c r="G2784" t="s">
        <v>481</v>
      </c>
    </row>
    <row r="2785" spans="7:7" x14ac:dyDescent="0.3">
      <c r="G2785" t="s">
        <v>1478</v>
      </c>
    </row>
    <row r="2786" spans="7:7" x14ac:dyDescent="0.3">
      <c r="G2786" t="s">
        <v>473</v>
      </c>
    </row>
    <row r="2787" spans="7:7" x14ac:dyDescent="0.3">
      <c r="G2787" t="s">
        <v>474</v>
      </c>
    </row>
    <row r="2788" spans="7:7" x14ac:dyDescent="0.3">
      <c r="G2788" t="s">
        <v>475</v>
      </c>
    </row>
    <row r="2789" spans="7:7" x14ac:dyDescent="0.3">
      <c r="G2789" t="s">
        <v>1479</v>
      </c>
    </row>
    <row r="2790" spans="7:7" x14ac:dyDescent="0.3">
      <c r="G2790" t="s">
        <v>473</v>
      </c>
    </row>
    <row r="2791" spans="7:7" x14ac:dyDescent="0.3">
      <c r="G2791" t="s">
        <v>474</v>
      </c>
    </row>
    <row r="2792" spans="7:7" x14ac:dyDescent="0.3">
      <c r="G2792" t="s">
        <v>508</v>
      </c>
    </row>
    <row r="2793" spans="7:7" x14ac:dyDescent="0.3">
      <c r="G2793" t="s">
        <v>1480</v>
      </c>
    </row>
    <row r="2794" spans="7:7" x14ac:dyDescent="0.3">
      <c r="G2794" t="s">
        <v>473</v>
      </c>
    </row>
    <row r="2795" spans="7:7" x14ac:dyDescent="0.3">
      <c r="G2795" t="s">
        <v>474</v>
      </c>
    </row>
    <row r="2796" spans="7:7" x14ac:dyDescent="0.3">
      <c r="G2796" t="s">
        <v>479</v>
      </c>
    </row>
    <row r="2797" spans="7:7" x14ac:dyDescent="0.3">
      <c r="G2797" t="s">
        <v>1481</v>
      </c>
    </row>
    <row r="2798" spans="7:7" x14ac:dyDescent="0.3">
      <c r="G2798" t="s">
        <v>473</v>
      </c>
    </row>
    <row r="2799" spans="7:7" x14ac:dyDescent="0.3">
      <c r="G2799" t="s">
        <v>448</v>
      </c>
    </row>
    <row r="2800" spans="7:7" x14ac:dyDescent="0.3">
      <c r="G2800" t="s">
        <v>409</v>
      </c>
    </row>
    <row r="2801" spans="7:7" x14ac:dyDescent="0.3">
      <c r="G2801" t="s">
        <v>177</v>
      </c>
    </row>
    <row r="2802" spans="7:7" x14ac:dyDescent="0.3">
      <c r="G2802" t="s">
        <v>436</v>
      </c>
    </row>
    <row r="2803" spans="7:7" x14ac:dyDescent="0.3">
      <c r="G2803" t="s">
        <v>437</v>
      </c>
    </row>
    <row r="2804" spans="7:7" x14ac:dyDescent="0.3">
      <c r="G2804" t="s">
        <v>438</v>
      </c>
    </row>
    <row r="2805" spans="7:7" x14ac:dyDescent="0.3">
      <c r="G2805" t="s">
        <v>439</v>
      </c>
    </row>
    <row r="2806" spans="7:7" x14ac:dyDescent="0.3">
      <c r="G2806" t="s">
        <v>440</v>
      </c>
    </row>
    <row r="2807" spans="7:7" x14ac:dyDescent="0.3">
      <c r="G2807" t="s">
        <v>1482</v>
      </c>
    </row>
    <row r="2808" spans="7:7" x14ac:dyDescent="0.3">
      <c r="G2808" t="s">
        <v>441</v>
      </c>
    </row>
    <row r="2809" spans="7:7" x14ac:dyDescent="0.3">
      <c r="G2809" t="s">
        <v>443</v>
      </c>
    </row>
    <row r="2810" spans="7:7" x14ac:dyDescent="0.3">
      <c r="G2810" t="s">
        <v>483</v>
      </c>
    </row>
    <row r="2811" spans="7:7" x14ac:dyDescent="0.3">
      <c r="G2811" t="s">
        <v>888</v>
      </c>
    </row>
    <row r="2812" spans="7:7" x14ac:dyDescent="0.3">
      <c r="G2812" t="s">
        <v>445</v>
      </c>
    </row>
    <row r="2813" spans="7:7" x14ac:dyDescent="0.3">
      <c r="G2813" t="s">
        <v>1483</v>
      </c>
    </row>
    <row r="2814" spans="7:7" x14ac:dyDescent="0.3">
      <c r="G2814" t="s">
        <v>448</v>
      </c>
    </row>
    <row r="2815" spans="7:7" x14ac:dyDescent="0.3">
      <c r="G2815" t="s">
        <v>393</v>
      </c>
    </row>
    <row r="2816" spans="7:7" x14ac:dyDescent="0.3">
      <c r="G2816" t="s">
        <v>449</v>
      </c>
    </row>
    <row r="2817" spans="7:7" x14ac:dyDescent="0.3">
      <c r="G2817" t="s">
        <v>450</v>
      </c>
    </row>
    <row r="2818" spans="7:7" x14ac:dyDescent="0.3">
      <c r="G2818" t="s">
        <v>451</v>
      </c>
    </row>
    <row r="2819" spans="7:7" x14ac:dyDescent="0.3">
      <c r="G2819" t="s">
        <v>452</v>
      </c>
    </row>
    <row r="2820" spans="7:7" x14ac:dyDescent="0.3">
      <c r="G2820" t="s">
        <v>1484</v>
      </c>
    </row>
    <row r="2821" spans="7:7" x14ac:dyDescent="0.3">
      <c r="G2821" t="s">
        <v>1485</v>
      </c>
    </row>
    <row r="2822" spans="7:7" x14ac:dyDescent="0.3">
      <c r="G2822" t="s">
        <v>1486</v>
      </c>
    </row>
    <row r="2823" spans="7:7" x14ac:dyDescent="0.3">
      <c r="G2823" t="s">
        <v>1487</v>
      </c>
    </row>
    <row r="2824" spans="7:7" x14ac:dyDescent="0.3">
      <c r="G2824" t="s">
        <v>1488</v>
      </c>
    </row>
    <row r="2825" spans="7:7" x14ac:dyDescent="0.3">
      <c r="G2825" t="s">
        <v>1489</v>
      </c>
    </row>
    <row r="2826" spans="7:7" x14ac:dyDescent="0.3">
      <c r="G2826" t="s">
        <v>1490</v>
      </c>
    </row>
    <row r="2827" spans="7:7" x14ac:dyDescent="0.3">
      <c r="G2827" t="s">
        <v>1491</v>
      </c>
    </row>
    <row r="2828" spans="7:7" x14ac:dyDescent="0.3">
      <c r="G2828" t="s">
        <v>1492</v>
      </c>
    </row>
    <row r="2829" spans="7:7" x14ac:dyDescent="0.3">
      <c r="G2829" t="s">
        <v>1493</v>
      </c>
    </row>
    <row r="2830" spans="7:7" x14ac:dyDescent="0.3">
      <c r="G2830" t="s">
        <v>448</v>
      </c>
    </row>
    <row r="2831" spans="7:7" x14ac:dyDescent="0.3">
      <c r="G2831" t="s">
        <v>393</v>
      </c>
    </row>
    <row r="2832" spans="7:7" x14ac:dyDescent="0.3">
      <c r="G2832" t="s">
        <v>463</v>
      </c>
    </row>
    <row r="2833" spans="7:7" x14ac:dyDescent="0.3">
      <c r="G2833" t="s">
        <v>464</v>
      </c>
    </row>
    <row r="2834" spans="7:7" x14ac:dyDescent="0.3">
      <c r="G2834" t="s">
        <v>1494</v>
      </c>
    </row>
    <row r="2835" spans="7:7" x14ac:dyDescent="0.3">
      <c r="G2835" t="s">
        <v>1495</v>
      </c>
    </row>
    <row r="2836" spans="7:7" x14ac:dyDescent="0.3">
      <c r="G2836" t="s">
        <v>1496</v>
      </c>
    </row>
    <row r="2837" spans="7:7" x14ac:dyDescent="0.3">
      <c r="G2837" t="s">
        <v>1497</v>
      </c>
    </row>
    <row r="2838" spans="7:7" x14ac:dyDescent="0.3">
      <c r="G2838" t="s">
        <v>1498</v>
      </c>
    </row>
    <row r="2839" spans="7:7" x14ac:dyDescent="0.3">
      <c r="G2839" t="s">
        <v>448</v>
      </c>
    </row>
    <row r="2840" spans="7:7" x14ac:dyDescent="0.3">
      <c r="G2840" t="s">
        <v>393</v>
      </c>
    </row>
    <row r="2841" spans="7:7" x14ac:dyDescent="0.3">
      <c r="G2841" t="s">
        <v>470</v>
      </c>
    </row>
    <row r="2842" spans="7:7" x14ac:dyDescent="0.3">
      <c r="G2842" t="s">
        <v>471</v>
      </c>
    </row>
    <row r="2843" spans="7:7" x14ac:dyDescent="0.3">
      <c r="G2843" t="s">
        <v>1499</v>
      </c>
    </row>
    <row r="2844" spans="7:7" x14ac:dyDescent="0.3">
      <c r="G2844" t="s">
        <v>473</v>
      </c>
    </row>
    <row r="2845" spans="7:7" x14ac:dyDescent="0.3">
      <c r="G2845" t="s">
        <v>474</v>
      </c>
    </row>
    <row r="2846" spans="7:7" x14ac:dyDescent="0.3">
      <c r="G2846" t="s">
        <v>475</v>
      </c>
    </row>
    <row r="2847" spans="7:7" x14ac:dyDescent="0.3">
      <c r="G2847" t="s">
        <v>1500</v>
      </c>
    </row>
    <row r="2848" spans="7:7" x14ac:dyDescent="0.3">
      <c r="G2848" t="s">
        <v>473</v>
      </c>
    </row>
    <row r="2849" spans="7:7" x14ac:dyDescent="0.3">
      <c r="G2849" t="s">
        <v>474</v>
      </c>
    </row>
    <row r="2850" spans="7:7" x14ac:dyDescent="0.3">
      <c r="G2850" t="s">
        <v>508</v>
      </c>
    </row>
    <row r="2851" spans="7:7" x14ac:dyDescent="0.3">
      <c r="G2851" t="s">
        <v>1501</v>
      </c>
    </row>
    <row r="2852" spans="7:7" x14ac:dyDescent="0.3">
      <c r="G2852" t="s">
        <v>473</v>
      </c>
    </row>
    <row r="2853" spans="7:7" x14ac:dyDescent="0.3">
      <c r="G2853" t="s">
        <v>474</v>
      </c>
    </row>
    <row r="2854" spans="7:7" x14ac:dyDescent="0.3">
      <c r="G2854" t="s">
        <v>481</v>
      </c>
    </row>
    <row r="2855" spans="7:7" x14ac:dyDescent="0.3">
      <c r="G2855" t="s">
        <v>1502</v>
      </c>
    </row>
    <row r="2856" spans="7:7" x14ac:dyDescent="0.3">
      <c r="G2856" t="s">
        <v>473</v>
      </c>
    </row>
    <row r="2857" spans="7:7" x14ac:dyDescent="0.3">
      <c r="G2857" t="s">
        <v>474</v>
      </c>
    </row>
    <row r="2858" spans="7:7" x14ac:dyDescent="0.3">
      <c r="G2858" t="s">
        <v>479</v>
      </c>
    </row>
    <row r="2859" spans="7:7" x14ac:dyDescent="0.3">
      <c r="G2859" t="s">
        <v>1503</v>
      </c>
    </row>
    <row r="2860" spans="7:7" x14ac:dyDescent="0.3">
      <c r="G2860" t="s">
        <v>473</v>
      </c>
    </row>
    <row r="2861" spans="7:7" x14ac:dyDescent="0.3">
      <c r="G2861" t="s">
        <v>448</v>
      </c>
    </row>
    <row r="2862" spans="7:7" x14ac:dyDescent="0.3">
      <c r="G2862" t="s">
        <v>409</v>
      </c>
    </row>
    <row r="2863" spans="7:7" x14ac:dyDescent="0.3">
      <c r="G2863" t="s">
        <v>177</v>
      </c>
    </row>
    <row r="2864" spans="7:7" x14ac:dyDescent="0.3">
      <c r="G2864" t="s">
        <v>436</v>
      </c>
    </row>
    <row r="2865" spans="7:7" x14ac:dyDescent="0.3">
      <c r="G2865" t="s">
        <v>437</v>
      </c>
    </row>
    <row r="2866" spans="7:7" x14ac:dyDescent="0.3">
      <c r="G2866" t="s">
        <v>438</v>
      </c>
    </row>
    <row r="2867" spans="7:7" x14ac:dyDescent="0.3">
      <c r="G2867" t="s">
        <v>439</v>
      </c>
    </row>
    <row r="2868" spans="7:7" x14ac:dyDescent="0.3">
      <c r="G2868" t="s">
        <v>441</v>
      </c>
    </row>
    <row r="2869" spans="7:7" x14ac:dyDescent="0.3">
      <c r="G2869" t="s">
        <v>443</v>
      </c>
    </row>
    <row r="2870" spans="7:7" x14ac:dyDescent="0.3">
      <c r="G2870" t="s">
        <v>444</v>
      </c>
    </row>
    <row r="2871" spans="7:7" x14ac:dyDescent="0.3">
      <c r="G2871" t="s">
        <v>445</v>
      </c>
    </row>
    <row r="2872" spans="7:7" x14ac:dyDescent="0.3">
      <c r="G2872" t="s">
        <v>1504</v>
      </c>
    </row>
    <row r="2873" spans="7:7" x14ac:dyDescent="0.3">
      <c r="G2873" t="s">
        <v>1505</v>
      </c>
    </row>
    <row r="2874" spans="7:7" x14ac:dyDescent="0.3">
      <c r="G2874" t="s">
        <v>1391</v>
      </c>
    </row>
    <row r="2875" spans="7:7" x14ac:dyDescent="0.3">
      <c r="G2875" t="s">
        <v>1506</v>
      </c>
    </row>
    <row r="2876" spans="7:7" x14ac:dyDescent="0.3">
      <c r="G2876" t="s">
        <v>448</v>
      </c>
    </row>
    <row r="2877" spans="7:7" x14ac:dyDescent="0.3">
      <c r="G2877" t="s">
        <v>393</v>
      </c>
    </row>
    <row r="2878" spans="7:7" x14ac:dyDescent="0.3">
      <c r="G2878" t="s">
        <v>449</v>
      </c>
    </row>
    <row r="2879" spans="7:7" x14ac:dyDescent="0.3">
      <c r="G2879" t="s">
        <v>450</v>
      </c>
    </row>
    <row r="2880" spans="7:7" x14ac:dyDescent="0.3">
      <c r="G2880" t="s">
        <v>451</v>
      </c>
    </row>
    <row r="2881" spans="7:7" x14ac:dyDescent="0.3">
      <c r="G2881" t="s">
        <v>452</v>
      </c>
    </row>
    <row r="2882" spans="7:7" x14ac:dyDescent="0.3">
      <c r="G2882" t="s">
        <v>1507</v>
      </c>
    </row>
    <row r="2883" spans="7:7" x14ac:dyDescent="0.3">
      <c r="G2883" t="s">
        <v>1508</v>
      </c>
    </row>
    <row r="2884" spans="7:7" x14ac:dyDescent="0.3">
      <c r="G2884" t="s">
        <v>1509</v>
      </c>
    </row>
    <row r="2885" spans="7:7" x14ac:dyDescent="0.3">
      <c r="G2885" t="s">
        <v>1510</v>
      </c>
    </row>
    <row r="2886" spans="7:7" x14ac:dyDescent="0.3">
      <c r="G2886" t="s">
        <v>1511</v>
      </c>
    </row>
    <row r="2887" spans="7:7" x14ac:dyDescent="0.3">
      <c r="G2887" t="s">
        <v>1512</v>
      </c>
    </row>
    <row r="2888" spans="7:7" x14ac:dyDescent="0.3">
      <c r="G2888" t="s">
        <v>1513</v>
      </c>
    </row>
    <row r="2889" spans="7:7" x14ac:dyDescent="0.3">
      <c r="G2889" t="s">
        <v>1514</v>
      </c>
    </row>
    <row r="2890" spans="7:7" x14ac:dyDescent="0.3">
      <c r="G2890" t="s">
        <v>1515</v>
      </c>
    </row>
    <row r="2891" spans="7:7" x14ac:dyDescent="0.3">
      <c r="G2891" t="s">
        <v>1516</v>
      </c>
    </row>
    <row r="2892" spans="7:7" x14ac:dyDescent="0.3">
      <c r="G2892" t="s">
        <v>448</v>
      </c>
    </row>
    <row r="2893" spans="7:7" x14ac:dyDescent="0.3">
      <c r="G2893" t="s">
        <v>393</v>
      </c>
    </row>
    <row r="2894" spans="7:7" x14ac:dyDescent="0.3">
      <c r="G2894" t="s">
        <v>463</v>
      </c>
    </row>
    <row r="2895" spans="7:7" x14ac:dyDescent="0.3">
      <c r="G2895" t="s">
        <v>464</v>
      </c>
    </row>
    <row r="2896" spans="7:7" x14ac:dyDescent="0.3">
      <c r="G2896" t="s">
        <v>1517</v>
      </c>
    </row>
    <row r="2897" spans="7:7" x14ac:dyDescent="0.3">
      <c r="G2897" t="s">
        <v>1518</v>
      </c>
    </row>
    <row r="2898" spans="7:7" x14ac:dyDescent="0.3">
      <c r="G2898" t="s">
        <v>1519</v>
      </c>
    </row>
    <row r="2899" spans="7:7" x14ac:dyDescent="0.3">
      <c r="G2899" t="s">
        <v>1520</v>
      </c>
    </row>
    <row r="2900" spans="7:7" x14ac:dyDescent="0.3">
      <c r="G2900" t="s">
        <v>1521</v>
      </c>
    </row>
    <row r="2901" spans="7:7" x14ac:dyDescent="0.3">
      <c r="G2901" t="s">
        <v>448</v>
      </c>
    </row>
    <row r="2902" spans="7:7" x14ac:dyDescent="0.3">
      <c r="G2902" t="s">
        <v>393</v>
      </c>
    </row>
    <row r="2903" spans="7:7" x14ac:dyDescent="0.3">
      <c r="G2903" t="s">
        <v>470</v>
      </c>
    </row>
    <row r="2904" spans="7:7" x14ac:dyDescent="0.3">
      <c r="G2904" t="s">
        <v>1522</v>
      </c>
    </row>
    <row r="2905" spans="7:7" x14ac:dyDescent="0.3">
      <c r="G2905" t="s">
        <v>1523</v>
      </c>
    </row>
    <row r="2906" spans="7:7" x14ac:dyDescent="0.3">
      <c r="G2906" t="s">
        <v>473</v>
      </c>
    </row>
    <row r="2907" spans="7:7" x14ac:dyDescent="0.3">
      <c r="G2907" t="s">
        <v>474</v>
      </c>
    </row>
    <row r="2908" spans="7:7" x14ac:dyDescent="0.3">
      <c r="G2908" t="s">
        <v>475</v>
      </c>
    </row>
    <row r="2909" spans="7:7" x14ac:dyDescent="0.3">
      <c r="G2909" t="s">
        <v>1524</v>
      </c>
    </row>
    <row r="2910" spans="7:7" x14ac:dyDescent="0.3">
      <c r="G2910" t="s">
        <v>473</v>
      </c>
    </row>
    <row r="2911" spans="7:7" x14ac:dyDescent="0.3">
      <c r="G2911" t="s">
        <v>474</v>
      </c>
    </row>
    <row r="2912" spans="7:7" x14ac:dyDescent="0.3">
      <c r="G2912" t="s">
        <v>481</v>
      </c>
    </row>
    <row r="2913" spans="7:7" x14ac:dyDescent="0.3">
      <c r="G2913" t="s">
        <v>1525</v>
      </c>
    </row>
    <row r="2914" spans="7:7" x14ac:dyDescent="0.3">
      <c r="G2914" t="s">
        <v>473</v>
      </c>
    </row>
    <row r="2915" spans="7:7" x14ac:dyDescent="0.3">
      <c r="G2915" t="s">
        <v>474</v>
      </c>
    </row>
    <row r="2916" spans="7:7" x14ac:dyDescent="0.3">
      <c r="G2916" t="s">
        <v>477</v>
      </c>
    </row>
    <row r="2917" spans="7:7" x14ac:dyDescent="0.3">
      <c r="G2917" t="s">
        <v>1526</v>
      </c>
    </row>
    <row r="2918" spans="7:7" x14ac:dyDescent="0.3">
      <c r="G2918" t="s">
        <v>473</v>
      </c>
    </row>
    <row r="2919" spans="7:7" x14ac:dyDescent="0.3">
      <c r="G2919" t="s">
        <v>474</v>
      </c>
    </row>
    <row r="2920" spans="7:7" x14ac:dyDescent="0.3">
      <c r="G2920" t="s">
        <v>479</v>
      </c>
    </row>
    <row r="2921" spans="7:7" x14ac:dyDescent="0.3">
      <c r="G2921" t="s">
        <v>1527</v>
      </c>
    </row>
    <row r="2922" spans="7:7" x14ac:dyDescent="0.3">
      <c r="G2922" t="s">
        <v>473</v>
      </c>
    </row>
    <row r="2923" spans="7:7" x14ac:dyDescent="0.3">
      <c r="G2923" t="s">
        <v>448</v>
      </c>
    </row>
    <row r="2924" spans="7:7" x14ac:dyDescent="0.3">
      <c r="G2924" t="s">
        <v>409</v>
      </c>
    </row>
    <row r="2925" spans="7:7" x14ac:dyDescent="0.3">
      <c r="G2925" t="s">
        <v>177</v>
      </c>
    </row>
    <row r="2926" spans="7:7" x14ac:dyDescent="0.3">
      <c r="G2926" t="s">
        <v>436</v>
      </c>
    </row>
    <row r="2927" spans="7:7" x14ac:dyDescent="0.3">
      <c r="G2927" t="s">
        <v>437</v>
      </c>
    </row>
    <row r="2928" spans="7:7" x14ac:dyDescent="0.3">
      <c r="G2928" t="s">
        <v>438</v>
      </c>
    </row>
    <row r="2929" spans="7:7" x14ac:dyDescent="0.3">
      <c r="G2929" t="s">
        <v>439</v>
      </c>
    </row>
    <row r="2930" spans="7:7" x14ac:dyDescent="0.3">
      <c r="G2930" t="s">
        <v>440</v>
      </c>
    </row>
    <row r="2931" spans="7:7" x14ac:dyDescent="0.3">
      <c r="G2931" t="s">
        <v>441</v>
      </c>
    </row>
    <row r="2932" spans="7:7" x14ac:dyDescent="0.3">
      <c r="G2932" t="s">
        <v>443</v>
      </c>
    </row>
    <row r="2933" spans="7:7" x14ac:dyDescent="0.3">
      <c r="G2933" t="s">
        <v>483</v>
      </c>
    </row>
    <row r="2934" spans="7:7" x14ac:dyDescent="0.3">
      <c r="G2934" t="s">
        <v>1528</v>
      </c>
    </row>
    <row r="2935" spans="7:7" x14ac:dyDescent="0.3">
      <c r="G2935" t="s">
        <v>486</v>
      </c>
    </row>
    <row r="2936" spans="7:7" x14ac:dyDescent="0.3">
      <c r="G2936" t="s">
        <v>1529</v>
      </c>
    </row>
    <row r="2937" spans="7:7" x14ac:dyDescent="0.3">
      <c r="G2937" t="s">
        <v>1530</v>
      </c>
    </row>
    <row r="2938" spans="7:7" x14ac:dyDescent="0.3">
      <c r="G2938" t="s">
        <v>448</v>
      </c>
    </row>
    <row r="2939" spans="7:7" x14ac:dyDescent="0.3">
      <c r="G2939" t="s">
        <v>393</v>
      </c>
    </row>
    <row r="2940" spans="7:7" x14ac:dyDescent="0.3">
      <c r="G2940" t="s">
        <v>449</v>
      </c>
    </row>
    <row r="2941" spans="7:7" x14ac:dyDescent="0.3">
      <c r="G2941" t="s">
        <v>488</v>
      </c>
    </row>
    <row r="2942" spans="7:7" x14ac:dyDescent="0.3">
      <c r="G2942" t="s">
        <v>451</v>
      </c>
    </row>
    <row r="2943" spans="7:7" x14ac:dyDescent="0.3">
      <c r="G2943" t="s">
        <v>452</v>
      </c>
    </row>
    <row r="2944" spans="7:7" x14ac:dyDescent="0.3">
      <c r="G2944" t="s">
        <v>1531</v>
      </c>
    </row>
    <row r="2945" spans="7:7" x14ac:dyDescent="0.3">
      <c r="G2945" t="s">
        <v>1532</v>
      </c>
    </row>
    <row r="2946" spans="7:7" x14ac:dyDescent="0.3">
      <c r="G2946" t="s">
        <v>1533</v>
      </c>
    </row>
    <row r="2947" spans="7:7" x14ac:dyDescent="0.3">
      <c r="G2947" t="s">
        <v>1534</v>
      </c>
    </row>
    <row r="2948" spans="7:7" x14ac:dyDescent="0.3">
      <c r="G2948" t="s">
        <v>1535</v>
      </c>
    </row>
    <row r="2949" spans="7:7" x14ac:dyDescent="0.3">
      <c r="G2949" t="s">
        <v>1536</v>
      </c>
    </row>
    <row r="2950" spans="7:7" x14ac:dyDescent="0.3">
      <c r="G2950" t="s">
        <v>1537</v>
      </c>
    </row>
    <row r="2951" spans="7:7" x14ac:dyDescent="0.3">
      <c r="G2951" t="s">
        <v>1538</v>
      </c>
    </row>
    <row r="2952" spans="7:7" x14ac:dyDescent="0.3">
      <c r="G2952" t="s">
        <v>1539</v>
      </c>
    </row>
    <row r="2953" spans="7:7" x14ac:dyDescent="0.3">
      <c r="G2953" t="s">
        <v>1540</v>
      </c>
    </row>
    <row r="2954" spans="7:7" x14ac:dyDescent="0.3">
      <c r="G2954" t="s">
        <v>448</v>
      </c>
    </row>
    <row r="2955" spans="7:7" x14ac:dyDescent="0.3">
      <c r="G2955" t="s">
        <v>393</v>
      </c>
    </row>
    <row r="2956" spans="7:7" x14ac:dyDescent="0.3">
      <c r="G2956" t="s">
        <v>463</v>
      </c>
    </row>
    <row r="2957" spans="7:7" x14ac:dyDescent="0.3">
      <c r="G2957" t="s">
        <v>464</v>
      </c>
    </row>
    <row r="2958" spans="7:7" x14ac:dyDescent="0.3">
      <c r="G2958" t="s">
        <v>1541</v>
      </c>
    </row>
    <row r="2959" spans="7:7" x14ac:dyDescent="0.3">
      <c r="G2959" t="s">
        <v>1542</v>
      </c>
    </row>
    <row r="2960" spans="7:7" x14ac:dyDescent="0.3">
      <c r="G2960" t="s">
        <v>1543</v>
      </c>
    </row>
    <row r="2961" spans="7:7" x14ac:dyDescent="0.3">
      <c r="G2961" t="s">
        <v>1544</v>
      </c>
    </row>
    <row r="2962" spans="7:7" x14ac:dyDescent="0.3">
      <c r="G2962" t="s">
        <v>1545</v>
      </c>
    </row>
    <row r="2963" spans="7:7" x14ac:dyDescent="0.3">
      <c r="G2963" t="s">
        <v>448</v>
      </c>
    </row>
    <row r="2964" spans="7:7" x14ac:dyDescent="0.3">
      <c r="G2964" t="s">
        <v>393</v>
      </c>
    </row>
    <row r="2965" spans="7:7" x14ac:dyDescent="0.3">
      <c r="G2965" t="s">
        <v>470</v>
      </c>
    </row>
    <row r="2966" spans="7:7" x14ac:dyDescent="0.3">
      <c r="G2966" t="s">
        <v>481</v>
      </c>
    </row>
    <row r="2967" spans="7:7" x14ac:dyDescent="0.3">
      <c r="G2967" t="s">
        <v>1546</v>
      </c>
    </row>
    <row r="2968" spans="7:7" x14ac:dyDescent="0.3">
      <c r="G2968" t="s">
        <v>473</v>
      </c>
    </row>
    <row r="2969" spans="7:7" x14ac:dyDescent="0.3">
      <c r="G2969" t="s">
        <v>474</v>
      </c>
    </row>
    <row r="2970" spans="7:7" x14ac:dyDescent="0.3">
      <c r="G2970" t="s">
        <v>471</v>
      </c>
    </row>
    <row r="2971" spans="7:7" x14ac:dyDescent="0.3">
      <c r="G2971" t="s">
        <v>1547</v>
      </c>
    </row>
    <row r="2972" spans="7:7" x14ac:dyDescent="0.3">
      <c r="G2972" t="s">
        <v>473</v>
      </c>
    </row>
    <row r="2973" spans="7:7" x14ac:dyDescent="0.3">
      <c r="G2973" t="s">
        <v>474</v>
      </c>
    </row>
    <row r="2974" spans="7:7" x14ac:dyDescent="0.3">
      <c r="G2974" t="s">
        <v>504</v>
      </c>
    </row>
    <row r="2975" spans="7:7" x14ac:dyDescent="0.3">
      <c r="G2975" t="s">
        <v>1548</v>
      </c>
    </row>
    <row r="2976" spans="7:7" x14ac:dyDescent="0.3">
      <c r="G2976" t="s">
        <v>473</v>
      </c>
    </row>
    <row r="2977" spans="7:7" x14ac:dyDescent="0.3">
      <c r="G2977" t="s">
        <v>474</v>
      </c>
    </row>
    <row r="2978" spans="7:7" x14ac:dyDescent="0.3">
      <c r="G2978" t="s">
        <v>508</v>
      </c>
    </row>
    <row r="2979" spans="7:7" x14ac:dyDescent="0.3">
      <c r="G2979" t="s">
        <v>1549</v>
      </c>
    </row>
    <row r="2980" spans="7:7" x14ac:dyDescent="0.3">
      <c r="G2980" t="s">
        <v>473</v>
      </c>
    </row>
    <row r="2981" spans="7:7" x14ac:dyDescent="0.3">
      <c r="G2981" t="s">
        <v>474</v>
      </c>
    </row>
    <row r="2982" spans="7:7" x14ac:dyDescent="0.3">
      <c r="G2982" t="s">
        <v>479</v>
      </c>
    </row>
    <row r="2983" spans="7:7" x14ac:dyDescent="0.3">
      <c r="G2983" t="s">
        <v>1550</v>
      </c>
    </row>
    <row r="2984" spans="7:7" x14ac:dyDescent="0.3">
      <c r="G2984" t="s">
        <v>473</v>
      </c>
    </row>
    <row r="2985" spans="7:7" x14ac:dyDescent="0.3">
      <c r="G2985" t="s">
        <v>448</v>
      </c>
    </row>
    <row r="2986" spans="7:7" x14ac:dyDescent="0.3">
      <c r="G2986" t="s">
        <v>409</v>
      </c>
    </row>
    <row r="2987" spans="7:7" x14ac:dyDescent="0.3">
      <c r="G2987" t="s">
        <v>177</v>
      </c>
    </row>
    <row r="2988" spans="7:7" x14ac:dyDescent="0.3">
      <c r="G2988" t="s">
        <v>436</v>
      </c>
    </row>
    <row r="2989" spans="7:7" x14ac:dyDescent="0.3">
      <c r="G2989" t="s">
        <v>437</v>
      </c>
    </row>
    <row r="2990" spans="7:7" x14ac:dyDescent="0.3">
      <c r="G2990" t="s">
        <v>438</v>
      </c>
    </row>
    <row r="2991" spans="7:7" x14ac:dyDescent="0.3">
      <c r="G2991" t="s">
        <v>439</v>
      </c>
    </row>
    <row r="2992" spans="7:7" x14ac:dyDescent="0.3">
      <c r="G2992" t="s">
        <v>440</v>
      </c>
    </row>
    <row r="2993" spans="7:7" x14ac:dyDescent="0.3">
      <c r="G2993" t="s">
        <v>1551</v>
      </c>
    </row>
    <row r="2994" spans="7:7" x14ac:dyDescent="0.3">
      <c r="G2994" t="s">
        <v>441</v>
      </c>
    </row>
    <row r="2995" spans="7:7" x14ac:dyDescent="0.3">
      <c r="G2995" t="s">
        <v>1552</v>
      </c>
    </row>
    <row r="2996" spans="7:7" x14ac:dyDescent="0.3">
      <c r="G2996" t="s">
        <v>443</v>
      </c>
    </row>
    <row r="2997" spans="7:7" x14ac:dyDescent="0.3">
      <c r="G2997" t="s">
        <v>483</v>
      </c>
    </row>
    <row r="2998" spans="7:7" x14ac:dyDescent="0.3">
      <c r="G2998" t="s">
        <v>888</v>
      </c>
    </row>
    <row r="2999" spans="7:7" x14ac:dyDescent="0.3">
      <c r="G2999" t="s">
        <v>1143</v>
      </c>
    </row>
    <row r="3000" spans="7:7" x14ac:dyDescent="0.3">
      <c r="G3000" t="s">
        <v>448</v>
      </c>
    </row>
    <row r="3001" spans="7:7" x14ac:dyDescent="0.3">
      <c r="G3001" t="s">
        <v>393</v>
      </c>
    </row>
    <row r="3002" spans="7:7" x14ac:dyDescent="0.3">
      <c r="G3002" t="s">
        <v>449</v>
      </c>
    </row>
    <row r="3003" spans="7:7" x14ac:dyDescent="0.3">
      <c r="G3003" t="s">
        <v>450</v>
      </c>
    </row>
    <row r="3004" spans="7:7" x14ac:dyDescent="0.3">
      <c r="G3004" t="s">
        <v>451</v>
      </c>
    </row>
    <row r="3005" spans="7:7" x14ac:dyDescent="0.3">
      <c r="G3005" t="s">
        <v>452</v>
      </c>
    </row>
    <row r="3006" spans="7:7" x14ac:dyDescent="0.3">
      <c r="G3006" t="s">
        <v>1553</v>
      </c>
    </row>
    <row r="3007" spans="7:7" x14ac:dyDescent="0.3">
      <c r="G3007" t="s">
        <v>1554</v>
      </c>
    </row>
    <row r="3008" spans="7:7" x14ac:dyDescent="0.3">
      <c r="G3008" t="s">
        <v>1555</v>
      </c>
    </row>
    <row r="3009" spans="7:7" x14ac:dyDescent="0.3">
      <c r="G3009" t="s">
        <v>1556</v>
      </c>
    </row>
    <row r="3010" spans="7:7" x14ac:dyDescent="0.3">
      <c r="G3010" t="s">
        <v>1557</v>
      </c>
    </row>
    <row r="3011" spans="7:7" x14ac:dyDescent="0.3">
      <c r="G3011" t="s">
        <v>1558</v>
      </c>
    </row>
    <row r="3012" spans="7:7" x14ac:dyDescent="0.3">
      <c r="G3012" t="s">
        <v>1559</v>
      </c>
    </row>
    <row r="3013" spans="7:7" x14ac:dyDescent="0.3">
      <c r="G3013" t="s">
        <v>1560</v>
      </c>
    </row>
    <row r="3014" spans="7:7" x14ac:dyDescent="0.3">
      <c r="G3014" t="s">
        <v>1561</v>
      </c>
    </row>
    <row r="3015" spans="7:7" x14ac:dyDescent="0.3">
      <c r="G3015" t="s">
        <v>1562</v>
      </c>
    </row>
    <row r="3016" spans="7:7" x14ac:dyDescent="0.3">
      <c r="G3016" t="s">
        <v>448</v>
      </c>
    </row>
    <row r="3017" spans="7:7" x14ac:dyDescent="0.3">
      <c r="G3017" t="s">
        <v>393</v>
      </c>
    </row>
    <row r="3018" spans="7:7" x14ac:dyDescent="0.3">
      <c r="G3018" t="s">
        <v>463</v>
      </c>
    </row>
    <row r="3019" spans="7:7" x14ac:dyDescent="0.3">
      <c r="G3019" t="s">
        <v>464</v>
      </c>
    </row>
    <row r="3020" spans="7:7" x14ac:dyDescent="0.3">
      <c r="G3020" t="s">
        <v>1563</v>
      </c>
    </row>
    <row r="3021" spans="7:7" x14ac:dyDescent="0.3">
      <c r="G3021" t="s">
        <v>1564</v>
      </c>
    </row>
    <row r="3022" spans="7:7" x14ac:dyDescent="0.3">
      <c r="G3022" t="s">
        <v>1565</v>
      </c>
    </row>
    <row r="3023" spans="7:7" x14ac:dyDescent="0.3">
      <c r="G3023" t="s">
        <v>1566</v>
      </c>
    </row>
    <row r="3024" spans="7:7" x14ac:dyDescent="0.3">
      <c r="G3024" t="s">
        <v>1567</v>
      </c>
    </row>
    <row r="3025" spans="7:7" x14ac:dyDescent="0.3">
      <c r="G3025" t="s">
        <v>448</v>
      </c>
    </row>
    <row r="3026" spans="7:7" x14ac:dyDescent="0.3">
      <c r="G3026" t="s">
        <v>393</v>
      </c>
    </row>
    <row r="3027" spans="7:7" x14ac:dyDescent="0.3">
      <c r="G3027" t="s">
        <v>470</v>
      </c>
    </row>
    <row r="3028" spans="7:7" x14ac:dyDescent="0.3">
      <c r="G3028" t="s">
        <v>481</v>
      </c>
    </row>
    <row r="3029" spans="7:7" x14ac:dyDescent="0.3">
      <c r="G3029" t="s">
        <v>1568</v>
      </c>
    </row>
    <row r="3030" spans="7:7" x14ac:dyDescent="0.3">
      <c r="G3030" t="s">
        <v>473</v>
      </c>
    </row>
    <row r="3031" spans="7:7" x14ac:dyDescent="0.3">
      <c r="G3031" t="s">
        <v>474</v>
      </c>
    </row>
    <row r="3032" spans="7:7" x14ac:dyDescent="0.3">
      <c r="G3032" t="s">
        <v>471</v>
      </c>
    </row>
    <row r="3033" spans="7:7" x14ac:dyDescent="0.3">
      <c r="G3033" t="s">
        <v>1569</v>
      </c>
    </row>
    <row r="3034" spans="7:7" x14ac:dyDescent="0.3">
      <c r="G3034" t="s">
        <v>473</v>
      </c>
    </row>
    <row r="3035" spans="7:7" x14ac:dyDescent="0.3">
      <c r="G3035" t="s">
        <v>474</v>
      </c>
    </row>
    <row r="3036" spans="7:7" x14ac:dyDescent="0.3">
      <c r="G3036" t="s">
        <v>475</v>
      </c>
    </row>
    <row r="3037" spans="7:7" x14ac:dyDescent="0.3">
      <c r="G3037" t="s">
        <v>1570</v>
      </c>
    </row>
    <row r="3038" spans="7:7" x14ac:dyDescent="0.3">
      <c r="G3038" t="s">
        <v>473</v>
      </c>
    </row>
    <row r="3039" spans="7:7" x14ac:dyDescent="0.3">
      <c r="G3039" t="s">
        <v>474</v>
      </c>
    </row>
    <row r="3040" spans="7:7" x14ac:dyDescent="0.3">
      <c r="G3040" t="s">
        <v>479</v>
      </c>
    </row>
    <row r="3041" spans="7:7" x14ac:dyDescent="0.3">
      <c r="G3041" t="s">
        <v>1571</v>
      </c>
    </row>
    <row r="3042" spans="7:7" x14ac:dyDescent="0.3">
      <c r="G3042" t="s">
        <v>473</v>
      </c>
    </row>
    <row r="3043" spans="7:7" x14ac:dyDescent="0.3">
      <c r="G3043" t="s">
        <v>474</v>
      </c>
    </row>
    <row r="3044" spans="7:7" x14ac:dyDescent="0.3">
      <c r="G3044" t="s">
        <v>508</v>
      </c>
    </row>
    <row r="3045" spans="7:7" x14ac:dyDescent="0.3">
      <c r="G3045" t="s">
        <v>1572</v>
      </c>
    </row>
    <row r="3046" spans="7:7" x14ac:dyDescent="0.3">
      <c r="G3046" t="s">
        <v>473</v>
      </c>
    </row>
    <row r="3047" spans="7:7" x14ac:dyDescent="0.3">
      <c r="G3047" t="s">
        <v>448</v>
      </c>
    </row>
    <row r="3048" spans="7:7" x14ac:dyDescent="0.3">
      <c r="G3048" t="s">
        <v>409</v>
      </c>
    </row>
    <row r="3049" spans="7:7" x14ac:dyDescent="0.3">
      <c r="G3049" t="s">
        <v>177</v>
      </c>
    </row>
    <row r="3050" spans="7:7" x14ac:dyDescent="0.3">
      <c r="G3050" t="s">
        <v>436</v>
      </c>
    </row>
    <row r="3051" spans="7:7" x14ac:dyDescent="0.3">
      <c r="G3051" t="s">
        <v>437</v>
      </c>
    </row>
    <row r="3052" spans="7:7" x14ac:dyDescent="0.3">
      <c r="G3052" t="s">
        <v>438</v>
      </c>
    </row>
    <row r="3053" spans="7:7" x14ac:dyDescent="0.3">
      <c r="G3053" t="s">
        <v>439</v>
      </c>
    </row>
    <row r="3054" spans="7:7" x14ac:dyDescent="0.3">
      <c r="G3054" t="s">
        <v>1573</v>
      </c>
    </row>
    <row r="3055" spans="7:7" x14ac:dyDescent="0.3">
      <c r="G3055" t="s">
        <v>1574</v>
      </c>
    </row>
    <row r="3056" spans="7:7" x14ac:dyDescent="0.3">
      <c r="G3056" t="s">
        <v>441</v>
      </c>
    </row>
    <row r="3057" spans="7:7" x14ac:dyDescent="0.3">
      <c r="G3057" t="s">
        <v>443</v>
      </c>
    </row>
    <row r="3058" spans="7:7" x14ac:dyDescent="0.3">
      <c r="G3058" t="s">
        <v>483</v>
      </c>
    </row>
    <row r="3059" spans="7:7" x14ac:dyDescent="0.3">
      <c r="G3059" t="s">
        <v>1575</v>
      </c>
    </row>
    <row r="3060" spans="7:7" x14ac:dyDescent="0.3">
      <c r="G3060" t="s">
        <v>486</v>
      </c>
    </row>
    <row r="3061" spans="7:7" x14ac:dyDescent="0.3">
      <c r="G3061" t="s">
        <v>704</v>
      </c>
    </row>
    <row r="3062" spans="7:7" x14ac:dyDescent="0.3">
      <c r="G3062" t="s">
        <v>448</v>
      </c>
    </row>
    <row r="3063" spans="7:7" x14ac:dyDescent="0.3">
      <c r="G3063" t="s">
        <v>393</v>
      </c>
    </row>
    <row r="3064" spans="7:7" x14ac:dyDescent="0.3">
      <c r="G3064" t="s">
        <v>449</v>
      </c>
    </row>
    <row r="3065" spans="7:7" x14ac:dyDescent="0.3">
      <c r="G3065" t="s">
        <v>488</v>
      </c>
    </row>
    <row r="3066" spans="7:7" x14ac:dyDescent="0.3">
      <c r="G3066" t="s">
        <v>451</v>
      </c>
    </row>
    <row r="3067" spans="7:7" x14ac:dyDescent="0.3">
      <c r="G3067" t="s">
        <v>452</v>
      </c>
    </row>
    <row r="3068" spans="7:7" x14ac:dyDescent="0.3">
      <c r="G3068" t="s">
        <v>1576</v>
      </c>
    </row>
    <row r="3069" spans="7:7" x14ac:dyDescent="0.3">
      <c r="G3069" t="s">
        <v>1577</v>
      </c>
    </row>
    <row r="3070" spans="7:7" x14ac:dyDescent="0.3">
      <c r="G3070" t="s">
        <v>1578</v>
      </c>
    </row>
    <row r="3071" spans="7:7" x14ac:dyDescent="0.3">
      <c r="G3071" t="s">
        <v>1579</v>
      </c>
    </row>
    <row r="3072" spans="7:7" x14ac:dyDescent="0.3">
      <c r="G3072" t="s">
        <v>1580</v>
      </c>
    </row>
    <row r="3073" spans="7:7" x14ac:dyDescent="0.3">
      <c r="G3073" t="s">
        <v>1581</v>
      </c>
    </row>
    <row r="3074" spans="7:7" x14ac:dyDescent="0.3">
      <c r="G3074" t="s">
        <v>1582</v>
      </c>
    </row>
    <row r="3075" spans="7:7" x14ac:dyDescent="0.3">
      <c r="G3075" t="s">
        <v>1583</v>
      </c>
    </row>
    <row r="3076" spans="7:7" x14ac:dyDescent="0.3">
      <c r="G3076" t="s">
        <v>1584</v>
      </c>
    </row>
    <row r="3077" spans="7:7" x14ac:dyDescent="0.3">
      <c r="G3077" t="s">
        <v>1585</v>
      </c>
    </row>
    <row r="3078" spans="7:7" x14ac:dyDescent="0.3">
      <c r="G3078" t="s">
        <v>448</v>
      </c>
    </row>
    <row r="3079" spans="7:7" x14ac:dyDescent="0.3">
      <c r="G3079" t="s">
        <v>393</v>
      </c>
    </row>
    <row r="3080" spans="7:7" x14ac:dyDescent="0.3">
      <c r="G3080" t="s">
        <v>463</v>
      </c>
    </row>
    <row r="3081" spans="7:7" x14ac:dyDescent="0.3">
      <c r="G3081" t="s">
        <v>464</v>
      </c>
    </row>
    <row r="3082" spans="7:7" x14ac:dyDescent="0.3">
      <c r="G3082" t="s">
        <v>1586</v>
      </c>
    </row>
    <row r="3083" spans="7:7" x14ac:dyDescent="0.3">
      <c r="G3083" t="s">
        <v>1587</v>
      </c>
    </row>
    <row r="3084" spans="7:7" x14ac:dyDescent="0.3">
      <c r="G3084" t="s">
        <v>1588</v>
      </c>
    </row>
    <row r="3085" spans="7:7" x14ac:dyDescent="0.3">
      <c r="G3085" t="s">
        <v>1589</v>
      </c>
    </row>
    <row r="3086" spans="7:7" x14ac:dyDescent="0.3">
      <c r="G3086" t="s">
        <v>1590</v>
      </c>
    </row>
    <row r="3087" spans="7:7" x14ac:dyDescent="0.3">
      <c r="G3087" t="s">
        <v>448</v>
      </c>
    </row>
    <row r="3088" spans="7:7" x14ac:dyDescent="0.3">
      <c r="G3088" t="s">
        <v>393</v>
      </c>
    </row>
    <row r="3089" spans="7:7" x14ac:dyDescent="0.3">
      <c r="G3089" t="s">
        <v>470</v>
      </c>
    </row>
    <row r="3090" spans="7:7" x14ac:dyDescent="0.3">
      <c r="G3090" t="s">
        <v>721</v>
      </c>
    </row>
    <row r="3091" spans="7:7" x14ac:dyDescent="0.3">
      <c r="G3091" t="s">
        <v>1591</v>
      </c>
    </row>
    <row r="3092" spans="7:7" x14ac:dyDescent="0.3">
      <c r="G3092" t="s">
        <v>473</v>
      </c>
    </row>
    <row r="3093" spans="7:7" x14ac:dyDescent="0.3">
      <c r="G3093" t="s">
        <v>474</v>
      </c>
    </row>
    <row r="3094" spans="7:7" x14ac:dyDescent="0.3">
      <c r="G3094" t="s">
        <v>504</v>
      </c>
    </row>
    <row r="3095" spans="7:7" x14ac:dyDescent="0.3">
      <c r="G3095" t="s">
        <v>1592</v>
      </c>
    </row>
    <row r="3096" spans="7:7" x14ac:dyDescent="0.3">
      <c r="G3096" t="s">
        <v>473</v>
      </c>
    </row>
    <row r="3097" spans="7:7" x14ac:dyDescent="0.3">
      <c r="G3097" t="s">
        <v>474</v>
      </c>
    </row>
    <row r="3098" spans="7:7" x14ac:dyDescent="0.3">
      <c r="G3098" t="s">
        <v>508</v>
      </c>
    </row>
    <row r="3099" spans="7:7" x14ac:dyDescent="0.3">
      <c r="G3099" t="s">
        <v>1593</v>
      </c>
    </row>
    <row r="3100" spans="7:7" x14ac:dyDescent="0.3">
      <c r="G3100" t="s">
        <v>473</v>
      </c>
    </row>
    <row r="3101" spans="7:7" x14ac:dyDescent="0.3">
      <c r="G3101" t="s">
        <v>474</v>
      </c>
    </row>
    <row r="3102" spans="7:7" x14ac:dyDescent="0.3">
      <c r="G3102" t="s">
        <v>481</v>
      </c>
    </row>
    <row r="3103" spans="7:7" x14ac:dyDescent="0.3">
      <c r="G3103" t="s">
        <v>1594</v>
      </c>
    </row>
    <row r="3104" spans="7:7" x14ac:dyDescent="0.3">
      <c r="G3104" t="s">
        <v>473</v>
      </c>
    </row>
    <row r="3105" spans="7:7" x14ac:dyDescent="0.3">
      <c r="G3105" t="s">
        <v>474</v>
      </c>
    </row>
    <row r="3106" spans="7:7" x14ac:dyDescent="0.3">
      <c r="G3106" t="s">
        <v>479</v>
      </c>
    </row>
    <row r="3107" spans="7:7" x14ac:dyDescent="0.3">
      <c r="G3107" t="s">
        <v>1595</v>
      </c>
    </row>
    <row r="3108" spans="7:7" x14ac:dyDescent="0.3">
      <c r="G3108" t="s">
        <v>473</v>
      </c>
    </row>
    <row r="3109" spans="7:7" x14ac:dyDescent="0.3">
      <c r="G3109" t="s">
        <v>448</v>
      </c>
    </row>
    <row r="3110" spans="7:7" x14ac:dyDescent="0.3">
      <c r="G3110" t="s">
        <v>409</v>
      </c>
    </row>
    <row r="3111" spans="7:7" x14ac:dyDescent="0.3">
      <c r="G3111" t="s">
        <v>177</v>
      </c>
    </row>
    <row r="3112" spans="7:7" x14ac:dyDescent="0.3">
      <c r="G3112" t="s">
        <v>436</v>
      </c>
    </row>
    <row r="3113" spans="7:7" x14ac:dyDescent="0.3">
      <c r="G3113" t="s">
        <v>437</v>
      </c>
    </row>
    <row r="3114" spans="7:7" x14ac:dyDescent="0.3">
      <c r="G3114" t="s">
        <v>438</v>
      </c>
    </row>
    <row r="3115" spans="7:7" x14ac:dyDescent="0.3">
      <c r="G3115" t="s">
        <v>439</v>
      </c>
    </row>
    <row r="3116" spans="7:7" x14ac:dyDescent="0.3">
      <c r="G3116" t="s">
        <v>440</v>
      </c>
    </row>
    <row r="3117" spans="7:7" x14ac:dyDescent="0.3">
      <c r="G3117" t="s">
        <v>1596</v>
      </c>
    </row>
    <row r="3118" spans="7:7" x14ac:dyDescent="0.3">
      <c r="G3118" t="s">
        <v>441</v>
      </c>
    </row>
    <row r="3119" spans="7:7" x14ac:dyDescent="0.3">
      <c r="G3119" t="s">
        <v>443</v>
      </c>
    </row>
    <row r="3120" spans="7:7" x14ac:dyDescent="0.3">
      <c r="G3120" t="s">
        <v>483</v>
      </c>
    </row>
    <row r="3121" spans="7:7" x14ac:dyDescent="0.3">
      <c r="G3121" t="s">
        <v>1597</v>
      </c>
    </row>
    <row r="3122" spans="7:7" x14ac:dyDescent="0.3">
      <c r="G3122" t="s">
        <v>486</v>
      </c>
    </row>
    <row r="3123" spans="7:7" x14ac:dyDescent="0.3">
      <c r="G3123" t="s">
        <v>1598</v>
      </c>
    </row>
    <row r="3124" spans="7:7" x14ac:dyDescent="0.3">
      <c r="G3124" t="s">
        <v>448</v>
      </c>
    </row>
    <row r="3125" spans="7:7" x14ac:dyDescent="0.3">
      <c r="G3125" t="s">
        <v>393</v>
      </c>
    </row>
    <row r="3126" spans="7:7" x14ac:dyDescent="0.3">
      <c r="G3126" t="s">
        <v>449</v>
      </c>
    </row>
    <row r="3127" spans="7:7" x14ac:dyDescent="0.3">
      <c r="G3127" t="s">
        <v>450</v>
      </c>
    </row>
    <row r="3128" spans="7:7" x14ac:dyDescent="0.3">
      <c r="G3128" t="s">
        <v>451</v>
      </c>
    </row>
    <row r="3129" spans="7:7" x14ac:dyDescent="0.3">
      <c r="G3129" t="s">
        <v>452</v>
      </c>
    </row>
    <row r="3130" spans="7:7" x14ac:dyDescent="0.3">
      <c r="G3130" t="s">
        <v>1599</v>
      </c>
    </row>
    <row r="3131" spans="7:7" x14ac:dyDescent="0.3">
      <c r="G3131" t="s">
        <v>1600</v>
      </c>
    </row>
    <row r="3132" spans="7:7" x14ac:dyDescent="0.3">
      <c r="G3132" t="s">
        <v>1601</v>
      </c>
    </row>
    <row r="3133" spans="7:7" x14ac:dyDescent="0.3">
      <c r="G3133" t="s">
        <v>1602</v>
      </c>
    </row>
    <row r="3134" spans="7:7" x14ac:dyDescent="0.3">
      <c r="G3134" t="s">
        <v>1603</v>
      </c>
    </row>
    <row r="3135" spans="7:7" x14ac:dyDescent="0.3">
      <c r="G3135" t="s">
        <v>1604</v>
      </c>
    </row>
    <row r="3136" spans="7:7" x14ac:dyDescent="0.3">
      <c r="G3136" t="s">
        <v>1605</v>
      </c>
    </row>
    <row r="3137" spans="7:7" x14ac:dyDescent="0.3">
      <c r="G3137" t="s">
        <v>1606</v>
      </c>
    </row>
    <row r="3138" spans="7:7" x14ac:dyDescent="0.3">
      <c r="G3138" t="s">
        <v>1607</v>
      </c>
    </row>
    <row r="3139" spans="7:7" x14ac:dyDescent="0.3">
      <c r="G3139" t="s">
        <v>1608</v>
      </c>
    </row>
    <row r="3140" spans="7:7" x14ac:dyDescent="0.3">
      <c r="G3140" t="s">
        <v>448</v>
      </c>
    </row>
    <row r="3141" spans="7:7" x14ac:dyDescent="0.3">
      <c r="G3141" t="s">
        <v>393</v>
      </c>
    </row>
    <row r="3142" spans="7:7" x14ac:dyDescent="0.3">
      <c r="G3142" t="s">
        <v>463</v>
      </c>
    </row>
    <row r="3143" spans="7:7" x14ac:dyDescent="0.3">
      <c r="G3143" t="s">
        <v>464</v>
      </c>
    </row>
    <row r="3144" spans="7:7" x14ac:dyDescent="0.3">
      <c r="G3144" t="s">
        <v>1609</v>
      </c>
    </row>
    <row r="3145" spans="7:7" x14ac:dyDescent="0.3">
      <c r="G3145" t="s">
        <v>1610</v>
      </c>
    </row>
    <row r="3146" spans="7:7" x14ac:dyDescent="0.3">
      <c r="G3146" t="s">
        <v>1611</v>
      </c>
    </row>
    <row r="3147" spans="7:7" x14ac:dyDescent="0.3">
      <c r="G3147" t="s">
        <v>1612</v>
      </c>
    </row>
    <row r="3148" spans="7:7" x14ac:dyDescent="0.3">
      <c r="G3148" t="s">
        <v>1613</v>
      </c>
    </row>
    <row r="3149" spans="7:7" x14ac:dyDescent="0.3">
      <c r="G3149" t="s">
        <v>448</v>
      </c>
    </row>
    <row r="3150" spans="7:7" x14ac:dyDescent="0.3">
      <c r="G3150" t="s">
        <v>393</v>
      </c>
    </row>
    <row r="3151" spans="7:7" x14ac:dyDescent="0.3">
      <c r="G3151" t="s">
        <v>470</v>
      </c>
    </row>
    <row r="3152" spans="7:7" x14ac:dyDescent="0.3">
      <c r="G3152" t="s">
        <v>504</v>
      </c>
    </row>
    <row r="3153" spans="7:7" x14ac:dyDescent="0.3">
      <c r="G3153" t="s">
        <v>1614</v>
      </c>
    </row>
    <row r="3154" spans="7:7" x14ac:dyDescent="0.3">
      <c r="G3154" t="s">
        <v>473</v>
      </c>
    </row>
    <row r="3155" spans="7:7" x14ac:dyDescent="0.3">
      <c r="G3155" t="s">
        <v>474</v>
      </c>
    </row>
    <row r="3156" spans="7:7" x14ac:dyDescent="0.3">
      <c r="G3156" t="s">
        <v>471</v>
      </c>
    </row>
    <row r="3157" spans="7:7" x14ac:dyDescent="0.3">
      <c r="G3157" t="s">
        <v>1615</v>
      </c>
    </row>
    <row r="3158" spans="7:7" x14ac:dyDescent="0.3">
      <c r="G3158" t="s">
        <v>473</v>
      </c>
    </row>
    <row r="3159" spans="7:7" x14ac:dyDescent="0.3">
      <c r="G3159" t="s">
        <v>474</v>
      </c>
    </row>
    <row r="3160" spans="7:7" x14ac:dyDescent="0.3">
      <c r="G3160" t="s">
        <v>508</v>
      </c>
    </row>
    <row r="3161" spans="7:7" x14ac:dyDescent="0.3">
      <c r="G3161" t="s">
        <v>1616</v>
      </c>
    </row>
    <row r="3162" spans="7:7" x14ac:dyDescent="0.3">
      <c r="G3162" t="s">
        <v>473</v>
      </c>
    </row>
    <row r="3163" spans="7:7" x14ac:dyDescent="0.3">
      <c r="G3163" t="s">
        <v>474</v>
      </c>
    </row>
    <row r="3164" spans="7:7" x14ac:dyDescent="0.3">
      <c r="G3164" t="s">
        <v>481</v>
      </c>
    </row>
    <row r="3165" spans="7:7" x14ac:dyDescent="0.3">
      <c r="G3165" t="s">
        <v>1617</v>
      </c>
    </row>
    <row r="3166" spans="7:7" x14ac:dyDescent="0.3">
      <c r="G3166" t="s">
        <v>473</v>
      </c>
    </row>
    <row r="3167" spans="7:7" x14ac:dyDescent="0.3">
      <c r="G3167" t="s">
        <v>474</v>
      </c>
    </row>
    <row r="3168" spans="7:7" x14ac:dyDescent="0.3">
      <c r="G3168" t="s">
        <v>479</v>
      </c>
    </row>
    <row r="3169" spans="7:7" x14ac:dyDescent="0.3">
      <c r="G3169" t="s">
        <v>1618</v>
      </c>
    </row>
    <row r="3170" spans="7:7" x14ac:dyDescent="0.3">
      <c r="G3170" t="s">
        <v>473</v>
      </c>
    </row>
    <row r="3171" spans="7:7" x14ac:dyDescent="0.3">
      <c r="G3171" t="s">
        <v>448</v>
      </c>
    </row>
    <row r="3172" spans="7:7" x14ac:dyDescent="0.3">
      <c r="G3172" t="s">
        <v>409</v>
      </c>
    </row>
    <row r="3173" spans="7:7" x14ac:dyDescent="0.3">
      <c r="G3173" t="s">
        <v>177</v>
      </c>
    </row>
    <row r="3174" spans="7:7" x14ac:dyDescent="0.3">
      <c r="G3174" t="s">
        <v>436</v>
      </c>
    </row>
    <row r="3175" spans="7:7" x14ac:dyDescent="0.3">
      <c r="G3175" t="s">
        <v>437</v>
      </c>
    </row>
    <row r="3176" spans="7:7" x14ac:dyDescent="0.3">
      <c r="G3176" t="s">
        <v>438</v>
      </c>
    </row>
    <row r="3177" spans="7:7" x14ac:dyDescent="0.3">
      <c r="G3177" t="s">
        <v>439</v>
      </c>
    </row>
    <row r="3178" spans="7:7" x14ac:dyDescent="0.3">
      <c r="G3178" t="s">
        <v>440</v>
      </c>
    </row>
    <row r="3179" spans="7:7" x14ac:dyDescent="0.3">
      <c r="G3179" t="s">
        <v>1619</v>
      </c>
    </row>
    <row r="3180" spans="7:7" x14ac:dyDescent="0.3">
      <c r="G3180" t="s">
        <v>441</v>
      </c>
    </row>
    <row r="3181" spans="7:7" x14ac:dyDescent="0.3">
      <c r="G3181" t="s">
        <v>1620</v>
      </c>
    </row>
    <row r="3182" spans="7:7" x14ac:dyDescent="0.3">
      <c r="G3182" t="s">
        <v>443</v>
      </c>
    </row>
    <row r="3183" spans="7:7" x14ac:dyDescent="0.3">
      <c r="G3183" t="s">
        <v>483</v>
      </c>
    </row>
    <row r="3184" spans="7:7" x14ac:dyDescent="0.3">
      <c r="G3184" t="s">
        <v>445</v>
      </c>
    </row>
    <row r="3185" spans="7:7" x14ac:dyDescent="0.3">
      <c r="G3185" t="s">
        <v>1621</v>
      </c>
    </row>
    <row r="3186" spans="7:7" x14ac:dyDescent="0.3">
      <c r="G3186" t="s">
        <v>448</v>
      </c>
    </row>
    <row r="3187" spans="7:7" x14ac:dyDescent="0.3">
      <c r="G3187" t="s">
        <v>393</v>
      </c>
    </row>
    <row r="3188" spans="7:7" x14ac:dyDescent="0.3">
      <c r="G3188" t="s">
        <v>449</v>
      </c>
    </row>
    <row r="3189" spans="7:7" x14ac:dyDescent="0.3">
      <c r="G3189" t="s">
        <v>450</v>
      </c>
    </row>
    <row r="3190" spans="7:7" x14ac:dyDescent="0.3">
      <c r="G3190" t="s">
        <v>451</v>
      </c>
    </row>
    <row r="3191" spans="7:7" x14ac:dyDescent="0.3">
      <c r="G3191" t="s">
        <v>452</v>
      </c>
    </row>
    <row r="3192" spans="7:7" x14ac:dyDescent="0.3">
      <c r="G3192" t="s">
        <v>1622</v>
      </c>
    </row>
    <row r="3193" spans="7:7" x14ac:dyDescent="0.3">
      <c r="G3193" t="s">
        <v>448</v>
      </c>
    </row>
    <row r="3194" spans="7:7" x14ac:dyDescent="0.3">
      <c r="G3194" t="s">
        <v>393</v>
      </c>
    </row>
    <row r="3195" spans="7:7" x14ac:dyDescent="0.3">
      <c r="G3195" t="s">
        <v>463</v>
      </c>
    </row>
    <row r="3196" spans="7:7" x14ac:dyDescent="0.3">
      <c r="G3196" t="s">
        <v>464</v>
      </c>
    </row>
    <row r="3197" spans="7:7" x14ac:dyDescent="0.3">
      <c r="G3197" t="s">
        <v>1623</v>
      </c>
    </row>
    <row r="3198" spans="7:7" x14ac:dyDescent="0.3">
      <c r="G3198" t="s">
        <v>1624</v>
      </c>
    </row>
    <row r="3199" spans="7:7" x14ac:dyDescent="0.3">
      <c r="G3199" t="s">
        <v>1625</v>
      </c>
    </row>
    <row r="3200" spans="7:7" x14ac:dyDescent="0.3">
      <c r="G3200" t="s">
        <v>1626</v>
      </c>
    </row>
    <row r="3201" spans="7:7" x14ac:dyDescent="0.3">
      <c r="G3201" t="s">
        <v>1627</v>
      </c>
    </row>
    <row r="3202" spans="7:7" x14ac:dyDescent="0.3">
      <c r="G3202" t="s">
        <v>448</v>
      </c>
    </row>
    <row r="3203" spans="7:7" x14ac:dyDescent="0.3">
      <c r="G3203" t="s">
        <v>393</v>
      </c>
    </row>
    <row r="3204" spans="7:7" x14ac:dyDescent="0.3">
      <c r="G3204" t="s">
        <v>470</v>
      </c>
    </row>
    <row r="3205" spans="7:7" x14ac:dyDescent="0.3">
      <c r="G3205" t="s">
        <v>481</v>
      </c>
    </row>
    <row r="3206" spans="7:7" x14ac:dyDescent="0.3">
      <c r="G3206" t="s">
        <v>1628</v>
      </c>
    </row>
    <row r="3207" spans="7:7" x14ac:dyDescent="0.3">
      <c r="G3207" t="s">
        <v>473</v>
      </c>
    </row>
    <row r="3208" spans="7:7" x14ac:dyDescent="0.3">
      <c r="G3208" t="s">
        <v>474</v>
      </c>
    </row>
    <row r="3209" spans="7:7" x14ac:dyDescent="0.3">
      <c r="G3209" t="s">
        <v>471</v>
      </c>
    </row>
    <row r="3210" spans="7:7" x14ac:dyDescent="0.3">
      <c r="G3210" t="s">
        <v>1629</v>
      </c>
    </row>
    <row r="3211" spans="7:7" x14ac:dyDescent="0.3">
      <c r="G3211" t="s">
        <v>473</v>
      </c>
    </row>
    <row r="3212" spans="7:7" x14ac:dyDescent="0.3">
      <c r="G3212" t="s">
        <v>474</v>
      </c>
    </row>
    <row r="3213" spans="7:7" x14ac:dyDescent="0.3">
      <c r="G3213" t="s">
        <v>508</v>
      </c>
    </row>
    <row r="3214" spans="7:7" x14ac:dyDescent="0.3">
      <c r="G3214" t="s">
        <v>1630</v>
      </c>
    </row>
    <row r="3215" spans="7:7" x14ac:dyDescent="0.3">
      <c r="G3215" t="s">
        <v>473</v>
      </c>
    </row>
    <row r="3216" spans="7:7" x14ac:dyDescent="0.3">
      <c r="G3216" t="s">
        <v>474</v>
      </c>
    </row>
    <row r="3217" spans="7:7" x14ac:dyDescent="0.3">
      <c r="G3217" t="s">
        <v>475</v>
      </c>
    </row>
    <row r="3218" spans="7:7" x14ac:dyDescent="0.3">
      <c r="G3218" t="s">
        <v>1631</v>
      </c>
    </row>
    <row r="3219" spans="7:7" x14ac:dyDescent="0.3">
      <c r="G3219" t="s">
        <v>473</v>
      </c>
    </row>
    <row r="3220" spans="7:7" x14ac:dyDescent="0.3">
      <c r="G3220" t="s">
        <v>474</v>
      </c>
    </row>
    <row r="3221" spans="7:7" x14ac:dyDescent="0.3">
      <c r="G3221" t="s">
        <v>479</v>
      </c>
    </row>
    <row r="3222" spans="7:7" x14ac:dyDescent="0.3">
      <c r="G3222" t="s">
        <v>1632</v>
      </c>
    </row>
    <row r="3223" spans="7:7" x14ac:dyDescent="0.3">
      <c r="G3223" t="s">
        <v>473</v>
      </c>
    </row>
    <row r="3224" spans="7:7" x14ac:dyDescent="0.3">
      <c r="G3224" t="s">
        <v>448</v>
      </c>
    </row>
    <row r="3225" spans="7:7" x14ac:dyDescent="0.3">
      <c r="G3225" t="s">
        <v>409</v>
      </c>
    </row>
    <row r="3226" spans="7:7" x14ac:dyDescent="0.3">
      <c r="G3226" t="s">
        <v>177</v>
      </c>
    </row>
    <row r="3227" spans="7:7" x14ac:dyDescent="0.3">
      <c r="G3227" t="s">
        <v>436</v>
      </c>
    </row>
    <row r="3228" spans="7:7" x14ac:dyDescent="0.3">
      <c r="G3228" t="s">
        <v>437</v>
      </c>
    </row>
    <row r="3229" spans="7:7" x14ac:dyDescent="0.3">
      <c r="G3229" t="s">
        <v>438</v>
      </c>
    </row>
    <row r="3230" spans="7:7" x14ac:dyDescent="0.3">
      <c r="G3230" t="s">
        <v>439</v>
      </c>
    </row>
    <row r="3231" spans="7:7" x14ac:dyDescent="0.3">
      <c r="G3231" t="s">
        <v>440</v>
      </c>
    </row>
    <row r="3232" spans="7:7" x14ac:dyDescent="0.3">
      <c r="G3232" t="s">
        <v>1633</v>
      </c>
    </row>
    <row r="3233" spans="7:7" x14ac:dyDescent="0.3">
      <c r="G3233" t="s">
        <v>441</v>
      </c>
    </row>
    <row r="3234" spans="7:7" x14ac:dyDescent="0.3">
      <c r="G3234" t="s">
        <v>443</v>
      </c>
    </row>
    <row r="3235" spans="7:7" x14ac:dyDescent="0.3">
      <c r="G3235" t="s">
        <v>483</v>
      </c>
    </row>
    <row r="3236" spans="7:7" x14ac:dyDescent="0.3">
      <c r="G3236" t="s">
        <v>1634</v>
      </c>
    </row>
    <row r="3237" spans="7:7" x14ac:dyDescent="0.3">
      <c r="G3237" t="s">
        <v>445</v>
      </c>
    </row>
    <row r="3238" spans="7:7" x14ac:dyDescent="0.3">
      <c r="G3238" t="s">
        <v>1635</v>
      </c>
    </row>
    <row r="3239" spans="7:7" x14ac:dyDescent="0.3">
      <c r="G3239" t="s">
        <v>448</v>
      </c>
    </row>
    <row r="3240" spans="7:7" x14ac:dyDescent="0.3">
      <c r="G3240" t="s">
        <v>393</v>
      </c>
    </row>
    <row r="3241" spans="7:7" x14ac:dyDescent="0.3">
      <c r="G3241" t="s">
        <v>449</v>
      </c>
    </row>
    <row r="3242" spans="7:7" x14ac:dyDescent="0.3">
      <c r="G3242" t="s">
        <v>450</v>
      </c>
    </row>
    <row r="3243" spans="7:7" x14ac:dyDescent="0.3">
      <c r="G3243" t="s">
        <v>451</v>
      </c>
    </row>
    <row r="3244" spans="7:7" x14ac:dyDescent="0.3">
      <c r="G3244" t="s">
        <v>452</v>
      </c>
    </row>
    <row r="3245" spans="7:7" x14ac:dyDescent="0.3">
      <c r="G3245" t="s">
        <v>1636</v>
      </c>
    </row>
    <row r="3246" spans="7:7" x14ac:dyDescent="0.3">
      <c r="G3246" t="s">
        <v>1637</v>
      </c>
    </row>
    <row r="3247" spans="7:7" x14ac:dyDescent="0.3">
      <c r="G3247" t="s">
        <v>1638</v>
      </c>
    </row>
    <row r="3248" spans="7:7" x14ac:dyDescent="0.3">
      <c r="G3248" t="s">
        <v>1639</v>
      </c>
    </row>
    <row r="3249" spans="7:7" x14ac:dyDescent="0.3">
      <c r="G3249" t="s">
        <v>1640</v>
      </c>
    </row>
    <row r="3250" spans="7:7" x14ac:dyDescent="0.3">
      <c r="G3250" t="s">
        <v>1641</v>
      </c>
    </row>
    <row r="3251" spans="7:7" x14ac:dyDescent="0.3">
      <c r="G3251" t="s">
        <v>1642</v>
      </c>
    </row>
    <row r="3252" spans="7:7" x14ac:dyDescent="0.3">
      <c r="G3252" t="s">
        <v>1643</v>
      </c>
    </row>
    <row r="3253" spans="7:7" x14ac:dyDescent="0.3">
      <c r="G3253" t="s">
        <v>1644</v>
      </c>
    </row>
    <row r="3254" spans="7:7" x14ac:dyDescent="0.3">
      <c r="G3254" t="s">
        <v>1645</v>
      </c>
    </row>
    <row r="3255" spans="7:7" x14ac:dyDescent="0.3">
      <c r="G3255" t="s">
        <v>448</v>
      </c>
    </row>
    <row r="3256" spans="7:7" x14ac:dyDescent="0.3">
      <c r="G3256" t="s">
        <v>393</v>
      </c>
    </row>
    <row r="3257" spans="7:7" x14ac:dyDescent="0.3">
      <c r="G3257" t="s">
        <v>463</v>
      </c>
    </row>
    <row r="3258" spans="7:7" x14ac:dyDescent="0.3">
      <c r="G3258" t="s">
        <v>464</v>
      </c>
    </row>
    <row r="3259" spans="7:7" x14ac:dyDescent="0.3">
      <c r="G3259" t="s">
        <v>1646</v>
      </c>
    </row>
    <row r="3260" spans="7:7" x14ac:dyDescent="0.3">
      <c r="G3260" t="s">
        <v>1647</v>
      </c>
    </row>
    <row r="3261" spans="7:7" x14ac:dyDescent="0.3">
      <c r="G3261" t="s">
        <v>1648</v>
      </c>
    </row>
    <row r="3262" spans="7:7" x14ac:dyDescent="0.3">
      <c r="G3262" t="s">
        <v>1649</v>
      </c>
    </row>
    <row r="3263" spans="7:7" x14ac:dyDescent="0.3">
      <c r="G3263" t="s">
        <v>1650</v>
      </c>
    </row>
    <row r="3264" spans="7:7" x14ac:dyDescent="0.3">
      <c r="G3264" t="s">
        <v>448</v>
      </c>
    </row>
    <row r="3265" spans="7:7" x14ac:dyDescent="0.3">
      <c r="G3265" t="s">
        <v>393</v>
      </c>
    </row>
    <row r="3266" spans="7:7" x14ac:dyDescent="0.3">
      <c r="G3266" t="s">
        <v>470</v>
      </c>
    </row>
    <row r="3267" spans="7:7" x14ac:dyDescent="0.3">
      <c r="G3267" t="s">
        <v>471</v>
      </c>
    </row>
    <row r="3268" spans="7:7" x14ac:dyDescent="0.3">
      <c r="G3268" t="s">
        <v>1651</v>
      </c>
    </row>
    <row r="3269" spans="7:7" x14ac:dyDescent="0.3">
      <c r="G3269" t="s">
        <v>473</v>
      </c>
    </row>
    <row r="3270" spans="7:7" x14ac:dyDescent="0.3">
      <c r="G3270" t="s">
        <v>474</v>
      </c>
    </row>
    <row r="3271" spans="7:7" x14ac:dyDescent="0.3">
      <c r="G3271" t="s">
        <v>481</v>
      </c>
    </row>
    <row r="3272" spans="7:7" x14ac:dyDescent="0.3">
      <c r="G3272" t="s">
        <v>1652</v>
      </c>
    </row>
    <row r="3273" spans="7:7" x14ac:dyDescent="0.3">
      <c r="G3273" t="s">
        <v>473</v>
      </c>
    </row>
    <row r="3274" spans="7:7" x14ac:dyDescent="0.3">
      <c r="G3274" t="s">
        <v>474</v>
      </c>
    </row>
    <row r="3275" spans="7:7" x14ac:dyDescent="0.3">
      <c r="G3275" t="s">
        <v>475</v>
      </c>
    </row>
    <row r="3276" spans="7:7" x14ac:dyDescent="0.3">
      <c r="G3276" t="s">
        <v>1653</v>
      </c>
    </row>
    <row r="3277" spans="7:7" x14ac:dyDescent="0.3">
      <c r="G3277" t="s">
        <v>473</v>
      </c>
    </row>
    <row r="3278" spans="7:7" x14ac:dyDescent="0.3">
      <c r="G3278" t="s">
        <v>474</v>
      </c>
    </row>
    <row r="3279" spans="7:7" x14ac:dyDescent="0.3">
      <c r="G3279" t="s">
        <v>508</v>
      </c>
    </row>
    <row r="3280" spans="7:7" x14ac:dyDescent="0.3">
      <c r="G3280" t="s">
        <v>1654</v>
      </c>
    </row>
    <row r="3281" spans="7:7" x14ac:dyDescent="0.3">
      <c r="G3281" t="s">
        <v>473</v>
      </c>
    </row>
    <row r="3282" spans="7:7" x14ac:dyDescent="0.3">
      <c r="G3282" t="s">
        <v>474</v>
      </c>
    </row>
    <row r="3283" spans="7:7" x14ac:dyDescent="0.3">
      <c r="G3283" t="s">
        <v>479</v>
      </c>
    </row>
    <row r="3284" spans="7:7" x14ac:dyDescent="0.3">
      <c r="G3284" t="s">
        <v>1655</v>
      </c>
    </row>
    <row r="3285" spans="7:7" x14ac:dyDescent="0.3">
      <c r="G3285" t="s">
        <v>473</v>
      </c>
    </row>
    <row r="3286" spans="7:7" x14ac:dyDescent="0.3">
      <c r="G3286" t="s">
        <v>448</v>
      </c>
    </row>
    <row r="3287" spans="7:7" x14ac:dyDescent="0.3">
      <c r="G3287" t="s">
        <v>409</v>
      </c>
    </row>
    <row r="3288" spans="7:7" x14ac:dyDescent="0.3">
      <c r="G3288" t="s">
        <v>177</v>
      </c>
    </row>
    <row r="3289" spans="7:7" x14ac:dyDescent="0.3">
      <c r="G3289" t="s">
        <v>436</v>
      </c>
    </row>
    <row r="3290" spans="7:7" x14ac:dyDescent="0.3">
      <c r="G3290" t="s">
        <v>437</v>
      </c>
    </row>
    <row r="3291" spans="7:7" x14ac:dyDescent="0.3">
      <c r="G3291" t="s">
        <v>438</v>
      </c>
    </row>
    <row r="3292" spans="7:7" x14ac:dyDescent="0.3">
      <c r="G3292" t="s">
        <v>439</v>
      </c>
    </row>
    <row r="3293" spans="7:7" x14ac:dyDescent="0.3">
      <c r="G3293" t="s">
        <v>1656</v>
      </c>
    </row>
    <row r="3294" spans="7:7" x14ac:dyDescent="0.3">
      <c r="G3294" t="s">
        <v>441</v>
      </c>
    </row>
    <row r="3295" spans="7:7" x14ac:dyDescent="0.3">
      <c r="G3295" t="s">
        <v>443</v>
      </c>
    </row>
    <row r="3296" spans="7:7" x14ac:dyDescent="0.3">
      <c r="G3296" t="s">
        <v>483</v>
      </c>
    </row>
    <row r="3297" spans="7:7" x14ac:dyDescent="0.3">
      <c r="G3297" t="s">
        <v>486</v>
      </c>
    </row>
    <row r="3298" spans="7:7" x14ac:dyDescent="0.3">
      <c r="G3298" t="s">
        <v>1657</v>
      </c>
    </row>
    <row r="3299" spans="7:7" x14ac:dyDescent="0.3">
      <c r="G3299" t="s">
        <v>936</v>
      </c>
    </row>
    <row r="3300" spans="7:7" x14ac:dyDescent="0.3">
      <c r="G3300" t="s">
        <v>1658</v>
      </c>
    </row>
    <row r="3301" spans="7:7" x14ac:dyDescent="0.3">
      <c r="G3301" t="s">
        <v>448</v>
      </c>
    </row>
    <row r="3302" spans="7:7" x14ac:dyDescent="0.3">
      <c r="G3302" t="s">
        <v>393</v>
      </c>
    </row>
    <row r="3303" spans="7:7" x14ac:dyDescent="0.3">
      <c r="G3303" t="s">
        <v>449</v>
      </c>
    </row>
    <row r="3304" spans="7:7" x14ac:dyDescent="0.3">
      <c r="G3304" t="s">
        <v>450</v>
      </c>
    </row>
    <row r="3305" spans="7:7" x14ac:dyDescent="0.3">
      <c r="G3305" t="s">
        <v>451</v>
      </c>
    </row>
    <row r="3306" spans="7:7" x14ac:dyDescent="0.3">
      <c r="G3306" t="s">
        <v>452</v>
      </c>
    </row>
    <row r="3307" spans="7:7" x14ac:dyDescent="0.3">
      <c r="G3307" t="s">
        <v>1659</v>
      </c>
    </row>
    <row r="3308" spans="7:7" x14ac:dyDescent="0.3">
      <c r="G3308" t="s">
        <v>1660</v>
      </c>
    </row>
    <row r="3309" spans="7:7" x14ac:dyDescent="0.3">
      <c r="G3309" t="s">
        <v>1661</v>
      </c>
    </row>
    <row r="3310" spans="7:7" x14ac:dyDescent="0.3">
      <c r="G3310" t="s">
        <v>1662</v>
      </c>
    </row>
    <row r="3311" spans="7:7" x14ac:dyDescent="0.3">
      <c r="G3311" t="s">
        <v>1663</v>
      </c>
    </row>
    <row r="3312" spans="7:7" x14ac:dyDescent="0.3">
      <c r="G3312" t="s">
        <v>1664</v>
      </c>
    </row>
    <row r="3313" spans="7:7" x14ac:dyDescent="0.3">
      <c r="G3313" t="s">
        <v>1665</v>
      </c>
    </row>
    <row r="3314" spans="7:7" x14ac:dyDescent="0.3">
      <c r="G3314" t="s">
        <v>1666</v>
      </c>
    </row>
    <row r="3315" spans="7:7" x14ac:dyDescent="0.3">
      <c r="G3315" t="s">
        <v>1667</v>
      </c>
    </row>
    <row r="3316" spans="7:7" x14ac:dyDescent="0.3">
      <c r="G3316" t="s">
        <v>1668</v>
      </c>
    </row>
    <row r="3317" spans="7:7" x14ac:dyDescent="0.3">
      <c r="G3317" t="s">
        <v>448</v>
      </c>
    </row>
    <row r="3318" spans="7:7" x14ac:dyDescent="0.3">
      <c r="G3318" t="s">
        <v>393</v>
      </c>
    </row>
    <row r="3319" spans="7:7" x14ac:dyDescent="0.3">
      <c r="G3319" t="s">
        <v>463</v>
      </c>
    </row>
    <row r="3320" spans="7:7" x14ac:dyDescent="0.3">
      <c r="G3320" t="s">
        <v>464</v>
      </c>
    </row>
    <row r="3321" spans="7:7" x14ac:dyDescent="0.3">
      <c r="G3321" t="s">
        <v>1669</v>
      </c>
    </row>
    <row r="3322" spans="7:7" x14ac:dyDescent="0.3">
      <c r="G3322" t="s">
        <v>1670</v>
      </c>
    </row>
    <row r="3323" spans="7:7" x14ac:dyDescent="0.3">
      <c r="G3323" t="s">
        <v>1671</v>
      </c>
    </row>
    <row r="3324" spans="7:7" x14ac:dyDescent="0.3">
      <c r="G3324" t="s">
        <v>1672</v>
      </c>
    </row>
    <row r="3325" spans="7:7" x14ac:dyDescent="0.3">
      <c r="G3325" t="s">
        <v>1673</v>
      </c>
    </row>
    <row r="3326" spans="7:7" x14ac:dyDescent="0.3">
      <c r="G3326" t="s">
        <v>448</v>
      </c>
    </row>
    <row r="3327" spans="7:7" x14ac:dyDescent="0.3">
      <c r="G3327" t="s">
        <v>393</v>
      </c>
    </row>
    <row r="3328" spans="7:7" x14ac:dyDescent="0.3">
      <c r="G3328" t="s">
        <v>470</v>
      </c>
    </row>
    <row r="3329" spans="7:7" x14ac:dyDescent="0.3">
      <c r="G3329" t="s">
        <v>481</v>
      </c>
    </row>
    <row r="3330" spans="7:7" x14ac:dyDescent="0.3">
      <c r="G3330" t="s">
        <v>1674</v>
      </c>
    </row>
    <row r="3331" spans="7:7" x14ac:dyDescent="0.3">
      <c r="G3331" t="s">
        <v>473</v>
      </c>
    </row>
    <row r="3332" spans="7:7" x14ac:dyDescent="0.3">
      <c r="G3332" t="s">
        <v>474</v>
      </c>
    </row>
    <row r="3333" spans="7:7" x14ac:dyDescent="0.3">
      <c r="G3333" t="s">
        <v>721</v>
      </c>
    </row>
    <row r="3334" spans="7:7" x14ac:dyDescent="0.3">
      <c r="G3334" t="s">
        <v>1675</v>
      </c>
    </row>
    <row r="3335" spans="7:7" x14ac:dyDescent="0.3">
      <c r="G3335" t="s">
        <v>473</v>
      </c>
    </row>
    <row r="3336" spans="7:7" x14ac:dyDescent="0.3">
      <c r="G3336" t="s">
        <v>474</v>
      </c>
    </row>
    <row r="3337" spans="7:7" x14ac:dyDescent="0.3">
      <c r="G3337" t="s">
        <v>504</v>
      </c>
    </row>
    <row r="3338" spans="7:7" x14ac:dyDescent="0.3">
      <c r="G3338" t="s">
        <v>1676</v>
      </c>
    </row>
    <row r="3339" spans="7:7" x14ac:dyDescent="0.3">
      <c r="G3339" t="s">
        <v>473</v>
      </c>
    </row>
    <row r="3340" spans="7:7" x14ac:dyDescent="0.3">
      <c r="G3340" t="s">
        <v>474</v>
      </c>
    </row>
    <row r="3341" spans="7:7" x14ac:dyDescent="0.3">
      <c r="G3341" t="s">
        <v>508</v>
      </c>
    </row>
    <row r="3342" spans="7:7" x14ac:dyDescent="0.3">
      <c r="G3342" t="s">
        <v>1677</v>
      </c>
    </row>
    <row r="3343" spans="7:7" x14ac:dyDescent="0.3">
      <c r="G3343" t="s">
        <v>473</v>
      </c>
    </row>
    <row r="3344" spans="7:7" x14ac:dyDescent="0.3">
      <c r="G3344" t="s">
        <v>474</v>
      </c>
    </row>
    <row r="3345" spans="7:7" x14ac:dyDescent="0.3">
      <c r="G3345" t="s">
        <v>479</v>
      </c>
    </row>
    <row r="3346" spans="7:7" x14ac:dyDescent="0.3">
      <c r="G3346" t="s">
        <v>1678</v>
      </c>
    </row>
    <row r="3347" spans="7:7" x14ac:dyDescent="0.3">
      <c r="G3347" t="s">
        <v>473</v>
      </c>
    </row>
    <row r="3348" spans="7:7" x14ac:dyDescent="0.3">
      <c r="G3348" t="s">
        <v>448</v>
      </c>
    </row>
    <row r="3349" spans="7:7" x14ac:dyDescent="0.3">
      <c r="G3349" t="s">
        <v>409</v>
      </c>
    </row>
    <row r="3350" spans="7:7" x14ac:dyDescent="0.3">
      <c r="G3350" t="s">
        <v>177</v>
      </c>
    </row>
    <row r="3351" spans="7:7" x14ac:dyDescent="0.3">
      <c r="G3351" t="s">
        <v>436</v>
      </c>
    </row>
    <row r="3352" spans="7:7" x14ac:dyDescent="0.3">
      <c r="G3352" t="s">
        <v>437</v>
      </c>
    </row>
    <row r="3353" spans="7:7" x14ac:dyDescent="0.3">
      <c r="G3353" t="s">
        <v>438</v>
      </c>
    </row>
    <row r="3354" spans="7:7" x14ac:dyDescent="0.3">
      <c r="G3354" t="s">
        <v>439</v>
      </c>
    </row>
    <row r="3355" spans="7:7" x14ac:dyDescent="0.3">
      <c r="G3355" t="s">
        <v>1679</v>
      </c>
    </row>
    <row r="3356" spans="7:7" x14ac:dyDescent="0.3">
      <c r="G3356" t="s">
        <v>441</v>
      </c>
    </row>
    <row r="3357" spans="7:7" x14ac:dyDescent="0.3">
      <c r="G3357" t="s">
        <v>443</v>
      </c>
    </row>
    <row r="3358" spans="7:7" x14ac:dyDescent="0.3">
      <c r="G3358" t="s">
        <v>483</v>
      </c>
    </row>
    <row r="3359" spans="7:7" x14ac:dyDescent="0.3">
      <c r="G3359" t="s">
        <v>1680</v>
      </c>
    </row>
    <row r="3360" spans="7:7" x14ac:dyDescent="0.3">
      <c r="G3360" t="s">
        <v>1681</v>
      </c>
    </row>
    <row r="3361" spans="7:7" x14ac:dyDescent="0.3">
      <c r="G3361" t="s">
        <v>486</v>
      </c>
    </row>
    <row r="3362" spans="7:7" x14ac:dyDescent="0.3">
      <c r="G3362" t="s">
        <v>1234</v>
      </c>
    </row>
    <row r="3363" spans="7:7" x14ac:dyDescent="0.3">
      <c r="G3363" t="s">
        <v>448</v>
      </c>
    </row>
    <row r="3364" spans="7:7" x14ac:dyDescent="0.3">
      <c r="G3364" t="s">
        <v>393</v>
      </c>
    </row>
    <row r="3365" spans="7:7" x14ac:dyDescent="0.3">
      <c r="G3365" t="s">
        <v>449</v>
      </c>
    </row>
    <row r="3366" spans="7:7" x14ac:dyDescent="0.3">
      <c r="G3366" t="s">
        <v>450</v>
      </c>
    </row>
    <row r="3367" spans="7:7" x14ac:dyDescent="0.3">
      <c r="G3367" t="s">
        <v>451</v>
      </c>
    </row>
    <row r="3368" spans="7:7" x14ac:dyDescent="0.3">
      <c r="G3368" t="s">
        <v>452</v>
      </c>
    </row>
    <row r="3369" spans="7:7" x14ac:dyDescent="0.3">
      <c r="G3369" t="s">
        <v>1682</v>
      </c>
    </row>
    <row r="3370" spans="7:7" x14ac:dyDescent="0.3">
      <c r="G3370" t="s">
        <v>1683</v>
      </c>
    </row>
    <row r="3371" spans="7:7" x14ac:dyDescent="0.3">
      <c r="G3371" t="s">
        <v>1684</v>
      </c>
    </row>
    <row r="3372" spans="7:7" x14ac:dyDescent="0.3">
      <c r="G3372" t="s">
        <v>1685</v>
      </c>
    </row>
    <row r="3373" spans="7:7" x14ac:dyDescent="0.3">
      <c r="G3373" t="s">
        <v>1686</v>
      </c>
    </row>
    <row r="3374" spans="7:7" x14ac:dyDescent="0.3">
      <c r="G3374" t="s">
        <v>1687</v>
      </c>
    </row>
    <row r="3375" spans="7:7" x14ac:dyDescent="0.3">
      <c r="G3375" t="s">
        <v>1688</v>
      </c>
    </row>
    <row r="3376" spans="7:7" x14ac:dyDescent="0.3">
      <c r="G3376" t="s">
        <v>1689</v>
      </c>
    </row>
    <row r="3377" spans="7:7" x14ac:dyDescent="0.3">
      <c r="G3377" t="s">
        <v>1690</v>
      </c>
    </row>
    <row r="3378" spans="7:7" x14ac:dyDescent="0.3">
      <c r="G3378" t="s">
        <v>1691</v>
      </c>
    </row>
    <row r="3379" spans="7:7" x14ac:dyDescent="0.3">
      <c r="G3379" t="s">
        <v>448</v>
      </c>
    </row>
    <row r="3380" spans="7:7" x14ac:dyDescent="0.3">
      <c r="G3380" t="s">
        <v>393</v>
      </c>
    </row>
    <row r="3381" spans="7:7" x14ac:dyDescent="0.3">
      <c r="G3381" t="s">
        <v>463</v>
      </c>
    </row>
    <row r="3382" spans="7:7" x14ac:dyDescent="0.3">
      <c r="G3382" t="s">
        <v>464</v>
      </c>
    </row>
    <row r="3383" spans="7:7" x14ac:dyDescent="0.3">
      <c r="G3383" t="s">
        <v>1692</v>
      </c>
    </row>
    <row r="3384" spans="7:7" x14ac:dyDescent="0.3">
      <c r="G3384" t="s">
        <v>1693</v>
      </c>
    </row>
    <row r="3385" spans="7:7" x14ac:dyDescent="0.3">
      <c r="G3385" t="s">
        <v>1694</v>
      </c>
    </row>
    <row r="3386" spans="7:7" x14ac:dyDescent="0.3">
      <c r="G3386" t="s">
        <v>1695</v>
      </c>
    </row>
    <row r="3387" spans="7:7" x14ac:dyDescent="0.3">
      <c r="G3387" t="s">
        <v>1696</v>
      </c>
    </row>
    <row r="3388" spans="7:7" x14ac:dyDescent="0.3">
      <c r="G3388" t="s">
        <v>448</v>
      </c>
    </row>
    <row r="3389" spans="7:7" x14ac:dyDescent="0.3">
      <c r="G3389" t="s">
        <v>393</v>
      </c>
    </row>
    <row r="3390" spans="7:7" x14ac:dyDescent="0.3">
      <c r="G3390" t="s">
        <v>470</v>
      </c>
    </row>
    <row r="3391" spans="7:7" x14ac:dyDescent="0.3">
      <c r="G3391" t="s">
        <v>553</v>
      </c>
    </row>
    <row r="3392" spans="7:7" x14ac:dyDescent="0.3">
      <c r="G3392" t="s">
        <v>1697</v>
      </c>
    </row>
    <row r="3393" spans="7:7" x14ac:dyDescent="0.3">
      <c r="G3393" t="s">
        <v>473</v>
      </c>
    </row>
    <row r="3394" spans="7:7" x14ac:dyDescent="0.3">
      <c r="G3394" t="s">
        <v>474</v>
      </c>
    </row>
    <row r="3395" spans="7:7" x14ac:dyDescent="0.3">
      <c r="G3395" t="s">
        <v>504</v>
      </c>
    </row>
    <row r="3396" spans="7:7" x14ac:dyDescent="0.3">
      <c r="G3396" t="s">
        <v>1698</v>
      </c>
    </row>
    <row r="3397" spans="7:7" x14ac:dyDescent="0.3">
      <c r="G3397" t="s">
        <v>473</v>
      </c>
    </row>
    <row r="3398" spans="7:7" x14ac:dyDescent="0.3">
      <c r="G3398" t="s">
        <v>474</v>
      </c>
    </row>
    <row r="3399" spans="7:7" x14ac:dyDescent="0.3">
      <c r="G3399" t="s">
        <v>481</v>
      </c>
    </row>
    <row r="3400" spans="7:7" x14ac:dyDescent="0.3">
      <c r="G3400" t="s">
        <v>1699</v>
      </c>
    </row>
    <row r="3401" spans="7:7" x14ac:dyDescent="0.3">
      <c r="G3401" t="s">
        <v>473</v>
      </c>
    </row>
    <row r="3402" spans="7:7" x14ac:dyDescent="0.3">
      <c r="G3402" t="s">
        <v>474</v>
      </c>
    </row>
    <row r="3403" spans="7:7" x14ac:dyDescent="0.3">
      <c r="G3403" t="s">
        <v>479</v>
      </c>
    </row>
    <row r="3404" spans="7:7" x14ac:dyDescent="0.3">
      <c r="G3404" t="s">
        <v>1700</v>
      </c>
    </row>
    <row r="3405" spans="7:7" x14ac:dyDescent="0.3">
      <c r="G3405" t="s">
        <v>473</v>
      </c>
    </row>
    <row r="3406" spans="7:7" x14ac:dyDescent="0.3">
      <c r="G3406" t="s">
        <v>474</v>
      </c>
    </row>
    <row r="3407" spans="7:7" x14ac:dyDescent="0.3">
      <c r="G3407" t="s">
        <v>508</v>
      </c>
    </row>
    <row r="3408" spans="7:7" x14ac:dyDescent="0.3">
      <c r="G3408" t="s">
        <v>1701</v>
      </c>
    </row>
    <row r="3409" spans="7:7" x14ac:dyDescent="0.3">
      <c r="G3409" t="s">
        <v>473</v>
      </c>
    </row>
    <row r="3410" spans="7:7" x14ac:dyDescent="0.3">
      <c r="G3410" t="s">
        <v>448</v>
      </c>
    </row>
    <row r="3411" spans="7:7" x14ac:dyDescent="0.3">
      <c r="G3411" t="s">
        <v>409</v>
      </c>
    </row>
    <row r="3412" spans="7:7" x14ac:dyDescent="0.3">
      <c r="G3412" t="s">
        <v>177</v>
      </c>
    </row>
    <row r="3413" spans="7:7" x14ac:dyDescent="0.3">
      <c r="G3413" t="s">
        <v>436</v>
      </c>
    </row>
    <row r="3414" spans="7:7" x14ac:dyDescent="0.3">
      <c r="G3414" t="s">
        <v>437</v>
      </c>
    </row>
    <row r="3415" spans="7:7" x14ac:dyDescent="0.3">
      <c r="G3415" t="s">
        <v>438</v>
      </c>
    </row>
    <row r="3416" spans="7:7" x14ac:dyDescent="0.3">
      <c r="G3416" t="s">
        <v>439</v>
      </c>
    </row>
    <row r="3417" spans="7:7" x14ac:dyDescent="0.3">
      <c r="G3417" t="s">
        <v>440</v>
      </c>
    </row>
    <row r="3418" spans="7:7" x14ac:dyDescent="0.3">
      <c r="G3418" t="s">
        <v>1702</v>
      </c>
    </row>
    <row r="3419" spans="7:7" x14ac:dyDescent="0.3">
      <c r="G3419" t="s">
        <v>441</v>
      </c>
    </row>
    <row r="3420" spans="7:7" x14ac:dyDescent="0.3">
      <c r="G3420" t="s">
        <v>443</v>
      </c>
    </row>
    <row r="3421" spans="7:7" x14ac:dyDescent="0.3">
      <c r="G3421" t="s">
        <v>483</v>
      </c>
    </row>
    <row r="3422" spans="7:7" x14ac:dyDescent="0.3">
      <c r="G3422" t="s">
        <v>486</v>
      </c>
    </row>
    <row r="3423" spans="7:7" x14ac:dyDescent="0.3">
      <c r="G3423" t="s">
        <v>1703</v>
      </c>
    </row>
    <row r="3424" spans="7:7" x14ac:dyDescent="0.3">
      <c r="G3424" t="s">
        <v>1704</v>
      </c>
    </row>
    <row r="3425" spans="7:7" x14ac:dyDescent="0.3">
      <c r="G3425" t="s">
        <v>448</v>
      </c>
    </row>
    <row r="3426" spans="7:7" x14ac:dyDescent="0.3">
      <c r="G3426" t="s">
        <v>393</v>
      </c>
    </row>
    <row r="3427" spans="7:7" x14ac:dyDescent="0.3">
      <c r="G3427" t="s">
        <v>449</v>
      </c>
    </row>
    <row r="3428" spans="7:7" x14ac:dyDescent="0.3">
      <c r="G3428" t="s">
        <v>450</v>
      </c>
    </row>
    <row r="3429" spans="7:7" x14ac:dyDescent="0.3">
      <c r="G3429" t="s">
        <v>451</v>
      </c>
    </row>
    <row r="3430" spans="7:7" x14ac:dyDescent="0.3">
      <c r="G3430" t="s">
        <v>452</v>
      </c>
    </row>
    <row r="3431" spans="7:7" x14ac:dyDescent="0.3">
      <c r="G3431" t="s">
        <v>1705</v>
      </c>
    </row>
    <row r="3432" spans="7:7" x14ac:dyDescent="0.3">
      <c r="G3432" t="s">
        <v>448</v>
      </c>
    </row>
    <row r="3433" spans="7:7" x14ac:dyDescent="0.3">
      <c r="G3433" t="s">
        <v>393</v>
      </c>
    </row>
    <row r="3434" spans="7:7" x14ac:dyDescent="0.3">
      <c r="G3434" t="s">
        <v>463</v>
      </c>
    </row>
    <row r="3435" spans="7:7" x14ac:dyDescent="0.3">
      <c r="G3435" t="s">
        <v>464</v>
      </c>
    </row>
    <row r="3436" spans="7:7" x14ac:dyDescent="0.3">
      <c r="G3436" t="s">
        <v>1706</v>
      </c>
    </row>
    <row r="3437" spans="7:7" x14ac:dyDescent="0.3">
      <c r="G3437" t="s">
        <v>1707</v>
      </c>
    </row>
    <row r="3438" spans="7:7" x14ac:dyDescent="0.3">
      <c r="G3438" t="s">
        <v>1708</v>
      </c>
    </row>
    <row r="3439" spans="7:7" x14ac:dyDescent="0.3">
      <c r="G3439" t="s">
        <v>1709</v>
      </c>
    </row>
    <row r="3440" spans="7:7" x14ac:dyDescent="0.3">
      <c r="G3440" t="s">
        <v>1710</v>
      </c>
    </row>
    <row r="3441" spans="7:7" x14ac:dyDescent="0.3">
      <c r="G3441" t="s">
        <v>448</v>
      </c>
    </row>
    <row r="3442" spans="7:7" x14ac:dyDescent="0.3">
      <c r="G3442" t="s">
        <v>393</v>
      </c>
    </row>
    <row r="3443" spans="7:7" x14ac:dyDescent="0.3">
      <c r="G3443" t="s">
        <v>470</v>
      </c>
    </row>
    <row r="3444" spans="7:7" x14ac:dyDescent="0.3">
      <c r="G3444" t="s">
        <v>504</v>
      </c>
    </row>
    <row r="3445" spans="7:7" x14ac:dyDescent="0.3">
      <c r="G3445" t="s">
        <v>1711</v>
      </c>
    </row>
    <row r="3446" spans="7:7" x14ac:dyDescent="0.3">
      <c r="G3446" t="s">
        <v>473</v>
      </c>
    </row>
    <row r="3447" spans="7:7" x14ac:dyDescent="0.3">
      <c r="G3447" t="s">
        <v>474</v>
      </c>
    </row>
    <row r="3448" spans="7:7" x14ac:dyDescent="0.3">
      <c r="G3448" t="s">
        <v>471</v>
      </c>
    </row>
    <row r="3449" spans="7:7" x14ac:dyDescent="0.3">
      <c r="G3449" t="s">
        <v>1712</v>
      </c>
    </row>
    <row r="3450" spans="7:7" x14ac:dyDescent="0.3">
      <c r="G3450" t="s">
        <v>473</v>
      </c>
    </row>
    <row r="3451" spans="7:7" x14ac:dyDescent="0.3">
      <c r="G3451" t="s">
        <v>474</v>
      </c>
    </row>
    <row r="3452" spans="7:7" x14ac:dyDescent="0.3">
      <c r="G3452" t="s">
        <v>508</v>
      </c>
    </row>
    <row r="3453" spans="7:7" x14ac:dyDescent="0.3">
      <c r="G3453" t="s">
        <v>1713</v>
      </c>
    </row>
    <row r="3454" spans="7:7" x14ac:dyDescent="0.3">
      <c r="G3454" t="s">
        <v>473</v>
      </c>
    </row>
    <row r="3455" spans="7:7" x14ac:dyDescent="0.3">
      <c r="G3455" t="s">
        <v>474</v>
      </c>
    </row>
    <row r="3456" spans="7:7" x14ac:dyDescent="0.3">
      <c r="G3456" t="s">
        <v>479</v>
      </c>
    </row>
    <row r="3457" spans="7:7" x14ac:dyDescent="0.3">
      <c r="G3457" t="s">
        <v>1714</v>
      </c>
    </row>
    <row r="3458" spans="7:7" x14ac:dyDescent="0.3">
      <c r="G3458" t="s">
        <v>473</v>
      </c>
    </row>
    <row r="3459" spans="7:7" x14ac:dyDescent="0.3">
      <c r="G3459" t="s">
        <v>474</v>
      </c>
    </row>
    <row r="3460" spans="7:7" x14ac:dyDescent="0.3">
      <c r="G3460" t="s">
        <v>481</v>
      </c>
    </row>
    <row r="3461" spans="7:7" x14ac:dyDescent="0.3">
      <c r="G3461" t="s">
        <v>1715</v>
      </c>
    </row>
    <row r="3462" spans="7:7" x14ac:dyDescent="0.3">
      <c r="G3462" t="s">
        <v>473</v>
      </c>
    </row>
    <row r="3463" spans="7:7" x14ac:dyDescent="0.3">
      <c r="G3463" t="s">
        <v>448</v>
      </c>
    </row>
    <row r="3464" spans="7:7" x14ac:dyDescent="0.3">
      <c r="G3464" t="s">
        <v>409</v>
      </c>
    </row>
    <row r="3465" spans="7:7" x14ac:dyDescent="0.3">
      <c r="G3465" t="s">
        <v>177</v>
      </c>
    </row>
    <row r="3466" spans="7:7" x14ac:dyDescent="0.3">
      <c r="G3466" t="s">
        <v>436</v>
      </c>
    </row>
    <row r="3467" spans="7:7" x14ac:dyDescent="0.3">
      <c r="G3467" t="s">
        <v>437</v>
      </c>
    </row>
    <row r="3468" spans="7:7" x14ac:dyDescent="0.3">
      <c r="G3468" t="s">
        <v>438</v>
      </c>
    </row>
    <row r="3469" spans="7:7" x14ac:dyDescent="0.3">
      <c r="G3469" t="s">
        <v>439</v>
      </c>
    </row>
    <row r="3470" spans="7:7" x14ac:dyDescent="0.3">
      <c r="G3470" t="s">
        <v>440</v>
      </c>
    </row>
    <row r="3471" spans="7:7" x14ac:dyDescent="0.3">
      <c r="G3471" t="s">
        <v>1208</v>
      </c>
    </row>
    <row r="3472" spans="7:7" x14ac:dyDescent="0.3">
      <c r="G3472" t="s">
        <v>441</v>
      </c>
    </row>
    <row r="3473" spans="7:7" x14ac:dyDescent="0.3">
      <c r="G3473" t="s">
        <v>443</v>
      </c>
    </row>
    <row r="3474" spans="7:7" x14ac:dyDescent="0.3">
      <c r="G3474" t="s">
        <v>483</v>
      </c>
    </row>
    <row r="3475" spans="7:7" x14ac:dyDescent="0.3">
      <c r="G3475" t="s">
        <v>1716</v>
      </c>
    </row>
    <row r="3476" spans="7:7" x14ac:dyDescent="0.3">
      <c r="G3476" t="s">
        <v>486</v>
      </c>
    </row>
    <row r="3477" spans="7:7" x14ac:dyDescent="0.3">
      <c r="G3477" t="s">
        <v>1717</v>
      </c>
    </row>
    <row r="3478" spans="7:7" x14ac:dyDescent="0.3">
      <c r="G3478" t="s">
        <v>448</v>
      </c>
    </row>
    <row r="3479" spans="7:7" x14ac:dyDescent="0.3">
      <c r="G3479" t="s">
        <v>393</v>
      </c>
    </row>
    <row r="3480" spans="7:7" x14ac:dyDescent="0.3">
      <c r="G3480" t="s">
        <v>449</v>
      </c>
    </row>
    <row r="3481" spans="7:7" x14ac:dyDescent="0.3">
      <c r="G3481" t="s">
        <v>450</v>
      </c>
    </row>
    <row r="3482" spans="7:7" x14ac:dyDescent="0.3">
      <c r="G3482" t="s">
        <v>451</v>
      </c>
    </row>
    <row r="3483" spans="7:7" x14ac:dyDescent="0.3">
      <c r="G3483" t="s">
        <v>452</v>
      </c>
    </row>
    <row r="3484" spans="7:7" x14ac:dyDescent="0.3">
      <c r="G3484" t="s">
        <v>1718</v>
      </c>
    </row>
    <row r="3485" spans="7:7" x14ac:dyDescent="0.3">
      <c r="G3485" t="s">
        <v>1719</v>
      </c>
    </row>
    <row r="3486" spans="7:7" x14ac:dyDescent="0.3">
      <c r="G3486" t="s">
        <v>1720</v>
      </c>
    </row>
    <row r="3487" spans="7:7" x14ac:dyDescent="0.3">
      <c r="G3487" t="s">
        <v>1721</v>
      </c>
    </row>
    <row r="3488" spans="7:7" x14ac:dyDescent="0.3">
      <c r="G3488" t="s">
        <v>1722</v>
      </c>
    </row>
    <row r="3489" spans="7:7" x14ac:dyDescent="0.3">
      <c r="G3489" t="s">
        <v>1723</v>
      </c>
    </row>
    <row r="3490" spans="7:7" x14ac:dyDescent="0.3">
      <c r="G3490" t="s">
        <v>1724</v>
      </c>
    </row>
    <row r="3491" spans="7:7" x14ac:dyDescent="0.3">
      <c r="G3491" t="s">
        <v>1725</v>
      </c>
    </row>
    <row r="3492" spans="7:7" x14ac:dyDescent="0.3">
      <c r="G3492" t="s">
        <v>1726</v>
      </c>
    </row>
    <row r="3493" spans="7:7" x14ac:dyDescent="0.3">
      <c r="G3493" t="s">
        <v>1727</v>
      </c>
    </row>
    <row r="3494" spans="7:7" x14ac:dyDescent="0.3">
      <c r="G3494" t="s">
        <v>448</v>
      </c>
    </row>
    <row r="3495" spans="7:7" x14ac:dyDescent="0.3">
      <c r="G3495" t="s">
        <v>393</v>
      </c>
    </row>
    <row r="3496" spans="7:7" x14ac:dyDescent="0.3">
      <c r="G3496" t="s">
        <v>463</v>
      </c>
    </row>
    <row r="3497" spans="7:7" x14ac:dyDescent="0.3">
      <c r="G3497" t="s">
        <v>464</v>
      </c>
    </row>
    <row r="3498" spans="7:7" x14ac:dyDescent="0.3">
      <c r="G3498" t="s">
        <v>1728</v>
      </c>
    </row>
    <row r="3499" spans="7:7" x14ac:dyDescent="0.3">
      <c r="G3499" t="s">
        <v>1729</v>
      </c>
    </row>
    <row r="3500" spans="7:7" x14ac:dyDescent="0.3">
      <c r="G3500" t="s">
        <v>1730</v>
      </c>
    </row>
    <row r="3501" spans="7:7" x14ac:dyDescent="0.3">
      <c r="G3501" t="s">
        <v>1731</v>
      </c>
    </row>
    <row r="3502" spans="7:7" x14ac:dyDescent="0.3">
      <c r="G3502" t="s">
        <v>1732</v>
      </c>
    </row>
    <row r="3503" spans="7:7" x14ac:dyDescent="0.3">
      <c r="G3503" t="s">
        <v>448</v>
      </c>
    </row>
    <row r="3504" spans="7:7" x14ac:dyDescent="0.3">
      <c r="G3504" t="s">
        <v>393</v>
      </c>
    </row>
    <row r="3505" spans="7:7" x14ac:dyDescent="0.3">
      <c r="G3505" t="s">
        <v>470</v>
      </c>
    </row>
    <row r="3506" spans="7:7" x14ac:dyDescent="0.3">
      <c r="G3506" t="s">
        <v>481</v>
      </c>
    </row>
    <row r="3507" spans="7:7" x14ac:dyDescent="0.3">
      <c r="G3507" t="s">
        <v>1733</v>
      </c>
    </row>
    <row r="3508" spans="7:7" x14ac:dyDescent="0.3">
      <c r="G3508" t="s">
        <v>473</v>
      </c>
    </row>
    <row r="3509" spans="7:7" x14ac:dyDescent="0.3">
      <c r="G3509" t="s">
        <v>474</v>
      </c>
    </row>
    <row r="3510" spans="7:7" x14ac:dyDescent="0.3">
      <c r="G3510" t="s">
        <v>504</v>
      </c>
    </row>
    <row r="3511" spans="7:7" x14ac:dyDescent="0.3">
      <c r="G3511" t="s">
        <v>1734</v>
      </c>
    </row>
    <row r="3512" spans="7:7" x14ac:dyDescent="0.3">
      <c r="G3512" t="s">
        <v>473</v>
      </c>
    </row>
    <row r="3513" spans="7:7" x14ac:dyDescent="0.3">
      <c r="G3513" t="s">
        <v>474</v>
      </c>
    </row>
    <row r="3514" spans="7:7" x14ac:dyDescent="0.3">
      <c r="G3514" t="s">
        <v>471</v>
      </c>
    </row>
    <row r="3515" spans="7:7" x14ac:dyDescent="0.3">
      <c r="G3515" t="s">
        <v>1735</v>
      </c>
    </row>
    <row r="3516" spans="7:7" x14ac:dyDescent="0.3">
      <c r="G3516" t="s">
        <v>473</v>
      </c>
    </row>
    <row r="3517" spans="7:7" x14ac:dyDescent="0.3">
      <c r="G3517" t="s">
        <v>474</v>
      </c>
    </row>
    <row r="3518" spans="7:7" x14ac:dyDescent="0.3">
      <c r="G3518" t="s">
        <v>508</v>
      </c>
    </row>
    <row r="3519" spans="7:7" x14ac:dyDescent="0.3">
      <c r="G3519" t="s">
        <v>1736</v>
      </c>
    </row>
    <row r="3520" spans="7:7" x14ac:dyDescent="0.3">
      <c r="G3520" t="s">
        <v>473</v>
      </c>
    </row>
    <row r="3521" spans="7:7" x14ac:dyDescent="0.3">
      <c r="G3521" t="s">
        <v>474</v>
      </c>
    </row>
    <row r="3522" spans="7:7" x14ac:dyDescent="0.3">
      <c r="G3522" t="s">
        <v>479</v>
      </c>
    </row>
    <row r="3523" spans="7:7" x14ac:dyDescent="0.3">
      <c r="G3523" t="s">
        <v>1737</v>
      </c>
    </row>
    <row r="3524" spans="7:7" x14ac:dyDescent="0.3">
      <c r="G3524" t="s">
        <v>473</v>
      </c>
    </row>
    <row r="3525" spans="7:7" x14ac:dyDescent="0.3">
      <c r="G3525" t="s">
        <v>448</v>
      </c>
    </row>
    <row r="3526" spans="7:7" x14ac:dyDescent="0.3">
      <c r="G3526" t="s">
        <v>409</v>
      </c>
    </row>
    <row r="3527" spans="7:7" x14ac:dyDescent="0.3">
      <c r="G3527" t="s">
        <v>177</v>
      </c>
    </row>
    <row r="3528" spans="7:7" x14ac:dyDescent="0.3">
      <c r="G3528" t="s">
        <v>436</v>
      </c>
    </row>
    <row r="3529" spans="7:7" x14ac:dyDescent="0.3">
      <c r="G3529" t="s">
        <v>437</v>
      </c>
    </row>
    <row r="3530" spans="7:7" x14ac:dyDescent="0.3">
      <c r="G3530" t="s">
        <v>438</v>
      </c>
    </row>
    <row r="3531" spans="7:7" x14ac:dyDescent="0.3">
      <c r="G3531" t="s">
        <v>439</v>
      </c>
    </row>
    <row r="3532" spans="7:7" x14ac:dyDescent="0.3">
      <c r="G3532" t="s">
        <v>440</v>
      </c>
    </row>
    <row r="3533" spans="7:7" x14ac:dyDescent="0.3">
      <c r="G3533" t="s">
        <v>441</v>
      </c>
    </row>
    <row r="3534" spans="7:7" x14ac:dyDescent="0.3">
      <c r="G3534" t="s">
        <v>443</v>
      </c>
    </row>
    <row r="3535" spans="7:7" x14ac:dyDescent="0.3">
      <c r="G3535" t="s">
        <v>483</v>
      </c>
    </row>
    <row r="3536" spans="7:7" x14ac:dyDescent="0.3">
      <c r="G3536" t="s">
        <v>1738</v>
      </c>
    </row>
    <row r="3537" spans="7:7" x14ac:dyDescent="0.3">
      <c r="G3537" t="s">
        <v>1739</v>
      </c>
    </row>
    <row r="3538" spans="7:7" x14ac:dyDescent="0.3">
      <c r="G3538" t="s">
        <v>445</v>
      </c>
    </row>
    <row r="3539" spans="7:7" x14ac:dyDescent="0.3">
      <c r="G3539" t="s">
        <v>1740</v>
      </c>
    </row>
    <row r="3540" spans="7:7" x14ac:dyDescent="0.3">
      <c r="G3540" t="s">
        <v>448</v>
      </c>
    </row>
    <row r="3541" spans="7:7" x14ac:dyDescent="0.3">
      <c r="G3541" t="s">
        <v>393</v>
      </c>
    </row>
    <row r="3542" spans="7:7" x14ac:dyDescent="0.3">
      <c r="G3542" t="s">
        <v>449</v>
      </c>
    </row>
    <row r="3543" spans="7:7" x14ac:dyDescent="0.3">
      <c r="G3543" t="s">
        <v>450</v>
      </c>
    </row>
    <row r="3544" spans="7:7" x14ac:dyDescent="0.3">
      <c r="G3544" t="s">
        <v>451</v>
      </c>
    </row>
    <row r="3545" spans="7:7" x14ac:dyDescent="0.3">
      <c r="G3545" t="s">
        <v>452</v>
      </c>
    </row>
    <row r="3546" spans="7:7" x14ac:dyDescent="0.3">
      <c r="G3546" t="s">
        <v>1741</v>
      </c>
    </row>
    <row r="3547" spans="7:7" x14ac:dyDescent="0.3">
      <c r="G3547" t="s">
        <v>1742</v>
      </c>
    </row>
    <row r="3548" spans="7:7" x14ac:dyDescent="0.3">
      <c r="G3548" t="s">
        <v>1743</v>
      </c>
    </row>
    <row r="3549" spans="7:7" x14ac:dyDescent="0.3">
      <c r="G3549" t="s">
        <v>1744</v>
      </c>
    </row>
    <row r="3550" spans="7:7" x14ac:dyDescent="0.3">
      <c r="G3550" t="s">
        <v>1745</v>
      </c>
    </row>
    <row r="3551" spans="7:7" x14ac:dyDescent="0.3">
      <c r="G3551" t="s">
        <v>1746</v>
      </c>
    </row>
    <row r="3552" spans="7:7" x14ac:dyDescent="0.3">
      <c r="G3552" t="s">
        <v>1747</v>
      </c>
    </row>
    <row r="3553" spans="7:7" x14ac:dyDescent="0.3">
      <c r="G3553" t="s">
        <v>1748</v>
      </c>
    </row>
    <row r="3554" spans="7:7" x14ac:dyDescent="0.3">
      <c r="G3554" t="s">
        <v>1749</v>
      </c>
    </row>
    <row r="3555" spans="7:7" x14ac:dyDescent="0.3">
      <c r="G3555" t="s">
        <v>1750</v>
      </c>
    </row>
    <row r="3556" spans="7:7" x14ac:dyDescent="0.3">
      <c r="G3556" t="s">
        <v>448</v>
      </c>
    </row>
    <row r="3557" spans="7:7" x14ac:dyDescent="0.3">
      <c r="G3557" t="s">
        <v>393</v>
      </c>
    </row>
    <row r="3558" spans="7:7" x14ac:dyDescent="0.3">
      <c r="G3558" t="s">
        <v>463</v>
      </c>
    </row>
    <row r="3559" spans="7:7" x14ac:dyDescent="0.3">
      <c r="G3559" t="s">
        <v>464</v>
      </c>
    </row>
    <row r="3560" spans="7:7" x14ac:dyDescent="0.3">
      <c r="G3560" t="s">
        <v>1751</v>
      </c>
    </row>
    <row r="3561" spans="7:7" x14ac:dyDescent="0.3">
      <c r="G3561" t="s">
        <v>1752</v>
      </c>
    </row>
    <row r="3562" spans="7:7" x14ac:dyDescent="0.3">
      <c r="G3562" t="s">
        <v>1753</v>
      </c>
    </row>
    <row r="3563" spans="7:7" x14ac:dyDescent="0.3">
      <c r="G3563" t="s">
        <v>1754</v>
      </c>
    </row>
    <row r="3564" spans="7:7" x14ac:dyDescent="0.3">
      <c r="G3564" t="s">
        <v>1755</v>
      </c>
    </row>
    <row r="3565" spans="7:7" x14ac:dyDescent="0.3">
      <c r="G3565" t="s">
        <v>448</v>
      </c>
    </row>
    <row r="3566" spans="7:7" x14ac:dyDescent="0.3">
      <c r="G3566" t="s">
        <v>393</v>
      </c>
    </row>
    <row r="3567" spans="7:7" x14ac:dyDescent="0.3">
      <c r="G3567" t="s">
        <v>470</v>
      </c>
    </row>
    <row r="3568" spans="7:7" x14ac:dyDescent="0.3">
      <c r="G3568" t="s">
        <v>471</v>
      </c>
    </row>
    <row r="3569" spans="7:7" x14ac:dyDescent="0.3">
      <c r="G3569" t="s">
        <v>1756</v>
      </c>
    </row>
    <row r="3570" spans="7:7" x14ac:dyDescent="0.3">
      <c r="G3570" t="s">
        <v>473</v>
      </c>
    </row>
    <row r="3571" spans="7:7" x14ac:dyDescent="0.3">
      <c r="G3571" t="s">
        <v>474</v>
      </c>
    </row>
    <row r="3572" spans="7:7" x14ac:dyDescent="0.3">
      <c r="G3572" t="s">
        <v>481</v>
      </c>
    </row>
    <row r="3573" spans="7:7" x14ac:dyDescent="0.3">
      <c r="G3573" t="s">
        <v>1757</v>
      </c>
    </row>
    <row r="3574" spans="7:7" x14ac:dyDescent="0.3">
      <c r="G3574" t="s">
        <v>473</v>
      </c>
    </row>
    <row r="3575" spans="7:7" x14ac:dyDescent="0.3">
      <c r="G3575" t="s">
        <v>474</v>
      </c>
    </row>
    <row r="3576" spans="7:7" x14ac:dyDescent="0.3">
      <c r="G3576" t="s">
        <v>475</v>
      </c>
    </row>
    <row r="3577" spans="7:7" x14ac:dyDescent="0.3">
      <c r="G3577" t="s">
        <v>1758</v>
      </c>
    </row>
    <row r="3578" spans="7:7" x14ac:dyDescent="0.3">
      <c r="G3578" t="s">
        <v>473</v>
      </c>
    </row>
    <row r="3579" spans="7:7" x14ac:dyDescent="0.3">
      <c r="G3579" t="s">
        <v>474</v>
      </c>
    </row>
    <row r="3580" spans="7:7" x14ac:dyDescent="0.3">
      <c r="G3580" t="s">
        <v>508</v>
      </c>
    </row>
    <row r="3581" spans="7:7" x14ac:dyDescent="0.3">
      <c r="G3581" t="s">
        <v>1759</v>
      </c>
    </row>
    <row r="3582" spans="7:7" x14ac:dyDescent="0.3">
      <c r="G3582" t="s">
        <v>473</v>
      </c>
    </row>
    <row r="3583" spans="7:7" x14ac:dyDescent="0.3">
      <c r="G3583" t="s">
        <v>474</v>
      </c>
    </row>
    <row r="3584" spans="7:7" x14ac:dyDescent="0.3">
      <c r="G3584" t="s">
        <v>479</v>
      </c>
    </row>
    <row r="3585" spans="7:7" x14ac:dyDescent="0.3">
      <c r="G3585" t="s">
        <v>1760</v>
      </c>
    </row>
    <row r="3586" spans="7:7" x14ac:dyDescent="0.3">
      <c r="G3586" t="s">
        <v>473</v>
      </c>
    </row>
    <row r="3587" spans="7:7" x14ac:dyDescent="0.3">
      <c r="G3587" t="s">
        <v>448</v>
      </c>
    </row>
    <row r="3588" spans="7:7" x14ac:dyDescent="0.3">
      <c r="G3588" t="s">
        <v>409</v>
      </c>
    </row>
    <row r="3589" spans="7:7" x14ac:dyDescent="0.3">
      <c r="G3589" t="s">
        <v>177</v>
      </c>
    </row>
    <row r="3590" spans="7:7" x14ac:dyDescent="0.3">
      <c r="G3590" t="s">
        <v>436</v>
      </c>
    </row>
    <row r="3591" spans="7:7" x14ac:dyDescent="0.3">
      <c r="G3591" t="s">
        <v>437</v>
      </c>
    </row>
    <row r="3592" spans="7:7" x14ac:dyDescent="0.3">
      <c r="G3592" t="s">
        <v>438</v>
      </c>
    </row>
    <row r="3593" spans="7:7" x14ac:dyDescent="0.3">
      <c r="G3593" t="s">
        <v>439</v>
      </c>
    </row>
    <row r="3594" spans="7:7" x14ac:dyDescent="0.3">
      <c r="G3594" t="s">
        <v>1761</v>
      </c>
    </row>
    <row r="3595" spans="7:7" x14ac:dyDescent="0.3">
      <c r="G3595" t="s">
        <v>441</v>
      </c>
    </row>
    <row r="3596" spans="7:7" x14ac:dyDescent="0.3">
      <c r="G3596" t="s">
        <v>443</v>
      </c>
    </row>
    <row r="3597" spans="7:7" x14ac:dyDescent="0.3">
      <c r="G3597" t="s">
        <v>444</v>
      </c>
    </row>
    <row r="3598" spans="7:7" x14ac:dyDescent="0.3">
      <c r="G3598" t="s">
        <v>1762</v>
      </c>
    </row>
    <row r="3599" spans="7:7" x14ac:dyDescent="0.3">
      <c r="G3599" t="s">
        <v>486</v>
      </c>
    </row>
    <row r="3600" spans="7:7" x14ac:dyDescent="0.3">
      <c r="G3600" t="s">
        <v>535</v>
      </c>
    </row>
    <row r="3601" spans="7:7" x14ac:dyDescent="0.3">
      <c r="G3601" t="s">
        <v>1763</v>
      </c>
    </row>
    <row r="3602" spans="7:7" x14ac:dyDescent="0.3">
      <c r="G3602" t="s">
        <v>448</v>
      </c>
    </row>
    <row r="3603" spans="7:7" x14ac:dyDescent="0.3">
      <c r="G3603" t="s">
        <v>393</v>
      </c>
    </row>
    <row r="3604" spans="7:7" x14ac:dyDescent="0.3">
      <c r="G3604" t="s">
        <v>449</v>
      </c>
    </row>
    <row r="3605" spans="7:7" x14ac:dyDescent="0.3">
      <c r="G3605" t="s">
        <v>488</v>
      </c>
    </row>
    <row r="3606" spans="7:7" x14ac:dyDescent="0.3">
      <c r="G3606" t="s">
        <v>451</v>
      </c>
    </row>
    <row r="3607" spans="7:7" x14ac:dyDescent="0.3">
      <c r="G3607" t="s">
        <v>452</v>
      </c>
    </row>
    <row r="3608" spans="7:7" x14ac:dyDescent="0.3">
      <c r="G3608" t="s">
        <v>1764</v>
      </c>
    </row>
    <row r="3609" spans="7:7" x14ac:dyDescent="0.3">
      <c r="G3609" t="s">
        <v>1765</v>
      </c>
    </row>
    <row r="3610" spans="7:7" x14ac:dyDescent="0.3">
      <c r="G3610" t="s">
        <v>1766</v>
      </c>
    </row>
    <row r="3611" spans="7:7" x14ac:dyDescent="0.3">
      <c r="G3611" t="s">
        <v>1767</v>
      </c>
    </row>
    <row r="3612" spans="7:7" x14ac:dyDescent="0.3">
      <c r="G3612" t="s">
        <v>1768</v>
      </c>
    </row>
    <row r="3613" spans="7:7" x14ac:dyDescent="0.3">
      <c r="G3613" t="s">
        <v>1769</v>
      </c>
    </row>
    <row r="3614" spans="7:7" x14ac:dyDescent="0.3">
      <c r="G3614" t="s">
        <v>1770</v>
      </c>
    </row>
    <row r="3615" spans="7:7" x14ac:dyDescent="0.3">
      <c r="G3615" t="s">
        <v>1771</v>
      </c>
    </row>
    <row r="3616" spans="7:7" x14ac:dyDescent="0.3">
      <c r="G3616" t="s">
        <v>1772</v>
      </c>
    </row>
    <row r="3617" spans="7:7" x14ac:dyDescent="0.3">
      <c r="G3617" t="s">
        <v>1773</v>
      </c>
    </row>
    <row r="3618" spans="7:7" x14ac:dyDescent="0.3">
      <c r="G3618" t="s">
        <v>448</v>
      </c>
    </row>
    <row r="3619" spans="7:7" x14ac:dyDescent="0.3">
      <c r="G3619" t="s">
        <v>393</v>
      </c>
    </row>
    <row r="3620" spans="7:7" x14ac:dyDescent="0.3">
      <c r="G3620" t="s">
        <v>463</v>
      </c>
    </row>
    <row r="3621" spans="7:7" x14ac:dyDescent="0.3">
      <c r="G3621" t="s">
        <v>464</v>
      </c>
    </row>
    <row r="3622" spans="7:7" x14ac:dyDescent="0.3">
      <c r="G3622" t="s">
        <v>1774</v>
      </c>
    </row>
    <row r="3623" spans="7:7" x14ac:dyDescent="0.3">
      <c r="G3623" t="s">
        <v>1775</v>
      </c>
    </row>
    <row r="3624" spans="7:7" x14ac:dyDescent="0.3">
      <c r="G3624" t="s">
        <v>1776</v>
      </c>
    </row>
    <row r="3625" spans="7:7" x14ac:dyDescent="0.3">
      <c r="G3625" t="s">
        <v>1777</v>
      </c>
    </row>
    <row r="3626" spans="7:7" x14ac:dyDescent="0.3">
      <c r="G3626" t="s">
        <v>1778</v>
      </c>
    </row>
    <row r="3627" spans="7:7" x14ac:dyDescent="0.3">
      <c r="G3627" t="s">
        <v>448</v>
      </c>
    </row>
    <row r="3628" spans="7:7" x14ac:dyDescent="0.3">
      <c r="G3628" t="s">
        <v>393</v>
      </c>
    </row>
    <row r="3629" spans="7:7" x14ac:dyDescent="0.3">
      <c r="G3629" t="s">
        <v>470</v>
      </c>
    </row>
    <row r="3630" spans="7:7" x14ac:dyDescent="0.3">
      <c r="G3630" t="s">
        <v>477</v>
      </c>
    </row>
    <row r="3631" spans="7:7" x14ac:dyDescent="0.3">
      <c r="G3631" t="s">
        <v>1779</v>
      </c>
    </row>
    <row r="3632" spans="7:7" x14ac:dyDescent="0.3">
      <c r="G3632" t="s">
        <v>473</v>
      </c>
    </row>
    <row r="3633" spans="7:7" x14ac:dyDescent="0.3">
      <c r="G3633" t="s">
        <v>474</v>
      </c>
    </row>
    <row r="3634" spans="7:7" x14ac:dyDescent="0.3">
      <c r="G3634" t="s">
        <v>504</v>
      </c>
    </row>
    <row r="3635" spans="7:7" x14ac:dyDescent="0.3">
      <c r="G3635" t="s">
        <v>1780</v>
      </c>
    </row>
    <row r="3636" spans="7:7" x14ac:dyDescent="0.3">
      <c r="G3636" t="s">
        <v>473</v>
      </c>
    </row>
    <row r="3637" spans="7:7" x14ac:dyDescent="0.3">
      <c r="G3637" t="s">
        <v>474</v>
      </c>
    </row>
    <row r="3638" spans="7:7" x14ac:dyDescent="0.3">
      <c r="G3638" t="s">
        <v>553</v>
      </c>
    </row>
    <row r="3639" spans="7:7" x14ac:dyDescent="0.3">
      <c r="G3639" t="s">
        <v>1781</v>
      </c>
    </row>
    <row r="3640" spans="7:7" x14ac:dyDescent="0.3">
      <c r="G3640" t="s">
        <v>473</v>
      </c>
    </row>
    <row r="3641" spans="7:7" x14ac:dyDescent="0.3">
      <c r="G3641" t="s">
        <v>474</v>
      </c>
    </row>
    <row r="3642" spans="7:7" x14ac:dyDescent="0.3">
      <c r="G3642" t="s">
        <v>481</v>
      </c>
    </row>
    <row r="3643" spans="7:7" x14ac:dyDescent="0.3">
      <c r="G3643" t="s">
        <v>1782</v>
      </c>
    </row>
    <row r="3644" spans="7:7" x14ac:dyDescent="0.3">
      <c r="G3644" t="s">
        <v>473</v>
      </c>
    </row>
    <row r="3645" spans="7:7" x14ac:dyDescent="0.3">
      <c r="G3645" t="s">
        <v>474</v>
      </c>
    </row>
    <row r="3646" spans="7:7" x14ac:dyDescent="0.3">
      <c r="G3646" t="s">
        <v>479</v>
      </c>
    </row>
    <row r="3647" spans="7:7" x14ac:dyDescent="0.3">
      <c r="G3647" t="s">
        <v>1783</v>
      </c>
    </row>
    <row r="3648" spans="7:7" x14ac:dyDescent="0.3">
      <c r="G3648" t="s">
        <v>473</v>
      </c>
    </row>
    <row r="3649" spans="7:7" x14ac:dyDescent="0.3">
      <c r="G3649" t="s">
        <v>448</v>
      </c>
    </row>
    <row r="3650" spans="7:7" x14ac:dyDescent="0.3">
      <c r="G3650" t="s">
        <v>409</v>
      </c>
    </row>
    <row r="3651" spans="7:7" x14ac:dyDescent="0.3">
      <c r="G3651" t="s">
        <v>177</v>
      </c>
    </row>
    <row r="3652" spans="7:7" x14ac:dyDescent="0.3">
      <c r="G3652" t="s">
        <v>436</v>
      </c>
    </row>
    <row r="3653" spans="7:7" x14ac:dyDescent="0.3">
      <c r="G3653" t="s">
        <v>437</v>
      </c>
    </row>
    <row r="3654" spans="7:7" x14ac:dyDescent="0.3">
      <c r="G3654" t="s">
        <v>438</v>
      </c>
    </row>
    <row r="3655" spans="7:7" x14ac:dyDescent="0.3">
      <c r="G3655" t="s">
        <v>439</v>
      </c>
    </row>
    <row r="3656" spans="7:7" x14ac:dyDescent="0.3">
      <c r="G3656" t="s">
        <v>441</v>
      </c>
    </row>
    <row r="3657" spans="7:7" x14ac:dyDescent="0.3">
      <c r="G3657" t="s">
        <v>560</v>
      </c>
    </row>
    <row r="3658" spans="7:7" x14ac:dyDescent="0.3">
      <c r="G3658" t="s">
        <v>443</v>
      </c>
    </row>
    <row r="3659" spans="7:7" x14ac:dyDescent="0.3">
      <c r="G3659" t="s">
        <v>444</v>
      </c>
    </row>
    <row r="3660" spans="7:7" x14ac:dyDescent="0.3">
      <c r="G3660" t="s">
        <v>1784</v>
      </c>
    </row>
    <row r="3661" spans="7:7" x14ac:dyDescent="0.3">
      <c r="G3661" t="s">
        <v>445</v>
      </c>
    </row>
    <row r="3662" spans="7:7" x14ac:dyDescent="0.3">
      <c r="G3662" t="s">
        <v>1785</v>
      </c>
    </row>
    <row r="3663" spans="7:7" x14ac:dyDescent="0.3">
      <c r="G3663" t="s">
        <v>704</v>
      </c>
    </row>
    <row r="3664" spans="7:7" x14ac:dyDescent="0.3">
      <c r="G3664" t="s">
        <v>448</v>
      </c>
    </row>
    <row r="3665" spans="7:7" x14ac:dyDescent="0.3">
      <c r="G3665" t="s">
        <v>393</v>
      </c>
    </row>
    <row r="3666" spans="7:7" x14ac:dyDescent="0.3">
      <c r="G3666" t="s">
        <v>449</v>
      </c>
    </row>
    <row r="3667" spans="7:7" x14ac:dyDescent="0.3">
      <c r="G3667" t="s">
        <v>450</v>
      </c>
    </row>
    <row r="3668" spans="7:7" x14ac:dyDescent="0.3">
      <c r="G3668" t="s">
        <v>451</v>
      </c>
    </row>
    <row r="3669" spans="7:7" x14ac:dyDescent="0.3">
      <c r="G3669" t="s">
        <v>452</v>
      </c>
    </row>
    <row r="3670" spans="7:7" x14ac:dyDescent="0.3">
      <c r="G3670" t="s">
        <v>1786</v>
      </c>
    </row>
    <row r="3671" spans="7:7" x14ac:dyDescent="0.3">
      <c r="G3671" t="s">
        <v>1787</v>
      </c>
    </row>
    <row r="3672" spans="7:7" x14ac:dyDescent="0.3">
      <c r="G3672" t="s">
        <v>1788</v>
      </c>
    </row>
    <row r="3673" spans="7:7" x14ac:dyDescent="0.3">
      <c r="G3673" t="s">
        <v>1789</v>
      </c>
    </row>
    <row r="3674" spans="7:7" x14ac:dyDescent="0.3">
      <c r="G3674" t="s">
        <v>1790</v>
      </c>
    </row>
    <row r="3675" spans="7:7" x14ac:dyDescent="0.3">
      <c r="G3675" t="s">
        <v>1791</v>
      </c>
    </row>
    <row r="3676" spans="7:7" x14ac:dyDescent="0.3">
      <c r="G3676" t="s">
        <v>1792</v>
      </c>
    </row>
    <row r="3677" spans="7:7" x14ac:dyDescent="0.3">
      <c r="G3677" t="s">
        <v>1793</v>
      </c>
    </row>
    <row r="3678" spans="7:7" x14ac:dyDescent="0.3">
      <c r="G3678" t="s">
        <v>1794</v>
      </c>
    </row>
    <row r="3679" spans="7:7" x14ac:dyDescent="0.3">
      <c r="G3679" t="s">
        <v>1795</v>
      </c>
    </row>
    <row r="3680" spans="7:7" x14ac:dyDescent="0.3">
      <c r="G3680" t="s">
        <v>448</v>
      </c>
    </row>
    <row r="3681" spans="7:7" x14ac:dyDescent="0.3">
      <c r="G3681" t="s">
        <v>393</v>
      </c>
    </row>
    <row r="3682" spans="7:7" x14ac:dyDescent="0.3">
      <c r="G3682" t="s">
        <v>463</v>
      </c>
    </row>
    <row r="3683" spans="7:7" x14ac:dyDescent="0.3">
      <c r="G3683" t="s">
        <v>464</v>
      </c>
    </row>
    <row r="3684" spans="7:7" x14ac:dyDescent="0.3">
      <c r="G3684" t="s">
        <v>1796</v>
      </c>
    </row>
    <row r="3685" spans="7:7" x14ac:dyDescent="0.3">
      <c r="G3685" t="s">
        <v>1797</v>
      </c>
    </row>
    <row r="3686" spans="7:7" x14ac:dyDescent="0.3">
      <c r="G3686" t="s">
        <v>1798</v>
      </c>
    </row>
    <row r="3687" spans="7:7" x14ac:dyDescent="0.3">
      <c r="G3687" t="s">
        <v>1799</v>
      </c>
    </row>
    <row r="3688" spans="7:7" x14ac:dyDescent="0.3">
      <c r="G3688" t="s">
        <v>1800</v>
      </c>
    </row>
    <row r="3689" spans="7:7" x14ac:dyDescent="0.3">
      <c r="G3689" t="s">
        <v>448</v>
      </c>
    </row>
    <row r="3690" spans="7:7" x14ac:dyDescent="0.3">
      <c r="G3690" t="s">
        <v>393</v>
      </c>
    </row>
    <row r="3691" spans="7:7" x14ac:dyDescent="0.3">
      <c r="G3691" t="s">
        <v>470</v>
      </c>
    </row>
    <row r="3692" spans="7:7" x14ac:dyDescent="0.3">
      <c r="G3692" t="s">
        <v>721</v>
      </c>
    </row>
    <row r="3693" spans="7:7" x14ac:dyDescent="0.3">
      <c r="G3693" t="s">
        <v>1801</v>
      </c>
    </row>
    <row r="3694" spans="7:7" x14ac:dyDescent="0.3">
      <c r="G3694" t="s">
        <v>601</v>
      </c>
    </row>
    <row r="3695" spans="7:7" x14ac:dyDescent="0.3">
      <c r="G3695" t="s">
        <v>474</v>
      </c>
    </row>
    <row r="3696" spans="7:7" x14ac:dyDescent="0.3">
      <c r="G3696" t="s">
        <v>475</v>
      </c>
    </row>
    <row r="3697" spans="7:7" x14ac:dyDescent="0.3">
      <c r="G3697" t="s">
        <v>1802</v>
      </c>
    </row>
    <row r="3698" spans="7:7" x14ac:dyDescent="0.3">
      <c r="G3698" t="s">
        <v>473</v>
      </c>
    </row>
    <row r="3699" spans="7:7" x14ac:dyDescent="0.3">
      <c r="G3699" t="s">
        <v>474</v>
      </c>
    </row>
    <row r="3700" spans="7:7" x14ac:dyDescent="0.3">
      <c r="G3700" t="s">
        <v>477</v>
      </c>
    </row>
    <row r="3701" spans="7:7" x14ac:dyDescent="0.3">
      <c r="G3701" t="s">
        <v>1803</v>
      </c>
    </row>
    <row r="3702" spans="7:7" x14ac:dyDescent="0.3">
      <c r="G3702" t="s">
        <v>473</v>
      </c>
    </row>
    <row r="3703" spans="7:7" x14ac:dyDescent="0.3">
      <c r="G3703" t="s">
        <v>474</v>
      </c>
    </row>
    <row r="3704" spans="7:7" x14ac:dyDescent="0.3">
      <c r="G3704" t="s">
        <v>481</v>
      </c>
    </row>
    <row r="3705" spans="7:7" x14ac:dyDescent="0.3">
      <c r="G3705" t="s">
        <v>1804</v>
      </c>
    </row>
    <row r="3706" spans="7:7" x14ac:dyDescent="0.3">
      <c r="G3706" t="s">
        <v>473</v>
      </c>
    </row>
    <row r="3707" spans="7:7" x14ac:dyDescent="0.3">
      <c r="G3707" t="s">
        <v>474</v>
      </c>
    </row>
    <row r="3708" spans="7:7" x14ac:dyDescent="0.3">
      <c r="G3708" t="s">
        <v>479</v>
      </c>
    </row>
    <row r="3709" spans="7:7" x14ac:dyDescent="0.3">
      <c r="G3709" t="s">
        <v>1805</v>
      </c>
    </row>
    <row r="3710" spans="7:7" x14ac:dyDescent="0.3">
      <c r="G3710" t="s">
        <v>473</v>
      </c>
    </row>
    <row r="3711" spans="7:7" x14ac:dyDescent="0.3">
      <c r="G3711" t="s">
        <v>448</v>
      </c>
    </row>
    <row r="3712" spans="7:7" x14ac:dyDescent="0.3">
      <c r="G3712" t="s">
        <v>409</v>
      </c>
    </row>
    <row r="3713" spans="7:7" x14ac:dyDescent="0.3">
      <c r="G3713" t="s">
        <v>177</v>
      </c>
    </row>
    <row r="3714" spans="7:7" x14ac:dyDescent="0.3">
      <c r="G3714" t="s">
        <v>436</v>
      </c>
    </row>
    <row r="3715" spans="7:7" x14ac:dyDescent="0.3">
      <c r="G3715" t="s">
        <v>437</v>
      </c>
    </row>
    <row r="3716" spans="7:7" x14ac:dyDescent="0.3">
      <c r="G3716" t="s">
        <v>438</v>
      </c>
    </row>
    <row r="3717" spans="7:7" x14ac:dyDescent="0.3">
      <c r="G3717" t="s">
        <v>439</v>
      </c>
    </row>
    <row r="3718" spans="7:7" x14ac:dyDescent="0.3">
      <c r="G3718" t="s">
        <v>441</v>
      </c>
    </row>
    <row r="3719" spans="7:7" x14ac:dyDescent="0.3">
      <c r="G3719" t="s">
        <v>443</v>
      </c>
    </row>
    <row r="3720" spans="7:7" x14ac:dyDescent="0.3">
      <c r="G3720" t="s">
        <v>1806</v>
      </c>
    </row>
    <row r="3721" spans="7:7" x14ac:dyDescent="0.3">
      <c r="G3721" t="s">
        <v>1807</v>
      </c>
    </row>
    <row r="3722" spans="7:7" x14ac:dyDescent="0.3">
      <c r="G3722" t="s">
        <v>444</v>
      </c>
    </row>
    <row r="3723" spans="7:7" x14ac:dyDescent="0.3">
      <c r="G3723" t="s">
        <v>1808</v>
      </c>
    </row>
    <row r="3724" spans="7:7" x14ac:dyDescent="0.3">
      <c r="G3724" t="s">
        <v>445</v>
      </c>
    </row>
    <row r="3725" spans="7:7" x14ac:dyDescent="0.3">
      <c r="G3725" t="s">
        <v>447</v>
      </c>
    </row>
    <row r="3726" spans="7:7" x14ac:dyDescent="0.3">
      <c r="G3726" t="s">
        <v>448</v>
      </c>
    </row>
    <row r="3727" spans="7:7" x14ac:dyDescent="0.3">
      <c r="G3727" t="s">
        <v>393</v>
      </c>
    </row>
    <row r="3728" spans="7:7" x14ac:dyDescent="0.3">
      <c r="G3728" t="s">
        <v>449</v>
      </c>
    </row>
    <row r="3729" spans="7:7" x14ac:dyDescent="0.3">
      <c r="G3729" t="s">
        <v>450</v>
      </c>
    </row>
    <row r="3730" spans="7:7" x14ac:dyDescent="0.3">
      <c r="G3730" t="s">
        <v>451</v>
      </c>
    </row>
    <row r="3731" spans="7:7" x14ac:dyDescent="0.3">
      <c r="G3731" t="s">
        <v>452</v>
      </c>
    </row>
    <row r="3732" spans="7:7" x14ac:dyDescent="0.3">
      <c r="G3732" t="s">
        <v>1809</v>
      </c>
    </row>
    <row r="3733" spans="7:7" x14ac:dyDescent="0.3">
      <c r="G3733" t="s">
        <v>1810</v>
      </c>
    </row>
    <row r="3734" spans="7:7" x14ac:dyDescent="0.3">
      <c r="G3734" t="s">
        <v>1811</v>
      </c>
    </row>
    <row r="3735" spans="7:7" x14ac:dyDescent="0.3">
      <c r="G3735" t="s">
        <v>1812</v>
      </c>
    </row>
    <row r="3736" spans="7:7" x14ac:dyDescent="0.3">
      <c r="G3736" t="s">
        <v>1813</v>
      </c>
    </row>
    <row r="3737" spans="7:7" x14ac:dyDescent="0.3">
      <c r="G3737" t="s">
        <v>1814</v>
      </c>
    </row>
    <row r="3738" spans="7:7" x14ac:dyDescent="0.3">
      <c r="G3738" t="s">
        <v>1815</v>
      </c>
    </row>
    <row r="3739" spans="7:7" x14ac:dyDescent="0.3">
      <c r="G3739" t="s">
        <v>1816</v>
      </c>
    </row>
    <row r="3740" spans="7:7" x14ac:dyDescent="0.3">
      <c r="G3740" t="s">
        <v>1817</v>
      </c>
    </row>
    <row r="3741" spans="7:7" x14ac:dyDescent="0.3">
      <c r="G3741" t="s">
        <v>1818</v>
      </c>
    </row>
    <row r="3742" spans="7:7" x14ac:dyDescent="0.3">
      <c r="G3742" t="s">
        <v>448</v>
      </c>
    </row>
    <row r="3743" spans="7:7" x14ac:dyDescent="0.3">
      <c r="G3743" t="s">
        <v>393</v>
      </c>
    </row>
    <row r="3744" spans="7:7" x14ac:dyDescent="0.3">
      <c r="G3744" t="s">
        <v>463</v>
      </c>
    </row>
    <row r="3745" spans="7:7" x14ac:dyDescent="0.3">
      <c r="G3745" t="s">
        <v>464</v>
      </c>
    </row>
    <row r="3746" spans="7:7" x14ac:dyDescent="0.3">
      <c r="G3746" t="s">
        <v>1819</v>
      </c>
    </row>
    <row r="3747" spans="7:7" x14ac:dyDescent="0.3">
      <c r="G3747" t="s">
        <v>1820</v>
      </c>
    </row>
    <row r="3748" spans="7:7" x14ac:dyDescent="0.3">
      <c r="G3748" t="s">
        <v>1821</v>
      </c>
    </row>
    <row r="3749" spans="7:7" x14ac:dyDescent="0.3">
      <c r="G3749" t="s">
        <v>1822</v>
      </c>
    </row>
    <row r="3750" spans="7:7" x14ac:dyDescent="0.3">
      <c r="G3750" t="s">
        <v>1823</v>
      </c>
    </row>
    <row r="3751" spans="7:7" x14ac:dyDescent="0.3">
      <c r="G3751" t="s">
        <v>448</v>
      </c>
    </row>
    <row r="3752" spans="7:7" x14ac:dyDescent="0.3">
      <c r="G3752" t="s">
        <v>393</v>
      </c>
    </row>
    <row r="3753" spans="7:7" x14ac:dyDescent="0.3">
      <c r="G3753" t="s">
        <v>470</v>
      </c>
    </row>
    <row r="3754" spans="7:7" x14ac:dyDescent="0.3">
      <c r="G3754" t="s">
        <v>1824</v>
      </c>
    </row>
    <row r="3755" spans="7:7" x14ac:dyDescent="0.3">
      <c r="G3755" t="s">
        <v>1825</v>
      </c>
    </row>
    <row r="3756" spans="7:7" x14ac:dyDescent="0.3">
      <c r="G3756" t="s">
        <v>473</v>
      </c>
    </row>
    <row r="3757" spans="7:7" x14ac:dyDescent="0.3">
      <c r="G3757" t="s">
        <v>474</v>
      </c>
    </row>
    <row r="3758" spans="7:7" x14ac:dyDescent="0.3">
      <c r="G3758" t="s">
        <v>475</v>
      </c>
    </row>
    <row r="3759" spans="7:7" x14ac:dyDescent="0.3">
      <c r="G3759" t="s">
        <v>1826</v>
      </c>
    </row>
    <row r="3760" spans="7:7" x14ac:dyDescent="0.3">
      <c r="G3760" t="s">
        <v>473</v>
      </c>
    </row>
    <row r="3761" spans="7:7" x14ac:dyDescent="0.3">
      <c r="G3761" t="s">
        <v>474</v>
      </c>
    </row>
    <row r="3762" spans="7:7" x14ac:dyDescent="0.3">
      <c r="G3762" t="s">
        <v>481</v>
      </c>
    </row>
    <row r="3763" spans="7:7" x14ac:dyDescent="0.3">
      <c r="G3763" t="s">
        <v>1827</v>
      </c>
    </row>
    <row r="3764" spans="7:7" x14ac:dyDescent="0.3">
      <c r="G3764" t="s">
        <v>473</v>
      </c>
    </row>
    <row r="3765" spans="7:7" x14ac:dyDescent="0.3">
      <c r="G3765" t="s">
        <v>474</v>
      </c>
    </row>
    <row r="3766" spans="7:7" x14ac:dyDescent="0.3">
      <c r="G3766" t="s">
        <v>477</v>
      </c>
    </row>
    <row r="3767" spans="7:7" x14ac:dyDescent="0.3">
      <c r="G3767" t="s">
        <v>1828</v>
      </c>
    </row>
    <row r="3768" spans="7:7" x14ac:dyDescent="0.3">
      <c r="G3768" t="s">
        <v>473</v>
      </c>
    </row>
    <row r="3769" spans="7:7" x14ac:dyDescent="0.3">
      <c r="G3769" t="s">
        <v>474</v>
      </c>
    </row>
    <row r="3770" spans="7:7" x14ac:dyDescent="0.3">
      <c r="G3770" t="s">
        <v>479</v>
      </c>
    </row>
    <row r="3771" spans="7:7" x14ac:dyDescent="0.3">
      <c r="G3771" t="s">
        <v>1829</v>
      </c>
    </row>
    <row r="3772" spans="7:7" x14ac:dyDescent="0.3">
      <c r="G3772" t="s">
        <v>473</v>
      </c>
    </row>
    <row r="3773" spans="7:7" x14ac:dyDescent="0.3">
      <c r="G3773" t="s">
        <v>448</v>
      </c>
    </row>
    <row r="3774" spans="7:7" x14ac:dyDescent="0.3">
      <c r="G3774" t="s">
        <v>409</v>
      </c>
    </row>
    <row r="3775" spans="7:7" x14ac:dyDescent="0.3">
      <c r="G3775" t="s">
        <v>177</v>
      </c>
    </row>
    <row r="3776" spans="7:7" x14ac:dyDescent="0.3">
      <c r="G3776" t="s">
        <v>436</v>
      </c>
    </row>
    <row r="3777" spans="7:7" x14ac:dyDescent="0.3">
      <c r="G3777" t="s">
        <v>437</v>
      </c>
    </row>
    <row r="3778" spans="7:7" x14ac:dyDescent="0.3">
      <c r="G3778" t="s">
        <v>438</v>
      </c>
    </row>
    <row r="3779" spans="7:7" x14ac:dyDescent="0.3">
      <c r="G3779" t="s">
        <v>439</v>
      </c>
    </row>
    <row r="3780" spans="7:7" x14ac:dyDescent="0.3">
      <c r="G3780" t="s">
        <v>440</v>
      </c>
    </row>
    <row r="3781" spans="7:7" x14ac:dyDescent="0.3">
      <c r="G3781" t="s">
        <v>441</v>
      </c>
    </row>
    <row r="3782" spans="7:7" x14ac:dyDescent="0.3">
      <c r="G3782" t="s">
        <v>443</v>
      </c>
    </row>
    <row r="3783" spans="7:7" x14ac:dyDescent="0.3">
      <c r="G3783" t="s">
        <v>444</v>
      </c>
    </row>
    <row r="3784" spans="7:7" x14ac:dyDescent="0.3">
      <c r="G3784" t="s">
        <v>1830</v>
      </c>
    </row>
    <row r="3785" spans="7:7" x14ac:dyDescent="0.3">
      <c r="G3785" t="s">
        <v>486</v>
      </c>
    </row>
    <row r="3786" spans="7:7" x14ac:dyDescent="0.3">
      <c r="G3786" t="s">
        <v>1831</v>
      </c>
    </row>
    <row r="3787" spans="7:7" x14ac:dyDescent="0.3">
      <c r="G3787" t="s">
        <v>1832</v>
      </c>
    </row>
    <row r="3788" spans="7:7" x14ac:dyDescent="0.3">
      <c r="G3788" t="s">
        <v>448</v>
      </c>
    </row>
    <row r="3789" spans="7:7" x14ac:dyDescent="0.3">
      <c r="G3789" t="s">
        <v>393</v>
      </c>
    </row>
    <row r="3790" spans="7:7" x14ac:dyDescent="0.3">
      <c r="G3790" t="s">
        <v>449</v>
      </c>
    </row>
    <row r="3791" spans="7:7" x14ac:dyDescent="0.3">
      <c r="G3791" t="s">
        <v>450</v>
      </c>
    </row>
    <row r="3792" spans="7:7" x14ac:dyDescent="0.3">
      <c r="G3792" t="s">
        <v>451</v>
      </c>
    </row>
    <row r="3793" spans="7:7" x14ac:dyDescent="0.3">
      <c r="G3793" t="s">
        <v>452</v>
      </c>
    </row>
    <row r="3794" spans="7:7" x14ac:dyDescent="0.3">
      <c r="G3794" t="s">
        <v>1833</v>
      </c>
    </row>
    <row r="3795" spans="7:7" x14ac:dyDescent="0.3">
      <c r="G3795" t="s">
        <v>1834</v>
      </c>
    </row>
    <row r="3796" spans="7:7" x14ac:dyDescent="0.3">
      <c r="G3796" t="s">
        <v>1835</v>
      </c>
    </row>
    <row r="3797" spans="7:7" x14ac:dyDescent="0.3">
      <c r="G3797" t="s">
        <v>1836</v>
      </c>
    </row>
    <row r="3798" spans="7:7" x14ac:dyDescent="0.3">
      <c r="G3798" t="s">
        <v>1837</v>
      </c>
    </row>
    <row r="3799" spans="7:7" x14ac:dyDescent="0.3">
      <c r="G3799" t="s">
        <v>1838</v>
      </c>
    </row>
    <row r="3800" spans="7:7" x14ac:dyDescent="0.3">
      <c r="G3800" t="s">
        <v>1839</v>
      </c>
    </row>
    <row r="3801" spans="7:7" x14ac:dyDescent="0.3">
      <c r="G3801" t="s">
        <v>1840</v>
      </c>
    </row>
    <row r="3802" spans="7:7" x14ac:dyDescent="0.3">
      <c r="G3802" t="s">
        <v>1841</v>
      </c>
    </row>
    <row r="3803" spans="7:7" x14ac:dyDescent="0.3">
      <c r="G3803" t="s">
        <v>1842</v>
      </c>
    </row>
    <row r="3804" spans="7:7" x14ac:dyDescent="0.3">
      <c r="G3804" t="s">
        <v>448</v>
      </c>
    </row>
    <row r="3805" spans="7:7" x14ac:dyDescent="0.3">
      <c r="G3805" t="s">
        <v>393</v>
      </c>
    </row>
    <row r="3806" spans="7:7" x14ac:dyDescent="0.3">
      <c r="G3806" t="s">
        <v>463</v>
      </c>
    </row>
    <row r="3807" spans="7:7" x14ac:dyDescent="0.3">
      <c r="G3807" t="s">
        <v>464</v>
      </c>
    </row>
    <row r="3808" spans="7:7" x14ac:dyDescent="0.3">
      <c r="G3808" t="s">
        <v>1843</v>
      </c>
    </row>
    <row r="3809" spans="7:7" x14ac:dyDescent="0.3">
      <c r="G3809" t="s">
        <v>1844</v>
      </c>
    </row>
    <row r="3810" spans="7:7" x14ac:dyDescent="0.3">
      <c r="G3810" t="s">
        <v>1845</v>
      </c>
    </row>
    <row r="3811" spans="7:7" x14ac:dyDescent="0.3">
      <c r="G3811" t="s">
        <v>1846</v>
      </c>
    </row>
    <row r="3812" spans="7:7" x14ac:dyDescent="0.3">
      <c r="G3812" t="s">
        <v>1847</v>
      </c>
    </row>
    <row r="3813" spans="7:7" x14ac:dyDescent="0.3">
      <c r="G3813" t="s">
        <v>448</v>
      </c>
    </row>
    <row r="3814" spans="7:7" x14ac:dyDescent="0.3">
      <c r="G3814" t="s">
        <v>393</v>
      </c>
    </row>
    <row r="3815" spans="7:7" x14ac:dyDescent="0.3">
      <c r="G3815" t="s">
        <v>470</v>
      </c>
    </row>
    <row r="3816" spans="7:7" x14ac:dyDescent="0.3">
      <c r="G3816" t="s">
        <v>504</v>
      </c>
    </row>
    <row r="3817" spans="7:7" x14ac:dyDescent="0.3">
      <c r="G3817" t="s">
        <v>1848</v>
      </c>
    </row>
    <row r="3818" spans="7:7" x14ac:dyDescent="0.3">
      <c r="G3818" t="s">
        <v>473</v>
      </c>
    </row>
    <row r="3819" spans="7:7" x14ac:dyDescent="0.3">
      <c r="G3819" t="s">
        <v>474</v>
      </c>
    </row>
    <row r="3820" spans="7:7" x14ac:dyDescent="0.3">
      <c r="G3820" t="s">
        <v>471</v>
      </c>
    </row>
    <row r="3821" spans="7:7" x14ac:dyDescent="0.3">
      <c r="G3821" t="s">
        <v>1849</v>
      </c>
    </row>
    <row r="3822" spans="7:7" x14ac:dyDescent="0.3">
      <c r="G3822" t="s">
        <v>473</v>
      </c>
    </row>
    <row r="3823" spans="7:7" x14ac:dyDescent="0.3">
      <c r="G3823" t="s">
        <v>474</v>
      </c>
    </row>
    <row r="3824" spans="7:7" x14ac:dyDescent="0.3">
      <c r="G3824" t="s">
        <v>477</v>
      </c>
    </row>
    <row r="3825" spans="7:7" x14ac:dyDescent="0.3">
      <c r="G3825" t="s">
        <v>1850</v>
      </c>
    </row>
    <row r="3826" spans="7:7" x14ac:dyDescent="0.3">
      <c r="G3826" t="s">
        <v>473</v>
      </c>
    </row>
    <row r="3827" spans="7:7" x14ac:dyDescent="0.3">
      <c r="G3827" t="s">
        <v>474</v>
      </c>
    </row>
    <row r="3828" spans="7:7" x14ac:dyDescent="0.3">
      <c r="G3828" t="s">
        <v>481</v>
      </c>
    </row>
    <row r="3829" spans="7:7" x14ac:dyDescent="0.3">
      <c r="G3829" t="s">
        <v>1851</v>
      </c>
    </row>
    <row r="3830" spans="7:7" x14ac:dyDescent="0.3">
      <c r="G3830" t="s">
        <v>473</v>
      </c>
    </row>
    <row r="3831" spans="7:7" x14ac:dyDescent="0.3">
      <c r="G3831" t="s">
        <v>474</v>
      </c>
    </row>
    <row r="3832" spans="7:7" x14ac:dyDescent="0.3">
      <c r="G3832" t="s">
        <v>479</v>
      </c>
    </row>
    <row r="3833" spans="7:7" x14ac:dyDescent="0.3">
      <c r="G3833" t="s">
        <v>1852</v>
      </c>
    </row>
    <row r="3834" spans="7:7" x14ac:dyDescent="0.3">
      <c r="G3834" t="s">
        <v>473</v>
      </c>
    </row>
    <row r="3835" spans="7:7" x14ac:dyDescent="0.3">
      <c r="G3835" t="s">
        <v>448</v>
      </c>
    </row>
    <row r="3836" spans="7:7" x14ac:dyDescent="0.3">
      <c r="G3836" t="s">
        <v>409</v>
      </c>
    </row>
    <row r="3837" spans="7:7" x14ac:dyDescent="0.3">
      <c r="G3837" t="s">
        <v>177</v>
      </c>
    </row>
    <row r="3838" spans="7:7" x14ac:dyDescent="0.3">
      <c r="G3838" t="s">
        <v>436</v>
      </c>
    </row>
    <row r="3839" spans="7:7" x14ac:dyDescent="0.3">
      <c r="G3839" t="s">
        <v>437</v>
      </c>
    </row>
    <row r="3840" spans="7:7" x14ac:dyDescent="0.3">
      <c r="G3840" t="s">
        <v>438</v>
      </c>
    </row>
    <row r="3841" spans="7:7" x14ac:dyDescent="0.3">
      <c r="G3841" t="s">
        <v>439</v>
      </c>
    </row>
    <row r="3842" spans="7:7" x14ac:dyDescent="0.3">
      <c r="G3842" t="s">
        <v>441</v>
      </c>
    </row>
    <row r="3843" spans="7:7" x14ac:dyDescent="0.3">
      <c r="G3843" t="s">
        <v>443</v>
      </c>
    </row>
    <row r="3844" spans="7:7" x14ac:dyDescent="0.3">
      <c r="G3844" t="s">
        <v>483</v>
      </c>
    </row>
    <row r="3845" spans="7:7" x14ac:dyDescent="0.3">
      <c r="G3845" t="s">
        <v>445</v>
      </c>
    </row>
    <row r="3846" spans="7:7" x14ac:dyDescent="0.3">
      <c r="G3846" t="s">
        <v>1853</v>
      </c>
    </row>
    <row r="3847" spans="7:7" x14ac:dyDescent="0.3">
      <c r="G3847" t="s">
        <v>936</v>
      </c>
    </row>
    <row r="3848" spans="7:7" x14ac:dyDescent="0.3">
      <c r="G3848" t="s">
        <v>1854</v>
      </c>
    </row>
    <row r="3849" spans="7:7" x14ac:dyDescent="0.3">
      <c r="G3849" t="s">
        <v>1855</v>
      </c>
    </row>
    <row r="3850" spans="7:7" x14ac:dyDescent="0.3">
      <c r="G3850" t="s">
        <v>448</v>
      </c>
    </row>
    <row r="3851" spans="7:7" x14ac:dyDescent="0.3">
      <c r="G3851" t="s">
        <v>393</v>
      </c>
    </row>
    <row r="3852" spans="7:7" x14ac:dyDescent="0.3">
      <c r="G3852" t="s">
        <v>449</v>
      </c>
    </row>
    <row r="3853" spans="7:7" x14ac:dyDescent="0.3">
      <c r="G3853" t="s">
        <v>450</v>
      </c>
    </row>
    <row r="3854" spans="7:7" x14ac:dyDescent="0.3">
      <c r="G3854" t="s">
        <v>451</v>
      </c>
    </row>
    <row r="3855" spans="7:7" x14ac:dyDescent="0.3">
      <c r="G3855" t="s">
        <v>452</v>
      </c>
    </row>
    <row r="3856" spans="7:7" x14ac:dyDescent="0.3">
      <c r="G3856" t="s">
        <v>1856</v>
      </c>
    </row>
    <row r="3857" spans="7:7" x14ac:dyDescent="0.3">
      <c r="G3857" t="s">
        <v>1857</v>
      </c>
    </row>
    <row r="3858" spans="7:7" x14ac:dyDescent="0.3">
      <c r="G3858" t="s">
        <v>1858</v>
      </c>
    </row>
    <row r="3859" spans="7:7" x14ac:dyDescent="0.3">
      <c r="G3859" t="s">
        <v>1859</v>
      </c>
    </row>
    <row r="3860" spans="7:7" x14ac:dyDescent="0.3">
      <c r="G3860" t="s">
        <v>1860</v>
      </c>
    </row>
    <row r="3861" spans="7:7" x14ac:dyDescent="0.3">
      <c r="G3861" t="s">
        <v>1861</v>
      </c>
    </row>
    <row r="3862" spans="7:7" x14ac:dyDescent="0.3">
      <c r="G3862" t="s">
        <v>1862</v>
      </c>
    </row>
    <row r="3863" spans="7:7" x14ac:dyDescent="0.3">
      <c r="G3863" t="s">
        <v>1863</v>
      </c>
    </row>
    <row r="3864" spans="7:7" x14ac:dyDescent="0.3">
      <c r="G3864" t="s">
        <v>1864</v>
      </c>
    </row>
    <row r="3865" spans="7:7" x14ac:dyDescent="0.3">
      <c r="G3865" t="s">
        <v>1865</v>
      </c>
    </row>
    <row r="3866" spans="7:7" x14ac:dyDescent="0.3">
      <c r="G3866" t="s">
        <v>448</v>
      </c>
    </row>
    <row r="3867" spans="7:7" x14ac:dyDescent="0.3">
      <c r="G3867" t="s">
        <v>393</v>
      </c>
    </row>
    <row r="3868" spans="7:7" x14ac:dyDescent="0.3">
      <c r="G3868" t="s">
        <v>463</v>
      </c>
    </row>
    <row r="3869" spans="7:7" x14ac:dyDescent="0.3">
      <c r="G3869" t="s">
        <v>464</v>
      </c>
    </row>
    <row r="3870" spans="7:7" x14ac:dyDescent="0.3">
      <c r="G3870" t="s">
        <v>1866</v>
      </c>
    </row>
    <row r="3871" spans="7:7" x14ac:dyDescent="0.3">
      <c r="G3871" t="s">
        <v>1867</v>
      </c>
    </row>
    <row r="3872" spans="7:7" x14ac:dyDescent="0.3">
      <c r="G3872" t="s">
        <v>1868</v>
      </c>
    </row>
    <row r="3873" spans="7:7" x14ac:dyDescent="0.3">
      <c r="G3873" t="s">
        <v>1869</v>
      </c>
    </row>
    <row r="3874" spans="7:7" x14ac:dyDescent="0.3">
      <c r="G3874" t="s">
        <v>1870</v>
      </c>
    </row>
    <row r="3875" spans="7:7" x14ac:dyDescent="0.3">
      <c r="G3875" t="s">
        <v>448</v>
      </c>
    </row>
    <row r="3876" spans="7:7" x14ac:dyDescent="0.3">
      <c r="G3876" t="s">
        <v>393</v>
      </c>
    </row>
    <row r="3877" spans="7:7" x14ac:dyDescent="0.3">
      <c r="G3877" t="s">
        <v>470</v>
      </c>
    </row>
    <row r="3878" spans="7:7" x14ac:dyDescent="0.3">
      <c r="G3878" t="s">
        <v>721</v>
      </c>
    </row>
    <row r="3879" spans="7:7" x14ac:dyDescent="0.3">
      <c r="G3879" t="s">
        <v>1871</v>
      </c>
    </row>
    <row r="3880" spans="7:7" x14ac:dyDescent="0.3">
      <c r="G3880" t="s">
        <v>473</v>
      </c>
    </row>
    <row r="3881" spans="7:7" x14ac:dyDescent="0.3">
      <c r="G3881" t="s">
        <v>474</v>
      </c>
    </row>
    <row r="3882" spans="7:7" x14ac:dyDescent="0.3">
      <c r="G3882" t="s">
        <v>475</v>
      </c>
    </row>
    <row r="3883" spans="7:7" x14ac:dyDescent="0.3">
      <c r="G3883" t="s">
        <v>1872</v>
      </c>
    </row>
    <row r="3884" spans="7:7" x14ac:dyDescent="0.3">
      <c r="G3884" t="s">
        <v>473</v>
      </c>
    </row>
    <row r="3885" spans="7:7" x14ac:dyDescent="0.3">
      <c r="G3885" t="s">
        <v>474</v>
      </c>
    </row>
    <row r="3886" spans="7:7" x14ac:dyDescent="0.3">
      <c r="G3886" t="s">
        <v>508</v>
      </c>
    </row>
    <row r="3887" spans="7:7" x14ac:dyDescent="0.3">
      <c r="G3887" t="s">
        <v>1873</v>
      </c>
    </row>
    <row r="3888" spans="7:7" x14ac:dyDescent="0.3">
      <c r="G3888" t="s">
        <v>473</v>
      </c>
    </row>
    <row r="3889" spans="7:7" x14ac:dyDescent="0.3">
      <c r="G3889" t="s">
        <v>474</v>
      </c>
    </row>
    <row r="3890" spans="7:7" x14ac:dyDescent="0.3">
      <c r="G3890" t="s">
        <v>481</v>
      </c>
    </row>
    <row r="3891" spans="7:7" x14ac:dyDescent="0.3">
      <c r="G3891" t="s">
        <v>1874</v>
      </c>
    </row>
    <row r="3892" spans="7:7" x14ac:dyDescent="0.3">
      <c r="G3892" t="s">
        <v>473</v>
      </c>
    </row>
    <row r="3893" spans="7:7" x14ac:dyDescent="0.3">
      <c r="G3893" t="s">
        <v>474</v>
      </c>
    </row>
    <row r="3894" spans="7:7" x14ac:dyDescent="0.3">
      <c r="G3894" t="s">
        <v>479</v>
      </c>
    </row>
    <row r="3895" spans="7:7" x14ac:dyDescent="0.3">
      <c r="G3895" t="s">
        <v>1875</v>
      </c>
    </row>
    <row r="3896" spans="7:7" x14ac:dyDescent="0.3">
      <c r="G3896" t="s">
        <v>473</v>
      </c>
    </row>
    <row r="3897" spans="7:7" x14ac:dyDescent="0.3">
      <c r="G3897" t="s">
        <v>448</v>
      </c>
    </row>
    <row r="3898" spans="7:7" x14ac:dyDescent="0.3">
      <c r="G3898" t="s">
        <v>409</v>
      </c>
    </row>
    <row r="3899" spans="7:7" x14ac:dyDescent="0.3">
      <c r="G3899" t="s">
        <v>177</v>
      </c>
    </row>
    <row r="3900" spans="7:7" x14ac:dyDescent="0.3">
      <c r="G3900" t="s">
        <v>436</v>
      </c>
    </row>
    <row r="3901" spans="7:7" x14ac:dyDescent="0.3">
      <c r="G3901" t="s">
        <v>437</v>
      </c>
    </row>
    <row r="3902" spans="7:7" x14ac:dyDescent="0.3">
      <c r="G3902" t="s">
        <v>438</v>
      </c>
    </row>
    <row r="3903" spans="7:7" x14ac:dyDescent="0.3">
      <c r="G3903" t="s">
        <v>439</v>
      </c>
    </row>
    <row r="3904" spans="7:7" x14ac:dyDescent="0.3">
      <c r="G3904" t="s">
        <v>440</v>
      </c>
    </row>
    <row r="3905" spans="7:7" x14ac:dyDescent="0.3">
      <c r="G3905" t="s">
        <v>1876</v>
      </c>
    </row>
    <row r="3906" spans="7:7" x14ac:dyDescent="0.3">
      <c r="G3906" t="s">
        <v>441</v>
      </c>
    </row>
    <row r="3907" spans="7:7" x14ac:dyDescent="0.3">
      <c r="G3907" t="s">
        <v>443</v>
      </c>
    </row>
    <row r="3908" spans="7:7" x14ac:dyDescent="0.3">
      <c r="G3908" t="s">
        <v>444</v>
      </c>
    </row>
    <row r="3909" spans="7:7" x14ac:dyDescent="0.3">
      <c r="G3909" t="s">
        <v>1877</v>
      </c>
    </row>
    <row r="3910" spans="7:7" x14ac:dyDescent="0.3">
      <c r="G3910" t="s">
        <v>445</v>
      </c>
    </row>
    <row r="3911" spans="7:7" x14ac:dyDescent="0.3">
      <c r="G3911" t="s">
        <v>447</v>
      </c>
    </row>
    <row r="3912" spans="7:7" x14ac:dyDescent="0.3">
      <c r="G3912" t="s">
        <v>448</v>
      </c>
    </row>
    <row r="3913" spans="7:7" x14ac:dyDescent="0.3">
      <c r="G3913" t="s">
        <v>393</v>
      </c>
    </row>
    <row r="3914" spans="7:7" x14ac:dyDescent="0.3">
      <c r="G3914" t="s">
        <v>449</v>
      </c>
    </row>
    <row r="3915" spans="7:7" x14ac:dyDescent="0.3">
      <c r="G3915" t="s">
        <v>450</v>
      </c>
    </row>
    <row r="3916" spans="7:7" x14ac:dyDescent="0.3">
      <c r="G3916" t="s">
        <v>451</v>
      </c>
    </row>
    <row r="3917" spans="7:7" x14ac:dyDescent="0.3">
      <c r="G3917" t="s">
        <v>452</v>
      </c>
    </row>
    <row r="3918" spans="7:7" x14ac:dyDescent="0.3">
      <c r="G3918" t="s">
        <v>1878</v>
      </c>
    </row>
    <row r="3919" spans="7:7" x14ac:dyDescent="0.3">
      <c r="G3919" t="s">
        <v>1879</v>
      </c>
    </row>
    <row r="3920" spans="7:7" x14ac:dyDescent="0.3">
      <c r="G3920" t="s">
        <v>1880</v>
      </c>
    </row>
    <row r="3921" spans="7:7" x14ac:dyDescent="0.3">
      <c r="G3921" t="s">
        <v>1881</v>
      </c>
    </row>
    <row r="3922" spans="7:7" x14ac:dyDescent="0.3">
      <c r="G3922" t="s">
        <v>1882</v>
      </c>
    </row>
    <row r="3923" spans="7:7" x14ac:dyDescent="0.3">
      <c r="G3923" t="s">
        <v>1883</v>
      </c>
    </row>
    <row r="3924" spans="7:7" x14ac:dyDescent="0.3">
      <c r="G3924" t="s">
        <v>1884</v>
      </c>
    </row>
    <row r="3925" spans="7:7" x14ac:dyDescent="0.3">
      <c r="G3925" t="s">
        <v>1885</v>
      </c>
    </row>
    <row r="3926" spans="7:7" x14ac:dyDescent="0.3">
      <c r="G3926" t="s">
        <v>1886</v>
      </c>
    </row>
    <row r="3927" spans="7:7" x14ac:dyDescent="0.3">
      <c r="G3927" t="s">
        <v>1887</v>
      </c>
    </row>
    <row r="3928" spans="7:7" x14ac:dyDescent="0.3">
      <c r="G3928" t="s">
        <v>448</v>
      </c>
    </row>
    <row r="3929" spans="7:7" x14ac:dyDescent="0.3">
      <c r="G3929" t="s">
        <v>393</v>
      </c>
    </row>
    <row r="3930" spans="7:7" x14ac:dyDescent="0.3">
      <c r="G3930" t="s">
        <v>463</v>
      </c>
    </row>
    <row r="3931" spans="7:7" x14ac:dyDescent="0.3">
      <c r="G3931" t="s">
        <v>464</v>
      </c>
    </row>
    <row r="3932" spans="7:7" x14ac:dyDescent="0.3">
      <c r="G3932" t="s">
        <v>1888</v>
      </c>
    </row>
    <row r="3933" spans="7:7" x14ac:dyDescent="0.3">
      <c r="G3933" t="s">
        <v>1889</v>
      </c>
    </row>
    <row r="3934" spans="7:7" x14ac:dyDescent="0.3">
      <c r="G3934" t="s">
        <v>1890</v>
      </c>
    </row>
    <row r="3935" spans="7:7" x14ac:dyDescent="0.3">
      <c r="G3935" t="s">
        <v>1891</v>
      </c>
    </row>
    <row r="3936" spans="7:7" x14ac:dyDescent="0.3">
      <c r="G3936" t="s">
        <v>1892</v>
      </c>
    </row>
    <row r="3937" spans="7:7" x14ac:dyDescent="0.3">
      <c r="G3937" t="s">
        <v>448</v>
      </c>
    </row>
    <row r="3938" spans="7:7" x14ac:dyDescent="0.3">
      <c r="G3938" t="s">
        <v>393</v>
      </c>
    </row>
    <row r="3939" spans="7:7" x14ac:dyDescent="0.3">
      <c r="G3939" t="s">
        <v>470</v>
      </c>
    </row>
    <row r="3940" spans="7:7" x14ac:dyDescent="0.3">
      <c r="G3940" t="s">
        <v>471</v>
      </c>
    </row>
    <row r="3941" spans="7:7" x14ac:dyDescent="0.3">
      <c r="G3941" t="s">
        <v>1893</v>
      </c>
    </row>
    <row r="3942" spans="7:7" x14ac:dyDescent="0.3">
      <c r="G3942" t="s">
        <v>473</v>
      </c>
    </row>
    <row r="3943" spans="7:7" x14ac:dyDescent="0.3">
      <c r="G3943" t="s">
        <v>474</v>
      </c>
    </row>
    <row r="3944" spans="7:7" x14ac:dyDescent="0.3">
      <c r="G3944" t="s">
        <v>475</v>
      </c>
    </row>
    <row r="3945" spans="7:7" x14ac:dyDescent="0.3">
      <c r="G3945" t="s">
        <v>1894</v>
      </c>
    </row>
    <row r="3946" spans="7:7" x14ac:dyDescent="0.3">
      <c r="G3946" t="s">
        <v>473</v>
      </c>
    </row>
    <row r="3947" spans="7:7" x14ac:dyDescent="0.3">
      <c r="G3947" t="s">
        <v>474</v>
      </c>
    </row>
    <row r="3948" spans="7:7" x14ac:dyDescent="0.3">
      <c r="G3948" t="s">
        <v>477</v>
      </c>
    </row>
    <row r="3949" spans="7:7" x14ac:dyDescent="0.3">
      <c r="G3949" t="s">
        <v>1895</v>
      </c>
    </row>
    <row r="3950" spans="7:7" x14ac:dyDescent="0.3">
      <c r="G3950" t="s">
        <v>473</v>
      </c>
    </row>
    <row r="3951" spans="7:7" x14ac:dyDescent="0.3">
      <c r="G3951" t="s">
        <v>474</v>
      </c>
    </row>
    <row r="3952" spans="7:7" x14ac:dyDescent="0.3">
      <c r="G3952" t="s">
        <v>479</v>
      </c>
    </row>
    <row r="3953" spans="7:7" x14ac:dyDescent="0.3">
      <c r="G3953" t="s">
        <v>1896</v>
      </c>
    </row>
    <row r="3954" spans="7:7" x14ac:dyDescent="0.3">
      <c r="G3954" t="s">
        <v>473</v>
      </c>
    </row>
    <row r="3955" spans="7:7" x14ac:dyDescent="0.3">
      <c r="G3955" t="s">
        <v>474</v>
      </c>
    </row>
    <row r="3956" spans="7:7" x14ac:dyDescent="0.3">
      <c r="G3956" t="s">
        <v>481</v>
      </c>
    </row>
    <row r="3957" spans="7:7" x14ac:dyDescent="0.3">
      <c r="G3957" t="s">
        <v>1897</v>
      </c>
    </row>
    <row r="3958" spans="7:7" x14ac:dyDescent="0.3">
      <c r="G3958" t="s">
        <v>473</v>
      </c>
    </row>
    <row r="3959" spans="7:7" x14ac:dyDescent="0.3">
      <c r="G3959" t="s">
        <v>448</v>
      </c>
    </row>
    <row r="3960" spans="7:7" x14ac:dyDescent="0.3">
      <c r="G3960" t="s">
        <v>409</v>
      </c>
    </row>
    <row r="3961" spans="7:7" x14ac:dyDescent="0.3">
      <c r="G3961" t="s">
        <v>177</v>
      </c>
    </row>
    <row r="3962" spans="7:7" x14ac:dyDescent="0.3">
      <c r="G3962" t="s">
        <v>436</v>
      </c>
    </row>
    <row r="3963" spans="7:7" x14ac:dyDescent="0.3">
      <c r="G3963" t="s">
        <v>437</v>
      </c>
    </row>
    <row r="3964" spans="7:7" x14ac:dyDescent="0.3">
      <c r="G3964" t="s">
        <v>438</v>
      </c>
    </row>
    <row r="3965" spans="7:7" x14ac:dyDescent="0.3">
      <c r="G3965" t="s">
        <v>439</v>
      </c>
    </row>
    <row r="3966" spans="7:7" x14ac:dyDescent="0.3">
      <c r="G3966" t="s">
        <v>440</v>
      </c>
    </row>
    <row r="3967" spans="7:7" x14ac:dyDescent="0.3">
      <c r="G3967" t="s">
        <v>1898</v>
      </c>
    </row>
    <row r="3968" spans="7:7" x14ac:dyDescent="0.3">
      <c r="G3968" t="s">
        <v>441</v>
      </c>
    </row>
    <row r="3969" spans="7:7" x14ac:dyDescent="0.3">
      <c r="G3969" t="s">
        <v>443</v>
      </c>
    </row>
    <row r="3970" spans="7:7" x14ac:dyDescent="0.3">
      <c r="G3970" t="s">
        <v>483</v>
      </c>
    </row>
    <row r="3971" spans="7:7" x14ac:dyDescent="0.3">
      <c r="G3971" t="s">
        <v>445</v>
      </c>
    </row>
    <row r="3972" spans="7:7" x14ac:dyDescent="0.3">
      <c r="G3972" t="s">
        <v>1899</v>
      </c>
    </row>
    <row r="3973" spans="7:7" x14ac:dyDescent="0.3">
      <c r="G3973" t="s">
        <v>1900</v>
      </c>
    </row>
    <row r="3974" spans="7:7" x14ac:dyDescent="0.3">
      <c r="G3974" t="s">
        <v>448</v>
      </c>
    </row>
    <row r="3975" spans="7:7" x14ac:dyDescent="0.3">
      <c r="G3975" t="s">
        <v>393</v>
      </c>
    </row>
    <row r="3976" spans="7:7" x14ac:dyDescent="0.3">
      <c r="G3976" t="s">
        <v>449</v>
      </c>
    </row>
    <row r="3977" spans="7:7" x14ac:dyDescent="0.3">
      <c r="G3977" t="s">
        <v>450</v>
      </c>
    </row>
    <row r="3978" spans="7:7" x14ac:dyDescent="0.3">
      <c r="G3978" t="s">
        <v>451</v>
      </c>
    </row>
    <row r="3979" spans="7:7" x14ac:dyDescent="0.3">
      <c r="G3979" t="s">
        <v>452</v>
      </c>
    </row>
    <row r="3980" spans="7:7" x14ac:dyDescent="0.3">
      <c r="G3980" t="s">
        <v>1901</v>
      </c>
    </row>
    <row r="3981" spans="7:7" x14ac:dyDescent="0.3">
      <c r="G3981" t="s">
        <v>1902</v>
      </c>
    </row>
    <row r="3982" spans="7:7" x14ac:dyDescent="0.3">
      <c r="G3982" t="s">
        <v>1903</v>
      </c>
    </row>
    <row r="3983" spans="7:7" x14ac:dyDescent="0.3">
      <c r="G3983" t="s">
        <v>1904</v>
      </c>
    </row>
    <row r="3984" spans="7:7" x14ac:dyDescent="0.3">
      <c r="G3984" t="s">
        <v>1905</v>
      </c>
    </row>
    <row r="3985" spans="7:7" x14ac:dyDescent="0.3">
      <c r="G3985" t="s">
        <v>1906</v>
      </c>
    </row>
    <row r="3986" spans="7:7" x14ac:dyDescent="0.3">
      <c r="G3986" t="s">
        <v>1907</v>
      </c>
    </row>
    <row r="3987" spans="7:7" x14ac:dyDescent="0.3">
      <c r="G3987" t="s">
        <v>1908</v>
      </c>
    </row>
    <row r="3988" spans="7:7" x14ac:dyDescent="0.3">
      <c r="G3988" t="s">
        <v>1909</v>
      </c>
    </row>
    <row r="3989" spans="7:7" x14ac:dyDescent="0.3">
      <c r="G3989" t="s">
        <v>1910</v>
      </c>
    </row>
    <row r="3990" spans="7:7" x14ac:dyDescent="0.3">
      <c r="G3990" t="s">
        <v>448</v>
      </c>
    </row>
    <row r="3991" spans="7:7" x14ac:dyDescent="0.3">
      <c r="G3991" t="s">
        <v>393</v>
      </c>
    </row>
    <row r="3992" spans="7:7" x14ac:dyDescent="0.3">
      <c r="G3992" t="s">
        <v>463</v>
      </c>
    </row>
    <row r="3993" spans="7:7" x14ac:dyDescent="0.3">
      <c r="G3993" t="s">
        <v>464</v>
      </c>
    </row>
    <row r="3994" spans="7:7" x14ac:dyDescent="0.3">
      <c r="G3994" t="s">
        <v>1911</v>
      </c>
    </row>
    <row r="3995" spans="7:7" x14ac:dyDescent="0.3">
      <c r="G3995" t="s">
        <v>1912</v>
      </c>
    </row>
    <row r="3996" spans="7:7" x14ac:dyDescent="0.3">
      <c r="G3996" t="s">
        <v>1913</v>
      </c>
    </row>
    <row r="3997" spans="7:7" x14ac:dyDescent="0.3">
      <c r="G3997" t="s">
        <v>1914</v>
      </c>
    </row>
    <row r="3998" spans="7:7" x14ac:dyDescent="0.3">
      <c r="G3998" t="s">
        <v>1915</v>
      </c>
    </row>
    <row r="3999" spans="7:7" x14ac:dyDescent="0.3">
      <c r="G3999" t="s">
        <v>448</v>
      </c>
    </row>
    <row r="4000" spans="7:7" x14ac:dyDescent="0.3">
      <c r="G4000" t="s">
        <v>393</v>
      </c>
    </row>
    <row r="4001" spans="7:7" x14ac:dyDescent="0.3">
      <c r="G4001" t="s">
        <v>470</v>
      </c>
    </row>
    <row r="4002" spans="7:7" x14ac:dyDescent="0.3">
      <c r="G4002" t="s">
        <v>481</v>
      </c>
    </row>
    <row r="4003" spans="7:7" x14ac:dyDescent="0.3">
      <c r="G4003" t="s">
        <v>1916</v>
      </c>
    </row>
    <row r="4004" spans="7:7" x14ac:dyDescent="0.3">
      <c r="G4004" t="s">
        <v>473</v>
      </c>
    </row>
    <row r="4005" spans="7:7" x14ac:dyDescent="0.3">
      <c r="G4005" t="s">
        <v>474</v>
      </c>
    </row>
    <row r="4006" spans="7:7" x14ac:dyDescent="0.3">
      <c r="G4006" t="s">
        <v>471</v>
      </c>
    </row>
    <row r="4007" spans="7:7" x14ac:dyDescent="0.3">
      <c r="G4007" t="s">
        <v>1917</v>
      </c>
    </row>
    <row r="4008" spans="7:7" x14ac:dyDescent="0.3">
      <c r="G4008" t="s">
        <v>473</v>
      </c>
    </row>
    <row r="4009" spans="7:7" x14ac:dyDescent="0.3">
      <c r="G4009" t="s">
        <v>474</v>
      </c>
    </row>
    <row r="4010" spans="7:7" x14ac:dyDescent="0.3">
      <c r="G4010" t="s">
        <v>479</v>
      </c>
    </row>
    <row r="4011" spans="7:7" x14ac:dyDescent="0.3">
      <c r="G4011" t="s">
        <v>1918</v>
      </c>
    </row>
    <row r="4012" spans="7:7" x14ac:dyDescent="0.3">
      <c r="G4012" t="s">
        <v>473</v>
      </c>
    </row>
    <row r="4013" spans="7:7" x14ac:dyDescent="0.3">
      <c r="G4013" t="s">
        <v>474</v>
      </c>
    </row>
    <row r="4014" spans="7:7" x14ac:dyDescent="0.3">
      <c r="G4014" t="s">
        <v>475</v>
      </c>
    </row>
    <row r="4015" spans="7:7" x14ac:dyDescent="0.3">
      <c r="G4015" t="s">
        <v>1919</v>
      </c>
    </row>
    <row r="4016" spans="7:7" x14ac:dyDescent="0.3">
      <c r="G4016" t="s">
        <v>473</v>
      </c>
    </row>
    <row r="4017" spans="7:7" x14ac:dyDescent="0.3">
      <c r="G4017" t="s">
        <v>474</v>
      </c>
    </row>
    <row r="4018" spans="7:7" x14ac:dyDescent="0.3">
      <c r="G4018" t="s">
        <v>508</v>
      </c>
    </row>
    <row r="4019" spans="7:7" x14ac:dyDescent="0.3">
      <c r="G4019" t="s">
        <v>1920</v>
      </c>
    </row>
    <row r="4020" spans="7:7" x14ac:dyDescent="0.3">
      <c r="G4020" t="s">
        <v>473</v>
      </c>
    </row>
    <row r="4021" spans="7:7" x14ac:dyDescent="0.3">
      <c r="G4021" t="s">
        <v>448</v>
      </c>
    </row>
    <row r="4022" spans="7:7" x14ac:dyDescent="0.3">
      <c r="G4022" t="s">
        <v>409</v>
      </c>
    </row>
    <row r="4023" spans="7:7" x14ac:dyDescent="0.3">
      <c r="G4023" t="s">
        <v>165</v>
      </c>
    </row>
    <row r="4024" spans="7:7" x14ac:dyDescent="0.3">
      <c r="G4024" t="s">
        <v>1921</v>
      </c>
    </row>
    <row r="4025" spans="7:7" x14ac:dyDescent="0.3">
      <c r="G4025" t="s">
        <v>77</v>
      </c>
    </row>
    <row r="4027" spans="7:7" x14ac:dyDescent="0.3">
      <c r="G4027" t="s">
        <v>377</v>
      </c>
    </row>
    <row r="4029" spans="7:7" x14ac:dyDescent="0.3">
      <c r="G4029" t="s">
        <v>280</v>
      </c>
    </row>
    <row r="4030" spans="7:7" x14ac:dyDescent="0.3">
      <c r="G4030" t="s">
        <v>281</v>
      </c>
    </row>
    <row r="4031" spans="7:7" x14ac:dyDescent="0.3">
      <c r="G4031" t="s">
        <v>85</v>
      </c>
    </row>
    <row r="4032" spans="7:7" x14ac:dyDescent="0.3">
      <c r="G4032" t="s">
        <v>86</v>
      </c>
    </row>
    <row r="4033" spans="7:7" x14ac:dyDescent="0.3">
      <c r="G4033" t="s">
        <v>282</v>
      </c>
    </row>
    <row r="4034" spans="7:7" x14ac:dyDescent="0.3">
      <c r="G4034" t="s">
        <v>200</v>
      </c>
    </row>
    <row r="4036" spans="7:7" x14ac:dyDescent="0.3">
      <c r="G4036" t="s">
        <v>221</v>
      </c>
    </row>
    <row r="4037" spans="7:7" x14ac:dyDescent="0.3">
      <c r="G4037" t="s">
        <v>222</v>
      </c>
    </row>
    <row r="4038" spans="7:7" x14ac:dyDescent="0.3">
      <c r="G4038" t="s">
        <v>223</v>
      </c>
    </row>
    <row r="4039" spans="7:7" x14ac:dyDescent="0.3">
      <c r="G4039" t="s">
        <v>224</v>
      </c>
    </row>
    <row r="4040" spans="7:7" x14ac:dyDescent="0.3">
      <c r="G4040" t="s">
        <v>378</v>
      </c>
    </row>
    <row r="4041" spans="7:7" x14ac:dyDescent="0.3">
      <c r="G4041" t="s">
        <v>226</v>
      </c>
    </row>
    <row r="4042" spans="7:7" x14ac:dyDescent="0.3">
      <c r="G4042" t="s">
        <v>227</v>
      </c>
    </row>
    <row r="4043" spans="7:7" x14ac:dyDescent="0.3">
      <c r="G4043" t="s">
        <v>228</v>
      </c>
    </row>
    <row r="4044" spans="7:7" x14ac:dyDescent="0.3">
      <c r="G4044" t="s">
        <v>229</v>
      </c>
    </row>
    <row r="4045" spans="7:7" x14ac:dyDescent="0.3">
      <c r="G4045" t="s">
        <v>230</v>
      </c>
    </row>
    <row r="4047" spans="7:7" x14ac:dyDescent="0.3">
      <c r="G4047" t="s">
        <v>231</v>
      </c>
    </row>
    <row r="4048" spans="7:7" x14ac:dyDescent="0.3">
      <c r="G4048" t="s">
        <v>283</v>
      </c>
    </row>
    <row r="4050" spans="7:7" x14ac:dyDescent="0.3">
      <c r="G4050" t="s">
        <v>233</v>
      </c>
    </row>
    <row r="4051" spans="7:7" x14ac:dyDescent="0.3">
      <c r="G4051" t="s">
        <v>284</v>
      </c>
    </row>
    <row r="4052" spans="7:7" x14ac:dyDescent="0.3">
      <c r="G4052" t="s">
        <v>285</v>
      </c>
    </row>
    <row r="4053" spans="7:7" x14ac:dyDescent="0.3">
      <c r="G4053" t="s">
        <v>286</v>
      </c>
    </row>
    <row r="4054" spans="7:7" x14ac:dyDescent="0.3">
      <c r="G4054" t="s">
        <v>287</v>
      </c>
    </row>
    <row r="4055" spans="7:7" x14ac:dyDescent="0.3">
      <c r="G4055" t="s">
        <v>288</v>
      </c>
    </row>
    <row r="4057" spans="7:7" x14ac:dyDescent="0.3">
      <c r="G4057" t="s">
        <v>237</v>
      </c>
    </row>
    <row r="4059" spans="7:7" x14ac:dyDescent="0.3">
      <c r="G4059" t="s">
        <v>238</v>
      </c>
    </row>
    <row r="4060" spans="7:7" x14ac:dyDescent="0.3">
      <c r="G4060" t="s">
        <v>379</v>
      </c>
    </row>
    <row r="4061" spans="7:7" x14ac:dyDescent="0.3">
      <c r="G4061" t="s">
        <v>380</v>
      </c>
    </row>
    <row r="4062" spans="7:7" x14ac:dyDescent="0.3">
      <c r="G4062" t="s">
        <v>241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B0837-BC12-4DA9-9D8B-816701A3F7E6}">
  <dimension ref="A1:G130"/>
  <sheetViews>
    <sheetView topLeftCell="A22" zoomScale="90" zoomScaleNormal="90" workbookViewId="0">
      <selection activeCell="C101" sqref="C10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4</v>
      </c>
      <c r="D6">
        <f t="shared" ref="D6:D12" si="0">C6*B6</f>
        <v>0.4</v>
      </c>
      <c r="G6" s="7"/>
    </row>
    <row r="7" spans="1:7" x14ac:dyDescent="0.3">
      <c r="A7" t="s">
        <v>206</v>
      </c>
      <c r="B7" s="3">
        <v>0.1</v>
      </c>
      <c r="C7">
        <v>5</v>
      </c>
      <c r="D7">
        <f t="shared" si="0"/>
        <v>0.5</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4.2</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4</v>
      </c>
      <c r="D20">
        <f t="shared" si="1"/>
        <v>0.4</v>
      </c>
      <c r="G20" s="7"/>
    </row>
    <row r="21" spans="1:7" x14ac:dyDescent="0.3">
      <c r="A21" t="s">
        <v>91</v>
      </c>
      <c r="B21" s="3">
        <v>0.15</v>
      </c>
      <c r="C21">
        <v>4</v>
      </c>
      <c r="D21">
        <f t="shared" si="1"/>
        <v>0.6</v>
      </c>
      <c r="G21" s="7"/>
    </row>
    <row r="22" spans="1:7" x14ac:dyDescent="0.3">
      <c r="A22" t="s">
        <v>90</v>
      </c>
      <c r="B22" s="3">
        <v>0.15</v>
      </c>
      <c r="C22">
        <v>3</v>
      </c>
      <c r="D22">
        <f t="shared" si="1"/>
        <v>0.44999999999999996</v>
      </c>
      <c r="G22" s="7"/>
    </row>
    <row r="23" spans="1:7" x14ac:dyDescent="0.3">
      <c r="A23" t="s">
        <v>203</v>
      </c>
      <c r="B23" s="3">
        <v>0.05</v>
      </c>
      <c r="C23">
        <v>4</v>
      </c>
      <c r="D23">
        <f t="shared" si="1"/>
        <v>0.2</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3</v>
      </c>
      <c r="D26">
        <f>C26*B26</f>
        <v>0.44999999999999996</v>
      </c>
      <c r="G26" s="7"/>
    </row>
    <row r="27" spans="1:7" ht="15" thickBot="1" x14ac:dyDescent="0.35">
      <c r="B27" s="4">
        <f>SUM(B18:B26)</f>
        <v>1</v>
      </c>
      <c r="D27" s="6">
        <f>SUM(D18:D26)</f>
        <v>3.7</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2</v>
      </c>
      <c r="D37">
        <f t="shared" si="2"/>
        <v>0.1</v>
      </c>
      <c r="G37" s="7"/>
    </row>
    <row r="38" spans="1:7" x14ac:dyDescent="0.3">
      <c r="A38" t="s">
        <v>89</v>
      </c>
      <c r="B38" s="3">
        <v>0.1</v>
      </c>
      <c r="C38">
        <v>5</v>
      </c>
      <c r="D38">
        <f t="shared" si="2"/>
        <v>0.5</v>
      </c>
      <c r="G38" s="7"/>
    </row>
    <row r="39" spans="1:7" x14ac:dyDescent="0.3">
      <c r="A39" t="s">
        <v>88</v>
      </c>
      <c r="B39" s="3">
        <v>0.15</v>
      </c>
      <c r="C39">
        <v>4</v>
      </c>
      <c r="D39">
        <f>C39*B39</f>
        <v>0.6</v>
      </c>
      <c r="G39" s="7"/>
    </row>
    <row r="40" spans="1:7" ht="15" thickBot="1" x14ac:dyDescent="0.35">
      <c r="B40" s="4">
        <f>SUM(B31:B39)</f>
        <v>1</v>
      </c>
      <c r="D40" s="6">
        <f>SUM(D31:D39)</f>
        <v>4.2</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4</v>
      </c>
      <c r="D84">
        <f t="shared" ref="D84:D90" si="4">C84*B84</f>
        <v>0.4</v>
      </c>
      <c r="G84" s="7"/>
    </row>
    <row r="85" spans="1:7" x14ac:dyDescent="0.3">
      <c r="A85" t="s">
        <v>206</v>
      </c>
      <c r="B85" s="3">
        <v>0.1</v>
      </c>
      <c r="C85">
        <v>4</v>
      </c>
      <c r="D85">
        <f t="shared" si="4"/>
        <v>0.4</v>
      </c>
      <c r="G85" s="7"/>
    </row>
    <row r="86" spans="1:7" x14ac:dyDescent="0.3">
      <c r="A86" t="s">
        <v>91</v>
      </c>
      <c r="B86" s="3">
        <v>0.15</v>
      </c>
      <c r="C86">
        <v>5</v>
      </c>
      <c r="D86">
        <f t="shared" si="4"/>
        <v>0.75</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4</v>
      </c>
      <c r="D90">
        <f t="shared" si="4"/>
        <v>0.4</v>
      </c>
      <c r="G90" s="7"/>
    </row>
    <row r="91" spans="1:7" x14ac:dyDescent="0.3">
      <c r="A91" t="s">
        <v>88</v>
      </c>
      <c r="B91" s="3">
        <v>0.15</v>
      </c>
      <c r="C91">
        <v>3</v>
      </c>
      <c r="D91">
        <f>C91*B91</f>
        <v>0.44999999999999996</v>
      </c>
      <c r="G91" s="7"/>
    </row>
    <row r="92" spans="1:7" ht="15" thickBot="1" x14ac:dyDescent="0.35">
      <c r="B92" s="4">
        <f>SUM(B83:B91)</f>
        <v>1</v>
      </c>
      <c r="D92" s="6">
        <f>SUM(D83:D91)</f>
        <v>4</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5</v>
      </c>
      <c r="D97">
        <f t="shared" ref="D97:D103" si="5">C97*B97</f>
        <v>0.5</v>
      </c>
    </row>
    <row r="98" spans="1:7" x14ac:dyDescent="0.3">
      <c r="A98" t="s">
        <v>206</v>
      </c>
      <c r="B98" s="3">
        <v>0.1</v>
      </c>
      <c r="C98">
        <v>4</v>
      </c>
      <c r="D98">
        <f t="shared" si="5"/>
        <v>0.4</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3</v>
      </c>
      <c r="D103">
        <f t="shared" si="5"/>
        <v>0.30000000000000004</v>
      </c>
      <c r="G103" s="13"/>
    </row>
    <row r="104" spans="1:7" x14ac:dyDescent="0.3">
      <c r="A104" t="s">
        <v>88</v>
      </c>
      <c r="B104" s="3">
        <v>0.15</v>
      </c>
      <c r="C104">
        <v>5</v>
      </c>
      <c r="D104">
        <f>C104*B104</f>
        <v>0.75</v>
      </c>
      <c r="G104" s="13"/>
    </row>
    <row r="105" spans="1:7" ht="15" thickBot="1" x14ac:dyDescent="0.35">
      <c r="B105" s="4">
        <f>SUM(B96:B104)</f>
        <v>1</v>
      </c>
      <c r="D105" s="6">
        <f>SUM(D96:D104)</f>
        <v>4.1000000000000005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3</v>
      </c>
      <c r="D115">
        <f t="shared" si="6"/>
        <v>0.15000000000000002</v>
      </c>
      <c r="G115" s="13"/>
    </row>
    <row r="116" spans="1:7" x14ac:dyDescent="0.3">
      <c r="A116" t="s">
        <v>89</v>
      </c>
      <c r="B116" s="3">
        <v>0.1</v>
      </c>
      <c r="C116">
        <v>5</v>
      </c>
      <c r="D116">
        <f t="shared" si="6"/>
        <v>0.5</v>
      </c>
    </row>
    <row r="117" spans="1:7" x14ac:dyDescent="0.3">
      <c r="A117" t="s">
        <v>88</v>
      </c>
      <c r="B117" s="3">
        <v>0.15</v>
      </c>
      <c r="C117">
        <v>4</v>
      </c>
      <c r="D117">
        <f>C117*B117</f>
        <v>0.6</v>
      </c>
      <c r="G117" s="7"/>
    </row>
    <row r="118" spans="1:7" ht="15" thickBot="1" x14ac:dyDescent="0.35">
      <c r="B118" s="4">
        <f>SUM(B109:B117)</f>
        <v>1</v>
      </c>
      <c r="D118" s="6">
        <f>SUM(D109:D117)</f>
        <v>4.25</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B5D84-472E-48DC-BDFE-AFEFFBF241C7}">
  <dimension ref="A1:G130"/>
  <sheetViews>
    <sheetView topLeftCell="A2" zoomScale="90" zoomScaleNormal="90" workbookViewId="0">
      <selection activeCell="C25" sqref="C25"/>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4</v>
      </c>
      <c r="D7">
        <f t="shared" si="0"/>
        <v>0.4</v>
      </c>
      <c r="G7" s="7"/>
    </row>
    <row r="8" spans="1:7" x14ac:dyDescent="0.3">
      <c r="A8" t="s">
        <v>91</v>
      </c>
      <c r="B8" s="3">
        <v>0.15</v>
      </c>
      <c r="C8">
        <v>3</v>
      </c>
      <c r="D8">
        <f t="shared" si="0"/>
        <v>0.44999999999999996</v>
      </c>
      <c r="G8" s="7"/>
    </row>
    <row r="9" spans="1:7" x14ac:dyDescent="0.3">
      <c r="A9" t="s">
        <v>90</v>
      </c>
      <c r="B9" s="3">
        <v>0.15</v>
      </c>
      <c r="C9">
        <v>3</v>
      </c>
      <c r="D9">
        <f t="shared" si="0"/>
        <v>0.44999999999999996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4</v>
      </c>
      <c r="D12">
        <f t="shared" si="0"/>
        <v>0.4</v>
      </c>
      <c r="G12" s="7"/>
    </row>
    <row r="13" spans="1:7" x14ac:dyDescent="0.3">
      <c r="A13" t="s">
        <v>88</v>
      </c>
      <c r="B13" s="3">
        <v>0.15</v>
      </c>
      <c r="C13">
        <v>4</v>
      </c>
      <c r="D13">
        <f>C13*B13</f>
        <v>0.6</v>
      </c>
    </row>
    <row r="14" spans="1:7" ht="15" thickBot="1" x14ac:dyDescent="0.35">
      <c r="B14" s="4">
        <f>SUM(B5:B13)</f>
        <v>1</v>
      </c>
      <c r="D14" s="6">
        <f>SUM(D5:D13)</f>
        <v>3.8000000000000003</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3</v>
      </c>
      <c r="D18">
        <f>C18*B18</f>
        <v>0.44999999999999996</v>
      </c>
      <c r="G18" s="7"/>
    </row>
    <row r="19" spans="1:7" x14ac:dyDescent="0.3">
      <c r="A19" t="s">
        <v>202</v>
      </c>
      <c r="B19" s="3">
        <v>0.1</v>
      </c>
      <c r="C19">
        <v>4</v>
      </c>
      <c r="D19">
        <f t="shared" ref="D19:D25" si="1">C19*B19</f>
        <v>0.4</v>
      </c>
      <c r="G19" s="7"/>
    </row>
    <row r="20" spans="1:7" x14ac:dyDescent="0.3">
      <c r="A20" t="s">
        <v>206</v>
      </c>
      <c r="B20" s="3">
        <v>0.1</v>
      </c>
      <c r="C20">
        <v>5</v>
      </c>
      <c r="D20">
        <f t="shared" si="1"/>
        <v>0.5</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3</v>
      </c>
      <c r="D24">
        <f t="shared" si="1"/>
        <v>0.15000000000000002</v>
      </c>
      <c r="G24" s="7"/>
    </row>
    <row r="25" spans="1:7" x14ac:dyDescent="0.3">
      <c r="A25" t="s">
        <v>89</v>
      </c>
      <c r="B25" s="3">
        <v>0.1</v>
      </c>
      <c r="C25">
        <v>3</v>
      </c>
      <c r="D25">
        <f t="shared" si="1"/>
        <v>0.30000000000000004</v>
      </c>
      <c r="G25" s="7"/>
    </row>
    <row r="26" spans="1:7" x14ac:dyDescent="0.3">
      <c r="A26" t="s">
        <v>88</v>
      </c>
      <c r="B26" s="3">
        <v>0.15</v>
      </c>
      <c r="C26">
        <v>4</v>
      </c>
      <c r="D26">
        <f>C26*B26</f>
        <v>0.6</v>
      </c>
      <c r="G26" s="7"/>
    </row>
    <row r="27" spans="1:7" ht="15" thickBot="1" x14ac:dyDescent="0.35">
      <c r="B27" s="4">
        <f>SUM(B18:B26)</f>
        <v>1</v>
      </c>
      <c r="D27" s="6">
        <f>SUM(D18:D26)</f>
        <v>3.8000000000000003</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3</v>
      </c>
      <c r="D37">
        <f t="shared" si="2"/>
        <v>0.15000000000000002</v>
      </c>
      <c r="G37" s="7"/>
    </row>
    <row r="38" spans="1:7" x14ac:dyDescent="0.3">
      <c r="A38" t="s">
        <v>89</v>
      </c>
      <c r="B38" s="3">
        <v>0.1</v>
      </c>
      <c r="C38">
        <v>4</v>
      </c>
      <c r="D38">
        <f t="shared" si="2"/>
        <v>0.4</v>
      </c>
      <c r="G38" s="7"/>
    </row>
    <row r="39" spans="1:7" x14ac:dyDescent="0.3">
      <c r="A39" t="s">
        <v>88</v>
      </c>
      <c r="B39" s="3">
        <v>0.15</v>
      </c>
      <c r="C39">
        <v>5</v>
      </c>
      <c r="D39">
        <f>C39*B39</f>
        <v>0.75</v>
      </c>
      <c r="G39" s="7"/>
    </row>
    <row r="40" spans="1:7" ht="15" thickBot="1" x14ac:dyDescent="0.35">
      <c r="B40" s="4">
        <f>SUM(B31:B39)</f>
        <v>1</v>
      </c>
      <c r="D40" s="6">
        <f>SUM(D31:D39)</f>
        <v>4.3000000000000007</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4</v>
      </c>
      <c r="D85">
        <f t="shared" si="4"/>
        <v>0.4</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4</v>
      </c>
      <c r="D90">
        <f t="shared" si="4"/>
        <v>0.4</v>
      </c>
      <c r="G90" s="7"/>
    </row>
    <row r="91" spans="1:7" x14ac:dyDescent="0.3">
      <c r="A91" t="s">
        <v>88</v>
      </c>
      <c r="B91" s="3">
        <v>0.15</v>
      </c>
      <c r="C91">
        <v>3</v>
      </c>
      <c r="D91">
        <f>C91*B91</f>
        <v>0.44999999999999996</v>
      </c>
      <c r="G91" s="7"/>
    </row>
    <row r="92" spans="1:7" ht="15" thickBot="1" x14ac:dyDescent="0.35">
      <c r="B92" s="4">
        <f>SUM(B83:B91)</f>
        <v>1</v>
      </c>
      <c r="D92" s="6">
        <f>SUM(D83:D91)</f>
        <v>3.95</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5</v>
      </c>
      <c r="D97">
        <f t="shared" ref="D97:D103" si="5">C97*B97</f>
        <v>0.5</v>
      </c>
    </row>
    <row r="98" spans="1:7" x14ac:dyDescent="0.3">
      <c r="A98" t="s">
        <v>206</v>
      </c>
      <c r="B98" s="3">
        <v>0.1</v>
      </c>
      <c r="C98">
        <v>4</v>
      </c>
      <c r="D98">
        <f t="shared" si="5"/>
        <v>0.4</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3</v>
      </c>
      <c r="D115">
        <f t="shared" si="6"/>
        <v>0.15000000000000002</v>
      </c>
      <c r="G115" s="13"/>
    </row>
    <row r="116" spans="1:7" x14ac:dyDescent="0.3">
      <c r="A116" t="s">
        <v>89</v>
      </c>
      <c r="B116" s="3">
        <v>0.1</v>
      </c>
      <c r="C116">
        <v>4</v>
      </c>
      <c r="D116">
        <f t="shared" si="6"/>
        <v>0.4</v>
      </c>
    </row>
    <row r="117" spans="1:7" x14ac:dyDescent="0.3">
      <c r="A117" t="s">
        <v>88</v>
      </c>
      <c r="B117" s="3">
        <v>0.15</v>
      </c>
      <c r="C117">
        <v>5</v>
      </c>
      <c r="D117">
        <f>C117*B117</f>
        <v>0.75</v>
      </c>
      <c r="G117" s="7"/>
    </row>
    <row r="118" spans="1:7" ht="15" thickBot="1" x14ac:dyDescent="0.35">
      <c r="B118" s="4">
        <f>SUM(B109:B117)</f>
        <v>1</v>
      </c>
      <c r="D118" s="6">
        <f>SUM(D109:D117)</f>
        <v>4.3000000000000007</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FF601-F7BD-4C17-8F9F-070B5895159A}">
  <dimension ref="A1:G130"/>
  <sheetViews>
    <sheetView zoomScale="90" zoomScaleNormal="90" workbookViewId="0">
      <selection activeCell="C25" sqref="C25"/>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4</v>
      </c>
      <c r="D7">
        <f t="shared" si="0"/>
        <v>0.4</v>
      </c>
      <c r="G7" s="7"/>
    </row>
    <row r="8" spans="1:7" x14ac:dyDescent="0.3">
      <c r="A8" t="s">
        <v>91</v>
      </c>
      <c r="B8" s="3">
        <v>0.15</v>
      </c>
      <c r="C8">
        <v>5</v>
      </c>
      <c r="D8">
        <f t="shared" si="0"/>
        <v>0.75</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4.3500000000000005</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5</v>
      </c>
      <c r="D20">
        <f t="shared" si="1"/>
        <v>0.5</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2</v>
      </c>
      <c r="D26">
        <f>C26*B26</f>
        <v>0.3</v>
      </c>
      <c r="G26" s="7"/>
    </row>
    <row r="27" spans="1:7" ht="15" thickBot="1" x14ac:dyDescent="0.35">
      <c r="B27" s="4">
        <f>SUM(B18:B26)</f>
        <v>1</v>
      </c>
      <c r="D27" s="6">
        <f>SUM(D18:D26)</f>
        <v>3.8000000000000003</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3</v>
      </c>
      <c r="D32">
        <f t="shared" ref="D32:D38" si="2">C32*B32</f>
        <v>0.30000000000000004</v>
      </c>
      <c r="G32" s="7"/>
    </row>
    <row r="33" spans="1:7" x14ac:dyDescent="0.3">
      <c r="A33" t="s">
        <v>206</v>
      </c>
      <c r="B33" s="3">
        <v>0.1</v>
      </c>
      <c r="C33">
        <v>4</v>
      </c>
      <c r="D33">
        <f t="shared" si="2"/>
        <v>0.4</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4</v>
      </c>
      <c r="D37">
        <f t="shared" si="2"/>
        <v>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3.9000000000000004</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5</v>
      </c>
      <c r="D85">
        <f t="shared" si="4"/>
        <v>0.5</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5</v>
      </c>
      <c r="D90">
        <f t="shared" si="4"/>
        <v>0.5</v>
      </c>
      <c r="G90" s="7"/>
    </row>
    <row r="91" spans="1:7" x14ac:dyDescent="0.3">
      <c r="A91" t="s">
        <v>88</v>
      </c>
      <c r="B91" s="3">
        <v>0.15</v>
      </c>
      <c r="C91">
        <v>4</v>
      </c>
      <c r="D91">
        <f>C91*B91</f>
        <v>0.6</v>
      </c>
      <c r="G91" s="7"/>
    </row>
    <row r="92" spans="1:7" ht="15" thickBot="1" x14ac:dyDescent="0.35">
      <c r="B92" s="4">
        <f>SUM(B83:B91)</f>
        <v>1</v>
      </c>
      <c r="D92" s="6">
        <f>SUM(D83:D91)</f>
        <v>4.3000000000000007</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5</v>
      </c>
      <c r="D98">
        <f t="shared" si="5"/>
        <v>0.5</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4</v>
      </c>
      <c r="D110">
        <f t="shared" ref="D110:D116" si="6">C110*B110</f>
        <v>0.4</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4</v>
      </c>
      <c r="D115">
        <f t="shared" si="6"/>
        <v>0.2</v>
      </c>
      <c r="G115" s="13"/>
    </row>
    <row r="116" spans="1:7" x14ac:dyDescent="0.3">
      <c r="A116" t="s">
        <v>89</v>
      </c>
      <c r="B116" s="3">
        <v>0.1</v>
      </c>
      <c r="C116">
        <v>4</v>
      </c>
      <c r="D116">
        <f t="shared" si="6"/>
        <v>0.4</v>
      </c>
    </row>
    <row r="117" spans="1:7" x14ac:dyDescent="0.3">
      <c r="A117" t="s">
        <v>88</v>
      </c>
      <c r="B117" s="3">
        <v>0.15</v>
      </c>
      <c r="C117">
        <v>4</v>
      </c>
      <c r="D117">
        <f>C117*B117</f>
        <v>0.6</v>
      </c>
      <c r="G117" s="7"/>
    </row>
    <row r="118" spans="1:7" ht="15" thickBot="1" x14ac:dyDescent="0.35">
      <c r="B118" s="4">
        <f>SUM(B109:B117)</f>
        <v>1</v>
      </c>
      <c r="D118" s="6">
        <f>SUM(D109:D117)</f>
        <v>4.1000000000000005</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C8CE-8961-44B1-B71B-F7EF96F06ACA}">
  <dimension ref="A1:G130"/>
  <sheetViews>
    <sheetView topLeftCell="A106" zoomScale="90" zoomScaleNormal="90" workbookViewId="0">
      <selection activeCell="C121" sqref="C12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5</v>
      </c>
      <c r="D7">
        <f t="shared" si="0"/>
        <v>0.5</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4.3000000000000007</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3</v>
      </c>
      <c r="D18">
        <f>C18*B18</f>
        <v>0.44999999999999996</v>
      </c>
      <c r="G18" s="7"/>
    </row>
    <row r="19" spans="1:7" x14ac:dyDescent="0.3">
      <c r="A19" t="s">
        <v>202</v>
      </c>
      <c r="B19" s="3">
        <v>0.1</v>
      </c>
      <c r="C19">
        <v>4</v>
      </c>
      <c r="D19">
        <f t="shared" ref="D19:D25" si="1">C19*B19</f>
        <v>0.4</v>
      </c>
      <c r="G19" s="7"/>
    </row>
    <row r="20" spans="1:7" x14ac:dyDescent="0.3">
      <c r="A20" t="s">
        <v>206</v>
      </c>
      <c r="B20" s="3">
        <v>0.1</v>
      </c>
      <c r="C20">
        <v>5</v>
      </c>
      <c r="D20">
        <f t="shared" si="1"/>
        <v>0.5</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3</v>
      </c>
      <c r="D24">
        <f t="shared" si="1"/>
        <v>0.15000000000000002</v>
      </c>
      <c r="G24" s="7"/>
    </row>
    <row r="25" spans="1:7" x14ac:dyDescent="0.3">
      <c r="A25" t="s">
        <v>89</v>
      </c>
      <c r="B25" s="3">
        <v>0.1</v>
      </c>
      <c r="C25">
        <v>4</v>
      </c>
      <c r="D25">
        <f t="shared" si="1"/>
        <v>0.4</v>
      </c>
      <c r="G25" s="7"/>
    </row>
    <row r="26" spans="1:7" x14ac:dyDescent="0.3">
      <c r="A26" t="s">
        <v>88</v>
      </c>
      <c r="B26" s="3">
        <v>0.15</v>
      </c>
      <c r="C26">
        <v>4</v>
      </c>
      <c r="D26">
        <f>C26*B26</f>
        <v>0.6</v>
      </c>
      <c r="G26" s="7"/>
    </row>
    <row r="27" spans="1:7" ht="15" thickBot="1" x14ac:dyDescent="0.35">
      <c r="B27" s="4">
        <f>SUM(B18:B26)</f>
        <v>1</v>
      </c>
      <c r="D27" s="6">
        <f>SUM(D18:D26)</f>
        <v>3.9000000000000004</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5</v>
      </c>
      <c r="D31">
        <f>C31*B31</f>
        <v>0.75</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3</v>
      </c>
      <c r="D37">
        <f t="shared" si="2"/>
        <v>0.15000000000000002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4.3</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5</v>
      </c>
      <c r="D85">
        <f t="shared" si="4"/>
        <v>0.5</v>
      </c>
      <c r="G85" s="7"/>
    </row>
    <row r="86" spans="1:7" x14ac:dyDescent="0.3">
      <c r="A86" t="s">
        <v>91</v>
      </c>
      <c r="B86" s="3">
        <v>0.15</v>
      </c>
      <c r="C86">
        <v>4</v>
      </c>
      <c r="D86">
        <f t="shared" si="4"/>
        <v>0.6</v>
      </c>
      <c r="G86" s="7"/>
    </row>
    <row r="87" spans="1:7" x14ac:dyDescent="0.3">
      <c r="A87" t="s">
        <v>90</v>
      </c>
      <c r="B87" s="3">
        <v>0.15</v>
      </c>
      <c r="C87">
        <v>5</v>
      </c>
      <c r="D87">
        <f t="shared" si="4"/>
        <v>0.75</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5</v>
      </c>
      <c r="D90">
        <f t="shared" si="4"/>
        <v>0.5</v>
      </c>
      <c r="G90" s="7"/>
    </row>
    <row r="91" spans="1:7" x14ac:dyDescent="0.3">
      <c r="A91" t="s">
        <v>88</v>
      </c>
      <c r="B91" s="3">
        <v>0.15</v>
      </c>
      <c r="C91">
        <v>4</v>
      </c>
      <c r="D91">
        <f>C91*B91</f>
        <v>0.6</v>
      </c>
      <c r="G91" s="7"/>
    </row>
    <row r="92" spans="1:7" ht="15" thickBot="1" x14ac:dyDescent="0.35">
      <c r="B92" s="4">
        <f>SUM(B83:B91)</f>
        <v>1</v>
      </c>
      <c r="D92" s="6">
        <f>SUM(D83:D91)</f>
        <v>4.45</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5</v>
      </c>
      <c r="D98">
        <f t="shared" si="5"/>
        <v>0.5</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5</v>
      </c>
      <c r="D109">
        <f>C109*B109</f>
        <v>0.75</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3</v>
      </c>
      <c r="D115">
        <f t="shared" si="6"/>
        <v>0.15000000000000002</v>
      </c>
      <c r="G115" s="13"/>
    </row>
    <row r="116" spans="1:7" x14ac:dyDescent="0.3">
      <c r="A116" t="s">
        <v>89</v>
      </c>
      <c r="B116" s="3">
        <v>0.1</v>
      </c>
      <c r="C116">
        <v>5</v>
      </c>
      <c r="D116">
        <f t="shared" si="6"/>
        <v>0.5</v>
      </c>
    </row>
    <row r="117" spans="1:7" x14ac:dyDescent="0.3">
      <c r="A117" t="s">
        <v>88</v>
      </c>
      <c r="B117" s="3">
        <v>0.15</v>
      </c>
      <c r="C117">
        <v>4</v>
      </c>
      <c r="D117">
        <f>C117*B117</f>
        <v>0.6</v>
      </c>
      <c r="G117" s="7"/>
    </row>
    <row r="118" spans="1:7" ht="15" thickBot="1" x14ac:dyDescent="0.35">
      <c r="B118" s="4">
        <f>SUM(B109:B117)</f>
        <v>1</v>
      </c>
      <c r="D118" s="6">
        <f>SUM(D109:D117)</f>
        <v>4.4000000000000004</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Statistical_Analysis</vt:lpstr>
      <vt:lpstr>Evaluation Table</vt:lpstr>
      <vt:lpstr>d88 #1</vt:lpstr>
      <vt:lpstr>d131 #1</vt:lpstr>
      <vt:lpstr>d88 #2</vt:lpstr>
      <vt:lpstr>d131 #2</vt:lpstr>
      <vt:lpstr>d1383 #2</vt:lpstr>
      <vt:lpstr>d1456 #2</vt:lpstr>
      <vt:lpstr>d88 #3</vt:lpstr>
      <vt:lpstr>d131 #3</vt:lpstr>
      <vt:lpstr>d1383 #3</vt:lpstr>
      <vt:lpstr>d1456 #3</vt:lpstr>
      <vt:lpstr>d88 #4</vt:lpstr>
      <vt:lpstr>d131 #4</vt:lpstr>
      <vt:lpstr>d1383 #4</vt:lpstr>
      <vt:lpstr>d1456 #4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2026-04-26T12:16:09Z</dcterms:modified>
</cp:coreProperties>
</file>