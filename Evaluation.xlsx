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_W\Ekkono_Code\"/>
    </mc:Choice>
  </mc:AlternateContent>
  <xr:revisionPtr revIDLastSave="0" documentId="13_ncr:1_{79424D96-CB7E-42F1-9F13-A0874E3322E4}" xr6:coauthVersionLast="47" xr6:coauthVersionMax="47" xr10:uidLastSave="{00000000-0000-0000-0000-000000000000}"/>
  <bookViews>
    <workbookView xWindow="-108" yWindow="-108" windowWidth="23256" windowHeight="12456" xr2:uid="{E8F4F112-DC9E-445D-AE6E-08B98EFB1B63}"/>
  </bookViews>
  <sheets>
    <sheet name="Statistical_Analysis" sheetId="16" r:id="rId1"/>
    <sheet name="d3235 #4" sheetId="32" r:id="rId2"/>
    <sheet name="d131 #1" sheetId="24" r:id="rId3"/>
    <sheet name="d393 #1" sheetId="28" r:id="rId4"/>
    <sheet name="d1456 #1" sheetId="31" r:id="rId5"/>
    <sheet name="d3235 #1" sheetId="35" r:id="rId6"/>
    <sheet name="d131 #2" sheetId="23" r:id="rId7"/>
    <sheet name="d393 #2" sheetId="27" r:id="rId8"/>
    <sheet name="d1456 #2" sheetId="30" r:id="rId9"/>
    <sheet name="d3235 #2" sheetId="34" r:id="rId10"/>
    <sheet name="d131 #3" sheetId="22" r:id="rId11"/>
    <sheet name="d393 #3" sheetId="26" r:id="rId12"/>
    <sheet name="d1456 #3" sheetId="29" r:id="rId13"/>
    <sheet name="d3235 #3" sheetId="33" r:id="rId14"/>
    <sheet name="d131 #4" sheetId="21" r:id="rId15"/>
    <sheet name="d393 #4" sheetId="25" r:id="rId16"/>
    <sheet name="d1456 #4" sheetId="15" r:id="rId1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8" i="16" l="1"/>
  <c r="G49" i="16"/>
  <c r="G50" i="16"/>
  <c r="G51" i="16"/>
  <c r="G52" i="16"/>
  <c r="G53" i="16"/>
  <c r="G54" i="16"/>
  <c r="G55" i="16"/>
  <c r="G47" i="16"/>
  <c r="D67" i="31"/>
  <c r="B100" i="35" l="1"/>
  <c r="D99" i="35"/>
  <c r="D98" i="35"/>
  <c r="D97" i="35"/>
  <c r="D96" i="35"/>
  <c r="D95" i="35"/>
  <c r="D94" i="35"/>
  <c r="D93" i="35"/>
  <c r="B89" i="35"/>
  <c r="D88" i="35"/>
  <c r="D87" i="35"/>
  <c r="D86" i="35"/>
  <c r="D85" i="35"/>
  <c r="D84" i="35"/>
  <c r="D83" i="35"/>
  <c r="D82" i="35"/>
  <c r="D89" i="35" s="1"/>
  <c r="F10" i="35" s="1"/>
  <c r="G36" i="16" s="1"/>
  <c r="I36" i="16" s="1"/>
  <c r="B78" i="35"/>
  <c r="D77" i="35"/>
  <c r="D76" i="35"/>
  <c r="D75" i="35"/>
  <c r="D74" i="35"/>
  <c r="D73" i="35"/>
  <c r="D72" i="35"/>
  <c r="D71" i="35"/>
  <c r="B67" i="35"/>
  <c r="D66" i="35"/>
  <c r="D65" i="35"/>
  <c r="D64" i="35"/>
  <c r="D63" i="35"/>
  <c r="D62" i="35"/>
  <c r="D61" i="35"/>
  <c r="D60" i="35"/>
  <c r="B56" i="35"/>
  <c r="D55" i="35"/>
  <c r="D54" i="35"/>
  <c r="D53" i="35"/>
  <c r="D52" i="35"/>
  <c r="D51" i="35"/>
  <c r="D50" i="35"/>
  <c r="D49" i="35"/>
  <c r="B45" i="35"/>
  <c r="D44" i="35"/>
  <c r="D43" i="35"/>
  <c r="D42" i="35"/>
  <c r="D41" i="35"/>
  <c r="D40" i="35"/>
  <c r="D39" i="35"/>
  <c r="D38" i="35"/>
  <c r="B34" i="35"/>
  <c r="D33" i="35"/>
  <c r="D32" i="35"/>
  <c r="D31" i="35"/>
  <c r="D30" i="35"/>
  <c r="D29" i="35"/>
  <c r="D28" i="35"/>
  <c r="D27" i="35"/>
  <c r="B23" i="35"/>
  <c r="D22" i="35"/>
  <c r="D21" i="35"/>
  <c r="D20" i="35"/>
  <c r="D19" i="35"/>
  <c r="D18" i="35"/>
  <c r="D17" i="35"/>
  <c r="D16" i="35"/>
  <c r="B12" i="35"/>
  <c r="D11" i="35"/>
  <c r="D10" i="35"/>
  <c r="D9" i="35"/>
  <c r="D8" i="35"/>
  <c r="D7" i="35"/>
  <c r="D6" i="35"/>
  <c r="D5" i="35"/>
  <c r="B100" i="34"/>
  <c r="D99" i="34"/>
  <c r="D98" i="34"/>
  <c r="D97" i="34"/>
  <c r="D96" i="34"/>
  <c r="D95" i="34"/>
  <c r="D94" i="34"/>
  <c r="D93" i="34"/>
  <c r="B89" i="34"/>
  <c r="D88" i="34"/>
  <c r="D87" i="34"/>
  <c r="D86" i="34"/>
  <c r="D85" i="34"/>
  <c r="D84" i="34"/>
  <c r="D83" i="34"/>
  <c r="D82" i="34"/>
  <c r="B78" i="34"/>
  <c r="D77" i="34"/>
  <c r="D76" i="34"/>
  <c r="D75" i="34"/>
  <c r="D74" i="34"/>
  <c r="D73" i="34"/>
  <c r="D72" i="34"/>
  <c r="D71" i="34"/>
  <c r="D78" i="34" s="1"/>
  <c r="F9" i="34" s="1"/>
  <c r="G71" i="16" s="1"/>
  <c r="I71" i="16" s="1"/>
  <c r="B67" i="34"/>
  <c r="D66" i="34"/>
  <c r="D65" i="34"/>
  <c r="D64" i="34"/>
  <c r="D63" i="34"/>
  <c r="D62" i="34"/>
  <c r="D61" i="34"/>
  <c r="D60" i="34"/>
  <c r="B56" i="34"/>
  <c r="D55" i="34"/>
  <c r="D54" i="34"/>
  <c r="D53" i="34"/>
  <c r="D52" i="34"/>
  <c r="D51" i="34"/>
  <c r="D50" i="34"/>
  <c r="D49" i="34"/>
  <c r="B45" i="34"/>
  <c r="D44" i="34"/>
  <c r="D43" i="34"/>
  <c r="D42" i="34"/>
  <c r="D41" i="34"/>
  <c r="D40" i="34"/>
  <c r="D39" i="34"/>
  <c r="D38" i="34"/>
  <c r="B34" i="34"/>
  <c r="D33" i="34"/>
  <c r="D32" i="34"/>
  <c r="D31" i="34"/>
  <c r="D30" i="34"/>
  <c r="D29" i="34"/>
  <c r="D28" i="34"/>
  <c r="D27" i="34"/>
  <c r="B23" i="34"/>
  <c r="D22" i="34"/>
  <c r="D21" i="34"/>
  <c r="D20" i="34"/>
  <c r="D19" i="34"/>
  <c r="D18" i="34"/>
  <c r="D17" i="34"/>
  <c r="D16" i="34"/>
  <c r="D23" i="34" s="1"/>
  <c r="F4" i="34" s="1"/>
  <c r="G66" i="16" s="1"/>
  <c r="I66" i="16" s="1"/>
  <c r="B12" i="34"/>
  <c r="D11" i="34"/>
  <c r="D10" i="34"/>
  <c r="D9" i="34"/>
  <c r="D8" i="34"/>
  <c r="D7" i="34"/>
  <c r="D6" i="34"/>
  <c r="D5" i="34"/>
  <c r="B100" i="33"/>
  <c r="D99" i="33"/>
  <c r="D98" i="33"/>
  <c r="D97" i="33"/>
  <c r="D96" i="33"/>
  <c r="D95" i="33"/>
  <c r="D94" i="33"/>
  <c r="D93" i="33"/>
  <c r="B89" i="33"/>
  <c r="D88" i="33"/>
  <c r="D87" i="33"/>
  <c r="D86" i="33"/>
  <c r="D85" i="33"/>
  <c r="D84" i="33"/>
  <c r="D83" i="33"/>
  <c r="D82" i="33"/>
  <c r="D89" i="33" s="1"/>
  <c r="F10" i="33" s="1"/>
  <c r="G108" i="16" s="1"/>
  <c r="B78" i="33"/>
  <c r="D77" i="33"/>
  <c r="D76" i="33"/>
  <c r="D75" i="33"/>
  <c r="D74" i="33"/>
  <c r="D73" i="33"/>
  <c r="D72" i="33"/>
  <c r="D71" i="33"/>
  <c r="B67" i="33"/>
  <c r="D66" i="33"/>
  <c r="D65" i="33"/>
  <c r="D64" i="33"/>
  <c r="D63" i="33"/>
  <c r="D62" i="33"/>
  <c r="D61" i="33"/>
  <c r="D60" i="33"/>
  <c r="B56" i="33"/>
  <c r="D55" i="33"/>
  <c r="D54" i="33"/>
  <c r="D53" i="33"/>
  <c r="D52" i="33"/>
  <c r="D51" i="33"/>
  <c r="D50" i="33"/>
  <c r="D49" i="33"/>
  <c r="B45" i="33"/>
  <c r="D44" i="33"/>
  <c r="D43" i="33"/>
  <c r="D42" i="33"/>
  <c r="D41" i="33"/>
  <c r="D40" i="33"/>
  <c r="D39" i="33"/>
  <c r="D38" i="33"/>
  <c r="B34" i="33"/>
  <c r="D33" i="33"/>
  <c r="D32" i="33"/>
  <c r="D31" i="33"/>
  <c r="D30" i="33"/>
  <c r="D29" i="33"/>
  <c r="D28" i="33"/>
  <c r="D27" i="33"/>
  <c r="B23" i="33"/>
  <c r="D22" i="33"/>
  <c r="D21" i="33"/>
  <c r="D20" i="33"/>
  <c r="D19" i="33"/>
  <c r="D18" i="33"/>
  <c r="D17" i="33"/>
  <c r="D16" i="33"/>
  <c r="B12" i="33"/>
  <c r="D11" i="33"/>
  <c r="D10" i="33"/>
  <c r="D9" i="33"/>
  <c r="D8" i="33"/>
  <c r="D7" i="33"/>
  <c r="D6" i="33"/>
  <c r="D5" i="33"/>
  <c r="B67" i="32"/>
  <c r="D66" i="32"/>
  <c r="D65" i="32"/>
  <c r="D64" i="32"/>
  <c r="D63" i="32"/>
  <c r="D62" i="32"/>
  <c r="D61" i="32"/>
  <c r="D60" i="32"/>
  <c r="B56" i="32"/>
  <c r="D55" i="32"/>
  <c r="D54" i="32"/>
  <c r="D53" i="32"/>
  <c r="D52" i="32"/>
  <c r="D51" i="32"/>
  <c r="D50" i="32"/>
  <c r="D49" i="32"/>
  <c r="D56" i="32" s="1"/>
  <c r="F7" i="32" s="1"/>
  <c r="G132" i="16" s="1"/>
  <c r="I132" i="16" s="1"/>
  <c r="B45" i="32"/>
  <c r="D44" i="32"/>
  <c r="D43" i="32"/>
  <c r="D42" i="32"/>
  <c r="D41" i="32"/>
  <c r="D40" i="32"/>
  <c r="D39" i="32"/>
  <c r="D38" i="32"/>
  <c r="B34" i="32"/>
  <c r="D33" i="32"/>
  <c r="D32" i="32"/>
  <c r="D31" i="32"/>
  <c r="D30" i="32"/>
  <c r="D29" i="32"/>
  <c r="D28" i="32"/>
  <c r="D27" i="32"/>
  <c r="B23" i="32"/>
  <c r="D22" i="32"/>
  <c r="D21" i="32"/>
  <c r="D20" i="32"/>
  <c r="D19" i="32"/>
  <c r="D18" i="32"/>
  <c r="D17" i="32"/>
  <c r="D16" i="32"/>
  <c r="B12" i="32"/>
  <c r="D11" i="32"/>
  <c r="D10" i="32"/>
  <c r="D9" i="32"/>
  <c r="D8" i="32"/>
  <c r="D7" i="32"/>
  <c r="D6" i="32"/>
  <c r="D5" i="32"/>
  <c r="B100" i="31"/>
  <c r="D99" i="31"/>
  <c r="D98" i="31"/>
  <c r="D97" i="31"/>
  <c r="D96" i="31"/>
  <c r="D95" i="31"/>
  <c r="D94" i="31"/>
  <c r="D93" i="31"/>
  <c r="B89" i="31"/>
  <c r="D88" i="31"/>
  <c r="D87" i="31"/>
  <c r="D86" i="31"/>
  <c r="D85" i="31"/>
  <c r="D84" i="31"/>
  <c r="D83" i="31"/>
  <c r="D82" i="31"/>
  <c r="B78" i="31"/>
  <c r="D77" i="31"/>
  <c r="D76" i="31"/>
  <c r="D75" i="31"/>
  <c r="D74" i="31"/>
  <c r="D73" i="31"/>
  <c r="D72" i="31"/>
  <c r="D71" i="31"/>
  <c r="B67" i="31"/>
  <c r="D66" i="31"/>
  <c r="D65" i="31"/>
  <c r="D64" i="31"/>
  <c r="D63" i="31"/>
  <c r="D62" i="31"/>
  <c r="D61" i="31"/>
  <c r="D60" i="31"/>
  <c r="B56" i="31"/>
  <c r="D55" i="31"/>
  <c r="D54" i="31"/>
  <c r="D53" i="31"/>
  <c r="D52" i="31"/>
  <c r="D51" i="31"/>
  <c r="D50" i="31"/>
  <c r="D49" i="31"/>
  <c r="B45" i="31"/>
  <c r="D44" i="31"/>
  <c r="D43" i="31"/>
  <c r="D42" i="31"/>
  <c r="D41" i="31"/>
  <c r="D40" i="31"/>
  <c r="D39" i="31"/>
  <c r="D38" i="31"/>
  <c r="B34" i="31"/>
  <c r="D33" i="31"/>
  <c r="D32" i="31"/>
  <c r="D31" i="31"/>
  <c r="D30" i="31"/>
  <c r="D29" i="31"/>
  <c r="D28" i="31"/>
  <c r="D27" i="31"/>
  <c r="B23" i="31"/>
  <c r="D22" i="31"/>
  <c r="D21" i="31"/>
  <c r="D20" i="31"/>
  <c r="D19" i="31"/>
  <c r="D18" i="31"/>
  <c r="D17" i="31"/>
  <c r="D16" i="31"/>
  <c r="B12" i="31"/>
  <c r="D11" i="31"/>
  <c r="D10" i="31"/>
  <c r="D9" i="31"/>
  <c r="D8" i="31"/>
  <c r="D7" i="31"/>
  <c r="D6" i="31"/>
  <c r="D5" i="31"/>
  <c r="D12" i="31" s="1"/>
  <c r="F3" i="31" s="1"/>
  <c r="G20" i="16" s="1"/>
  <c r="B100" i="30"/>
  <c r="D99" i="30"/>
  <c r="D98" i="30"/>
  <c r="D97" i="30"/>
  <c r="D96" i="30"/>
  <c r="D95" i="30"/>
  <c r="D94" i="30"/>
  <c r="D93" i="30"/>
  <c r="B89" i="30"/>
  <c r="D88" i="30"/>
  <c r="D87" i="30"/>
  <c r="D86" i="30"/>
  <c r="D85" i="30"/>
  <c r="D84" i="30"/>
  <c r="D83" i="30"/>
  <c r="D82" i="30"/>
  <c r="B78" i="30"/>
  <c r="D77" i="30"/>
  <c r="D76" i="30"/>
  <c r="D75" i="30"/>
  <c r="D74" i="30"/>
  <c r="D73" i="30"/>
  <c r="D72" i="30"/>
  <c r="D71" i="30"/>
  <c r="B67" i="30"/>
  <c r="D66" i="30"/>
  <c r="D65" i="30"/>
  <c r="D64" i="30"/>
  <c r="D63" i="30"/>
  <c r="D62" i="30"/>
  <c r="D61" i="30"/>
  <c r="D60" i="30"/>
  <c r="D67" i="30" s="1"/>
  <c r="F8" i="30" s="1"/>
  <c r="G61" i="16" s="1"/>
  <c r="I61" i="16" s="1"/>
  <c r="B56" i="30"/>
  <c r="D55" i="30"/>
  <c r="D54" i="30"/>
  <c r="D53" i="30"/>
  <c r="D52" i="30"/>
  <c r="D51" i="30"/>
  <c r="D50" i="30"/>
  <c r="D49" i="30"/>
  <c r="B45" i="30"/>
  <c r="D44" i="30"/>
  <c r="D43" i="30"/>
  <c r="D42" i="30"/>
  <c r="D41" i="30"/>
  <c r="D40" i="30"/>
  <c r="D39" i="30"/>
  <c r="D38" i="30"/>
  <c r="B34" i="30"/>
  <c r="D33" i="30"/>
  <c r="D32" i="30"/>
  <c r="D31" i="30"/>
  <c r="D30" i="30"/>
  <c r="D29" i="30"/>
  <c r="D28" i="30"/>
  <c r="D27" i="30"/>
  <c r="B23" i="30"/>
  <c r="D22" i="30"/>
  <c r="D21" i="30"/>
  <c r="D20" i="30"/>
  <c r="D19" i="30"/>
  <c r="D18" i="30"/>
  <c r="D17" i="30"/>
  <c r="D16" i="30"/>
  <c r="B12" i="30"/>
  <c r="D11" i="30"/>
  <c r="D10" i="30"/>
  <c r="D9" i="30"/>
  <c r="D8" i="30"/>
  <c r="D7" i="30"/>
  <c r="D6" i="30"/>
  <c r="D5" i="30"/>
  <c r="B100" i="29"/>
  <c r="D99" i="29"/>
  <c r="D98" i="29"/>
  <c r="D97" i="29"/>
  <c r="D96" i="29"/>
  <c r="D95" i="29"/>
  <c r="D94" i="29"/>
  <c r="D93" i="29"/>
  <c r="B89" i="29"/>
  <c r="D88" i="29"/>
  <c r="D87" i="29"/>
  <c r="D86" i="29"/>
  <c r="D85" i="29"/>
  <c r="D84" i="29"/>
  <c r="D83" i="29"/>
  <c r="D82" i="29"/>
  <c r="B78" i="29"/>
  <c r="D77" i="29"/>
  <c r="D76" i="29"/>
  <c r="D75" i="29"/>
  <c r="D74" i="29"/>
  <c r="D73" i="29"/>
  <c r="D72" i="29"/>
  <c r="D71" i="29"/>
  <c r="B67" i="29"/>
  <c r="D66" i="29"/>
  <c r="D65" i="29"/>
  <c r="D64" i="29"/>
  <c r="D63" i="29"/>
  <c r="D62" i="29"/>
  <c r="D61" i="29"/>
  <c r="D60" i="29"/>
  <c r="B56" i="29"/>
  <c r="D55" i="29"/>
  <c r="D54" i="29"/>
  <c r="D53" i="29"/>
  <c r="D52" i="29"/>
  <c r="D51" i="29"/>
  <c r="D50" i="29"/>
  <c r="D49" i="29"/>
  <c r="B45" i="29"/>
  <c r="D44" i="29"/>
  <c r="D43" i="29"/>
  <c r="D42" i="29"/>
  <c r="D41" i="29"/>
  <c r="D40" i="29"/>
  <c r="D39" i="29"/>
  <c r="D38" i="29"/>
  <c r="B34" i="29"/>
  <c r="D33" i="29"/>
  <c r="D32" i="29"/>
  <c r="D31" i="29"/>
  <c r="D30" i="29"/>
  <c r="D29" i="29"/>
  <c r="D28" i="29"/>
  <c r="D27" i="29"/>
  <c r="B23" i="29"/>
  <c r="D22" i="29"/>
  <c r="D21" i="29"/>
  <c r="D20" i="29"/>
  <c r="D19" i="29"/>
  <c r="D18" i="29"/>
  <c r="D17" i="29"/>
  <c r="D16" i="29"/>
  <c r="D23" i="29" s="1"/>
  <c r="F4" i="29" s="1"/>
  <c r="G93" i="16" s="1"/>
  <c r="I93" i="16" s="1"/>
  <c r="B12" i="29"/>
  <c r="D11" i="29"/>
  <c r="D10" i="29"/>
  <c r="D9" i="29"/>
  <c r="D8" i="29"/>
  <c r="D7" i="29"/>
  <c r="D6" i="29"/>
  <c r="D5" i="29"/>
  <c r="B100" i="28"/>
  <c r="D99" i="28"/>
  <c r="D98" i="28"/>
  <c r="D97" i="28"/>
  <c r="D96" i="28"/>
  <c r="D95" i="28"/>
  <c r="D94" i="28"/>
  <c r="D93" i="28"/>
  <c r="D100" i="28" s="1"/>
  <c r="F11" i="28" s="1"/>
  <c r="G19" i="16" s="1"/>
  <c r="I19" i="16" s="1"/>
  <c r="B89" i="28"/>
  <c r="D88" i="28"/>
  <c r="D87" i="28"/>
  <c r="D86" i="28"/>
  <c r="D85" i="28"/>
  <c r="D84" i="28"/>
  <c r="D83" i="28"/>
  <c r="D82" i="28"/>
  <c r="B78" i="28"/>
  <c r="D77" i="28"/>
  <c r="D76" i="28"/>
  <c r="D75" i="28"/>
  <c r="D74" i="28"/>
  <c r="D73" i="28"/>
  <c r="D72" i="28"/>
  <c r="D71" i="28"/>
  <c r="B67" i="28"/>
  <c r="D66" i="28"/>
  <c r="D65" i="28"/>
  <c r="D64" i="28"/>
  <c r="D63" i="28"/>
  <c r="D62" i="28"/>
  <c r="D61" i="28"/>
  <c r="D60" i="28"/>
  <c r="B56" i="28"/>
  <c r="D55" i="28"/>
  <c r="D54" i="28"/>
  <c r="D53" i="28"/>
  <c r="D52" i="28"/>
  <c r="D51" i="28"/>
  <c r="D50" i="28"/>
  <c r="D49" i="28"/>
  <c r="B45" i="28"/>
  <c r="D44" i="28"/>
  <c r="D43" i="28"/>
  <c r="D42" i="28"/>
  <c r="D41" i="28"/>
  <c r="D40" i="28"/>
  <c r="D39" i="28"/>
  <c r="D38" i="28"/>
  <c r="B34" i="28"/>
  <c r="D33" i="28"/>
  <c r="D32" i="28"/>
  <c r="D31" i="28"/>
  <c r="D30" i="28"/>
  <c r="D29" i="28"/>
  <c r="D28" i="28"/>
  <c r="D27" i="28"/>
  <c r="B23" i="28"/>
  <c r="D22" i="28"/>
  <c r="D21" i="28"/>
  <c r="D20" i="28"/>
  <c r="D19" i="28"/>
  <c r="D18" i="28"/>
  <c r="D17" i="28"/>
  <c r="D16" i="28"/>
  <c r="B12" i="28"/>
  <c r="D11" i="28"/>
  <c r="D10" i="28"/>
  <c r="D9" i="28"/>
  <c r="D8" i="28"/>
  <c r="D7" i="28"/>
  <c r="D6" i="28"/>
  <c r="D5" i="28"/>
  <c r="B100" i="27"/>
  <c r="D99" i="27"/>
  <c r="D98" i="27"/>
  <c r="D97" i="27"/>
  <c r="D96" i="27"/>
  <c r="D95" i="27"/>
  <c r="D94" i="27"/>
  <c r="D93" i="27"/>
  <c r="B89" i="27"/>
  <c r="D88" i="27"/>
  <c r="D87" i="27"/>
  <c r="D86" i="27"/>
  <c r="D85" i="27"/>
  <c r="D84" i="27"/>
  <c r="D83" i="27"/>
  <c r="D82" i="27"/>
  <c r="B78" i="27"/>
  <c r="D77" i="27"/>
  <c r="D76" i="27"/>
  <c r="D75" i="27"/>
  <c r="D74" i="27"/>
  <c r="D73" i="27"/>
  <c r="D72" i="27"/>
  <c r="D71" i="27"/>
  <c r="D78" i="27" s="1"/>
  <c r="F9" i="27" s="1"/>
  <c r="B67" i="27"/>
  <c r="D66" i="27"/>
  <c r="D65" i="27"/>
  <c r="D64" i="27"/>
  <c r="D63" i="27"/>
  <c r="D62" i="27"/>
  <c r="D61" i="27"/>
  <c r="D60" i="27"/>
  <c r="B56" i="27"/>
  <c r="D55" i="27"/>
  <c r="D54" i="27"/>
  <c r="D53" i="27"/>
  <c r="D52" i="27"/>
  <c r="D51" i="27"/>
  <c r="D50" i="27"/>
  <c r="D49" i="27"/>
  <c r="B45" i="27"/>
  <c r="D44" i="27"/>
  <c r="D43" i="27"/>
  <c r="D42" i="27"/>
  <c r="D41" i="27"/>
  <c r="D40" i="27"/>
  <c r="D39" i="27"/>
  <c r="D38" i="27"/>
  <c r="B34" i="27"/>
  <c r="D33" i="27"/>
  <c r="D32" i="27"/>
  <c r="D31" i="27"/>
  <c r="D30" i="27"/>
  <c r="D29" i="27"/>
  <c r="D28" i="27"/>
  <c r="D27" i="27"/>
  <c r="B23" i="27"/>
  <c r="D22" i="27"/>
  <c r="D21" i="27"/>
  <c r="D20" i="27"/>
  <c r="D19" i="27"/>
  <c r="D18" i="27"/>
  <c r="D17" i="27"/>
  <c r="D16" i="27"/>
  <c r="D23" i="27" s="1"/>
  <c r="F4" i="27" s="1"/>
  <c r="B12" i="27"/>
  <c r="D11" i="27"/>
  <c r="D10" i="27"/>
  <c r="D9" i="27"/>
  <c r="D8" i="27"/>
  <c r="D7" i="27"/>
  <c r="D6" i="27"/>
  <c r="D5" i="27"/>
  <c r="B100" i="26"/>
  <c r="D99" i="26"/>
  <c r="D98" i="26"/>
  <c r="D97" i="26"/>
  <c r="D96" i="26"/>
  <c r="D95" i="26"/>
  <c r="D94" i="26"/>
  <c r="D93" i="26"/>
  <c r="B89" i="26"/>
  <c r="D88" i="26"/>
  <c r="D87" i="26"/>
  <c r="D86" i="26"/>
  <c r="D85" i="26"/>
  <c r="D84" i="26"/>
  <c r="D83" i="26"/>
  <c r="D82" i="26"/>
  <c r="B78" i="26"/>
  <c r="D77" i="26"/>
  <c r="D76" i="26"/>
  <c r="D75" i="26"/>
  <c r="D74" i="26"/>
  <c r="D73" i="26"/>
  <c r="D72" i="26"/>
  <c r="D71" i="26"/>
  <c r="B67" i="26"/>
  <c r="D66" i="26"/>
  <c r="D65" i="26"/>
  <c r="D64" i="26"/>
  <c r="D63" i="26"/>
  <c r="D62" i="26"/>
  <c r="D61" i="26"/>
  <c r="D60" i="26"/>
  <c r="D67" i="26" s="1"/>
  <c r="F8" i="26" s="1"/>
  <c r="G88" i="16" s="1"/>
  <c r="I88" i="16" s="1"/>
  <c r="B56" i="26"/>
  <c r="D55" i="26"/>
  <c r="D54" i="26"/>
  <c r="D53" i="26"/>
  <c r="D52" i="26"/>
  <c r="D51" i="26"/>
  <c r="D50" i="26"/>
  <c r="D49" i="26"/>
  <c r="B45" i="26"/>
  <c r="D44" i="26"/>
  <c r="D43" i="26"/>
  <c r="D42" i="26"/>
  <c r="D41" i="26"/>
  <c r="D40" i="26"/>
  <c r="D39" i="26"/>
  <c r="D38" i="26"/>
  <c r="B34" i="26"/>
  <c r="D33" i="26"/>
  <c r="D32" i="26"/>
  <c r="D31" i="26"/>
  <c r="D30" i="26"/>
  <c r="D29" i="26"/>
  <c r="D28" i="26"/>
  <c r="D27" i="26"/>
  <c r="B23" i="26"/>
  <c r="D22" i="26"/>
  <c r="D21" i="26"/>
  <c r="D20" i="26"/>
  <c r="D19" i="26"/>
  <c r="D18" i="26"/>
  <c r="D17" i="26"/>
  <c r="D16" i="26"/>
  <c r="B12" i="26"/>
  <c r="D11" i="26"/>
  <c r="D10" i="26"/>
  <c r="D9" i="26"/>
  <c r="D8" i="26"/>
  <c r="D7" i="26"/>
  <c r="D6" i="26"/>
  <c r="D5" i="26"/>
  <c r="B67" i="25"/>
  <c r="D66" i="25"/>
  <c r="D65" i="25"/>
  <c r="D64" i="25"/>
  <c r="D63" i="25"/>
  <c r="D62" i="25"/>
  <c r="D61" i="25"/>
  <c r="D60" i="25"/>
  <c r="B56" i="25"/>
  <c r="D55" i="25"/>
  <c r="D54" i="25"/>
  <c r="D53" i="25"/>
  <c r="D52" i="25"/>
  <c r="D51" i="25"/>
  <c r="D50" i="25"/>
  <c r="D49" i="25"/>
  <c r="B45" i="25"/>
  <c r="D44" i="25"/>
  <c r="D43" i="25"/>
  <c r="D42" i="25"/>
  <c r="D41" i="25"/>
  <c r="D40" i="25"/>
  <c r="D39" i="25"/>
  <c r="D38" i="25"/>
  <c r="D45" i="25" s="1"/>
  <c r="F6" i="25" s="1"/>
  <c r="G119" i="16" s="1"/>
  <c r="B34" i="25"/>
  <c r="D33" i="25"/>
  <c r="D32" i="25"/>
  <c r="D31" i="25"/>
  <c r="D30" i="25"/>
  <c r="D29" i="25"/>
  <c r="D28" i="25"/>
  <c r="D27" i="25"/>
  <c r="B23" i="25"/>
  <c r="D22" i="25"/>
  <c r="D21" i="25"/>
  <c r="D20" i="25"/>
  <c r="D19" i="25"/>
  <c r="D18" i="25"/>
  <c r="D17" i="25"/>
  <c r="D16" i="25"/>
  <c r="B12" i="25"/>
  <c r="D11" i="25"/>
  <c r="D10" i="25"/>
  <c r="D9" i="25"/>
  <c r="D8" i="25"/>
  <c r="D7" i="25"/>
  <c r="D6" i="25"/>
  <c r="D5" i="25"/>
  <c r="B100" i="24"/>
  <c r="D99" i="24"/>
  <c r="D98" i="24"/>
  <c r="D97" i="24"/>
  <c r="D96" i="24"/>
  <c r="D95" i="24"/>
  <c r="D94" i="24"/>
  <c r="D93" i="24"/>
  <c r="B89" i="24"/>
  <c r="D88" i="24"/>
  <c r="D87" i="24"/>
  <c r="D86" i="24"/>
  <c r="D85" i="24"/>
  <c r="D84" i="24"/>
  <c r="D83" i="24"/>
  <c r="D82" i="24"/>
  <c r="B78" i="24"/>
  <c r="D77" i="24"/>
  <c r="D76" i="24"/>
  <c r="D75" i="24"/>
  <c r="D74" i="24"/>
  <c r="D73" i="24"/>
  <c r="D72" i="24"/>
  <c r="D71" i="24"/>
  <c r="B67" i="24"/>
  <c r="D66" i="24"/>
  <c r="D65" i="24"/>
  <c r="D64" i="24"/>
  <c r="D63" i="24"/>
  <c r="D62" i="24"/>
  <c r="D61" i="24"/>
  <c r="D60" i="24"/>
  <c r="B56" i="24"/>
  <c r="D55" i="24"/>
  <c r="D54" i="24"/>
  <c r="D53" i="24"/>
  <c r="D52" i="24"/>
  <c r="D51" i="24"/>
  <c r="D50" i="24"/>
  <c r="D49" i="24"/>
  <c r="B45" i="24"/>
  <c r="D44" i="24"/>
  <c r="D43" i="24"/>
  <c r="D42" i="24"/>
  <c r="D41" i="24"/>
  <c r="D40" i="24"/>
  <c r="D39" i="24"/>
  <c r="D38" i="24"/>
  <c r="B34" i="24"/>
  <c r="D33" i="24"/>
  <c r="D32" i="24"/>
  <c r="D31" i="24"/>
  <c r="D30" i="24"/>
  <c r="D29" i="24"/>
  <c r="D28" i="24"/>
  <c r="D27" i="24"/>
  <c r="B23" i="24"/>
  <c r="D22" i="24"/>
  <c r="D21" i="24"/>
  <c r="D20" i="24"/>
  <c r="D19" i="24"/>
  <c r="D18" i="24"/>
  <c r="D17" i="24"/>
  <c r="D16" i="24"/>
  <c r="B12" i="24"/>
  <c r="D11" i="24"/>
  <c r="D10" i="24"/>
  <c r="D9" i="24"/>
  <c r="D8" i="24"/>
  <c r="D7" i="24"/>
  <c r="D6" i="24"/>
  <c r="D5" i="24"/>
  <c r="B100" i="23"/>
  <c r="D99" i="23"/>
  <c r="D98" i="23"/>
  <c r="D97" i="23"/>
  <c r="D96" i="23"/>
  <c r="D95" i="23"/>
  <c r="D94" i="23"/>
  <c r="D93" i="23"/>
  <c r="D100" i="23" s="1"/>
  <c r="F11" i="23" s="1"/>
  <c r="G46" i="16" s="1"/>
  <c r="I46" i="16" s="1"/>
  <c r="B89" i="23"/>
  <c r="D88" i="23"/>
  <c r="D87" i="23"/>
  <c r="D86" i="23"/>
  <c r="D85" i="23"/>
  <c r="D84" i="23"/>
  <c r="D83" i="23"/>
  <c r="D82" i="23"/>
  <c r="B78" i="23"/>
  <c r="D77" i="23"/>
  <c r="D76" i="23"/>
  <c r="D75" i="23"/>
  <c r="D74" i="23"/>
  <c r="D73" i="23"/>
  <c r="D72" i="23"/>
  <c r="D71" i="23"/>
  <c r="D78" i="23" s="1"/>
  <c r="F9" i="23" s="1"/>
  <c r="G44" i="16" s="1"/>
  <c r="B67" i="23"/>
  <c r="D66" i="23"/>
  <c r="D65" i="23"/>
  <c r="D64" i="23"/>
  <c r="D63" i="23"/>
  <c r="D62" i="23"/>
  <c r="D61" i="23"/>
  <c r="D60" i="23"/>
  <c r="D67" i="23" s="1"/>
  <c r="F8" i="23" s="1"/>
  <c r="G43" i="16" s="1"/>
  <c r="I43" i="16" s="1"/>
  <c r="B56" i="23"/>
  <c r="D55" i="23"/>
  <c r="D54" i="23"/>
  <c r="D53" i="23"/>
  <c r="D52" i="23"/>
  <c r="D51" i="23"/>
  <c r="D50" i="23"/>
  <c r="D49" i="23"/>
  <c r="B45" i="23"/>
  <c r="D44" i="23"/>
  <c r="D43" i="23"/>
  <c r="D42" i="23"/>
  <c r="D41" i="23"/>
  <c r="D40" i="23"/>
  <c r="D39" i="23"/>
  <c r="D38" i="23"/>
  <c r="B34" i="23"/>
  <c r="D33" i="23"/>
  <c r="D32" i="23"/>
  <c r="D31" i="23"/>
  <c r="D30" i="23"/>
  <c r="D29" i="23"/>
  <c r="D28" i="23"/>
  <c r="D27" i="23"/>
  <c r="B23" i="23"/>
  <c r="D22" i="23"/>
  <c r="D21" i="23"/>
  <c r="D20" i="23"/>
  <c r="D19" i="23"/>
  <c r="D18" i="23"/>
  <c r="D17" i="23"/>
  <c r="D16" i="23"/>
  <c r="D23" i="23" s="1"/>
  <c r="F4" i="23" s="1"/>
  <c r="G39" i="16" s="1"/>
  <c r="I39" i="16" s="1"/>
  <c r="B12" i="23"/>
  <c r="D11" i="23"/>
  <c r="D10" i="23"/>
  <c r="D9" i="23"/>
  <c r="D8" i="23"/>
  <c r="D7" i="23"/>
  <c r="D6" i="23"/>
  <c r="D5" i="23"/>
  <c r="B100" i="22"/>
  <c r="D99" i="22"/>
  <c r="D98" i="22"/>
  <c r="D97" i="22"/>
  <c r="D96" i="22"/>
  <c r="D95" i="22"/>
  <c r="D94" i="22"/>
  <c r="D93" i="22"/>
  <c r="B89" i="22"/>
  <c r="D88" i="22"/>
  <c r="D87" i="22"/>
  <c r="D86" i="22"/>
  <c r="D85" i="22"/>
  <c r="D84" i="22"/>
  <c r="D83" i="22"/>
  <c r="D82" i="22"/>
  <c r="D78" i="22"/>
  <c r="F9" i="22" s="1"/>
  <c r="G80" i="16" s="1"/>
  <c r="I80" i="16" s="1"/>
  <c r="B78" i="22"/>
  <c r="D77" i="22"/>
  <c r="D76" i="22"/>
  <c r="D75" i="22"/>
  <c r="D74" i="22"/>
  <c r="D73" i="22"/>
  <c r="D72" i="22"/>
  <c r="D71" i="22"/>
  <c r="B67" i="22"/>
  <c r="D66" i="22"/>
  <c r="D65" i="22"/>
  <c r="D64" i="22"/>
  <c r="D63" i="22"/>
  <c r="D62" i="22"/>
  <c r="D61" i="22"/>
  <c r="D60" i="22"/>
  <c r="B56" i="22"/>
  <c r="D55" i="22"/>
  <c r="D54" i="22"/>
  <c r="D53" i="22"/>
  <c r="D52" i="22"/>
  <c r="D51" i="22"/>
  <c r="D50" i="22"/>
  <c r="D49" i="22"/>
  <c r="B45" i="22"/>
  <c r="D44" i="22"/>
  <c r="D43" i="22"/>
  <c r="D42" i="22"/>
  <c r="D41" i="22"/>
  <c r="D40" i="22"/>
  <c r="D39" i="22"/>
  <c r="D38" i="22"/>
  <c r="B34" i="22"/>
  <c r="D33" i="22"/>
  <c r="D32" i="22"/>
  <c r="D31" i="22"/>
  <c r="D30" i="22"/>
  <c r="D29" i="22"/>
  <c r="D28" i="22"/>
  <c r="D27" i="22"/>
  <c r="B23" i="22"/>
  <c r="D22" i="22"/>
  <c r="D21" i="22"/>
  <c r="D20" i="22"/>
  <c r="D19" i="22"/>
  <c r="D18" i="22"/>
  <c r="D17" i="22"/>
  <c r="D16" i="22"/>
  <c r="B12" i="22"/>
  <c r="D11" i="22"/>
  <c r="D10" i="22"/>
  <c r="D9" i="22"/>
  <c r="D8" i="22"/>
  <c r="D7" i="22"/>
  <c r="D6" i="22"/>
  <c r="D5" i="22"/>
  <c r="B67" i="21"/>
  <c r="D66" i="21"/>
  <c r="D65" i="21"/>
  <c r="D64" i="21"/>
  <c r="D63" i="21"/>
  <c r="D62" i="21"/>
  <c r="D61" i="21"/>
  <c r="D60" i="21"/>
  <c r="B56" i="21"/>
  <c r="D55" i="21"/>
  <c r="D54" i="21"/>
  <c r="D53" i="21"/>
  <c r="D52" i="21"/>
  <c r="D51" i="21"/>
  <c r="D50" i="21"/>
  <c r="D49" i="21"/>
  <c r="D56" i="21" s="1"/>
  <c r="F7" i="21" s="1"/>
  <c r="G114" i="16" s="1"/>
  <c r="B45" i="21"/>
  <c r="D44" i="21"/>
  <c r="D43" i="21"/>
  <c r="D42" i="21"/>
  <c r="D41" i="21"/>
  <c r="D40" i="21"/>
  <c r="D39" i="21"/>
  <c r="D38" i="21"/>
  <c r="B34" i="21"/>
  <c r="D33" i="21"/>
  <c r="D32" i="21"/>
  <c r="D31" i="21"/>
  <c r="D30" i="21"/>
  <c r="D29" i="21"/>
  <c r="D28" i="21"/>
  <c r="D27" i="21"/>
  <c r="B23" i="21"/>
  <c r="D22" i="21"/>
  <c r="D21" i="21"/>
  <c r="D20" i="21"/>
  <c r="D19" i="21"/>
  <c r="D18" i="21"/>
  <c r="D17" i="21"/>
  <c r="D16" i="21"/>
  <c r="B12" i="21"/>
  <c r="D11" i="21"/>
  <c r="D10" i="21"/>
  <c r="D9" i="21"/>
  <c r="D8" i="21"/>
  <c r="D7" i="21"/>
  <c r="D6" i="21"/>
  <c r="D5" i="21"/>
  <c r="B67" i="15"/>
  <c r="D66" i="15"/>
  <c r="D65" i="15"/>
  <c r="D64" i="15"/>
  <c r="D63" i="15"/>
  <c r="D62" i="15"/>
  <c r="D61" i="15"/>
  <c r="D60" i="15"/>
  <c r="B56" i="15"/>
  <c r="D55" i="15"/>
  <c r="D54" i="15"/>
  <c r="D53" i="15"/>
  <c r="D52" i="15"/>
  <c r="D51" i="15"/>
  <c r="D50" i="15"/>
  <c r="D49" i="15"/>
  <c r="B45" i="15"/>
  <c r="D44" i="15"/>
  <c r="D43" i="15"/>
  <c r="D42" i="15"/>
  <c r="D41" i="15"/>
  <c r="D40" i="15"/>
  <c r="D39" i="15"/>
  <c r="D38" i="15"/>
  <c r="B34" i="15"/>
  <c r="D33" i="15"/>
  <c r="D32" i="15"/>
  <c r="D31" i="15"/>
  <c r="D30" i="15"/>
  <c r="D29" i="15"/>
  <c r="D28" i="15"/>
  <c r="D27" i="15"/>
  <c r="B23" i="15"/>
  <c r="D22" i="15"/>
  <c r="D21" i="15"/>
  <c r="D20" i="15"/>
  <c r="D19" i="15"/>
  <c r="D18" i="15"/>
  <c r="D17" i="15"/>
  <c r="D16" i="15"/>
  <c r="B12" i="15"/>
  <c r="D11" i="15"/>
  <c r="D10" i="15"/>
  <c r="D9" i="15"/>
  <c r="D8" i="15"/>
  <c r="D7" i="15"/>
  <c r="D6" i="15"/>
  <c r="D5" i="15"/>
  <c r="D23" i="32" l="1"/>
  <c r="F4" i="32" s="1"/>
  <c r="G129" i="16" s="1"/>
  <c r="I129" i="16" s="1"/>
  <c r="D45" i="32"/>
  <c r="F6" i="32" s="1"/>
  <c r="G131" i="16" s="1"/>
  <c r="I131" i="16" s="1"/>
  <c r="D67" i="25"/>
  <c r="F8" i="25" s="1"/>
  <c r="G121" i="16" s="1"/>
  <c r="I121" i="16" s="1"/>
  <c r="D34" i="21"/>
  <c r="F5" i="21" s="1"/>
  <c r="G112" i="16" s="1"/>
  <c r="I112" i="16" s="1"/>
  <c r="D45" i="21"/>
  <c r="F6" i="21" s="1"/>
  <c r="G113" i="16" s="1"/>
  <c r="I113" i="16" s="1"/>
  <c r="D100" i="33"/>
  <c r="F11" i="33" s="1"/>
  <c r="G109" i="16" s="1"/>
  <c r="D34" i="33"/>
  <c r="F5" i="33" s="1"/>
  <c r="G103" i="16" s="1"/>
  <c r="I103" i="16" s="1"/>
  <c r="D67" i="33"/>
  <c r="F8" i="33" s="1"/>
  <c r="G106" i="16" s="1"/>
  <c r="I106" i="16" s="1"/>
  <c r="D23" i="33"/>
  <c r="F4" i="33" s="1"/>
  <c r="G102" i="16" s="1"/>
  <c r="I102" i="16" s="1"/>
  <c r="D56" i="33"/>
  <c r="F7" i="33" s="1"/>
  <c r="G105" i="16" s="1"/>
  <c r="I105" i="16" s="1"/>
  <c r="D78" i="33"/>
  <c r="F9" i="33" s="1"/>
  <c r="G107" i="16" s="1"/>
  <c r="D12" i="33"/>
  <c r="F3" i="33" s="1"/>
  <c r="G101" i="16" s="1"/>
  <c r="I101" i="16" s="1"/>
  <c r="D45" i="33"/>
  <c r="F6" i="33" s="1"/>
  <c r="G104" i="16" s="1"/>
  <c r="I104" i="16" s="1"/>
  <c r="D100" i="29"/>
  <c r="F11" i="29" s="1"/>
  <c r="G100" i="16" s="1"/>
  <c r="I100" i="16" s="1"/>
  <c r="D34" i="29"/>
  <c r="F5" i="29" s="1"/>
  <c r="G94" i="16" s="1"/>
  <c r="I94" i="16" s="1"/>
  <c r="D67" i="29"/>
  <c r="F8" i="29" s="1"/>
  <c r="G97" i="16" s="1"/>
  <c r="I97" i="16" s="1"/>
  <c r="D89" i="29"/>
  <c r="F10" i="29" s="1"/>
  <c r="G99" i="16" s="1"/>
  <c r="I99" i="16" s="1"/>
  <c r="D56" i="29"/>
  <c r="F7" i="29" s="1"/>
  <c r="G96" i="16" s="1"/>
  <c r="I96" i="16" s="1"/>
  <c r="D78" i="29"/>
  <c r="F9" i="29" s="1"/>
  <c r="G98" i="16" s="1"/>
  <c r="I98" i="16" s="1"/>
  <c r="D12" i="29"/>
  <c r="F3" i="29" s="1"/>
  <c r="G92" i="16" s="1"/>
  <c r="I92" i="16" s="1"/>
  <c r="D45" i="29"/>
  <c r="F6" i="29" s="1"/>
  <c r="G95" i="16" s="1"/>
  <c r="I95" i="16" s="1"/>
  <c r="D100" i="26"/>
  <c r="F11" i="26" s="1"/>
  <c r="D34" i="26"/>
  <c r="F5" i="26" s="1"/>
  <c r="I52" i="16"/>
  <c r="D56" i="26"/>
  <c r="F7" i="26" s="1"/>
  <c r="G87" i="16" s="1"/>
  <c r="I87" i="16" s="1"/>
  <c r="D23" i="26"/>
  <c r="F4" i="26" s="1"/>
  <c r="D89" i="26"/>
  <c r="F10" i="26" s="1"/>
  <c r="D78" i="26"/>
  <c r="F9" i="26" s="1"/>
  <c r="G89" i="16" s="1"/>
  <c r="I89" i="16" s="1"/>
  <c r="D12" i="26"/>
  <c r="F3" i="26" s="1"/>
  <c r="I47" i="16" s="1"/>
  <c r="D45" i="26"/>
  <c r="F6" i="26" s="1"/>
  <c r="D100" i="22"/>
  <c r="F11" i="22" s="1"/>
  <c r="G82" i="16" s="1"/>
  <c r="I82" i="16" s="1"/>
  <c r="D34" i="22"/>
  <c r="F5" i="22" s="1"/>
  <c r="G76" i="16" s="1"/>
  <c r="I76" i="16" s="1"/>
  <c r="D67" i="22"/>
  <c r="F8" i="22" s="1"/>
  <c r="G79" i="16" s="1"/>
  <c r="I79" i="16" s="1"/>
  <c r="D12" i="22"/>
  <c r="F3" i="22" s="1"/>
  <c r="G74" i="16" s="1"/>
  <c r="I74" i="16" s="1"/>
  <c r="D45" i="22"/>
  <c r="F6" i="22" s="1"/>
  <c r="G77" i="16" s="1"/>
  <c r="I77" i="16" s="1"/>
  <c r="D89" i="22"/>
  <c r="F10" i="22" s="1"/>
  <c r="G81" i="16" s="1"/>
  <c r="I81" i="16" s="1"/>
  <c r="D23" i="22"/>
  <c r="F4" i="22" s="1"/>
  <c r="G75" i="16" s="1"/>
  <c r="I75" i="16" s="1"/>
  <c r="D56" i="22"/>
  <c r="F7" i="22" s="1"/>
  <c r="G78" i="16" s="1"/>
  <c r="I78" i="16" s="1"/>
  <c r="D100" i="34"/>
  <c r="F11" i="34" s="1"/>
  <c r="G73" i="16" s="1"/>
  <c r="D67" i="34"/>
  <c r="F8" i="34" s="1"/>
  <c r="G70" i="16" s="1"/>
  <c r="I70" i="16" s="1"/>
  <c r="D89" i="34"/>
  <c r="F10" i="34" s="1"/>
  <c r="G72" i="16" s="1"/>
  <c r="I72" i="16" s="1"/>
  <c r="D34" i="34"/>
  <c r="F5" i="34" s="1"/>
  <c r="G67" i="16" s="1"/>
  <c r="I67" i="16" s="1"/>
  <c r="D56" i="34"/>
  <c r="F7" i="34" s="1"/>
  <c r="G69" i="16" s="1"/>
  <c r="I69" i="16" s="1"/>
  <c r="D12" i="34"/>
  <c r="F3" i="34" s="1"/>
  <c r="G65" i="16" s="1"/>
  <c r="I65" i="16" s="1"/>
  <c r="D45" i="34"/>
  <c r="F6" i="34" s="1"/>
  <c r="G68" i="16" s="1"/>
  <c r="I68" i="16" s="1"/>
  <c r="D100" i="30"/>
  <c r="F11" i="30" s="1"/>
  <c r="G64" i="16" s="1"/>
  <c r="I64" i="16" s="1"/>
  <c r="D34" i="30"/>
  <c r="F5" i="30" s="1"/>
  <c r="G58" i="16" s="1"/>
  <c r="I58" i="16" s="1"/>
  <c r="D89" i="30"/>
  <c r="F10" i="30" s="1"/>
  <c r="G63" i="16" s="1"/>
  <c r="D23" i="30"/>
  <c r="F4" i="30" s="1"/>
  <c r="G57" i="16" s="1"/>
  <c r="I57" i="16" s="1"/>
  <c r="D56" i="30"/>
  <c r="F7" i="30" s="1"/>
  <c r="G60" i="16" s="1"/>
  <c r="I60" i="16" s="1"/>
  <c r="D78" i="30"/>
  <c r="F9" i="30" s="1"/>
  <c r="G62" i="16" s="1"/>
  <c r="I62" i="16" s="1"/>
  <c r="D12" i="30"/>
  <c r="F3" i="30" s="1"/>
  <c r="G56" i="16" s="1"/>
  <c r="I56" i="16" s="1"/>
  <c r="D45" i="30"/>
  <c r="F6" i="30" s="1"/>
  <c r="G59" i="16" s="1"/>
  <c r="I59" i="16" s="1"/>
  <c r="D100" i="27"/>
  <c r="F11" i="27" s="1"/>
  <c r="D34" i="27"/>
  <c r="F5" i="27" s="1"/>
  <c r="D67" i="27"/>
  <c r="F8" i="27" s="1"/>
  <c r="D89" i="27"/>
  <c r="F10" i="27" s="1"/>
  <c r="D56" i="27"/>
  <c r="F7" i="27" s="1"/>
  <c r="D12" i="27"/>
  <c r="F3" i="27" s="1"/>
  <c r="D45" i="27"/>
  <c r="F6" i="27" s="1"/>
  <c r="D34" i="23"/>
  <c r="F5" i="23" s="1"/>
  <c r="G40" i="16" s="1"/>
  <c r="I40" i="16" s="1"/>
  <c r="D89" i="23"/>
  <c r="F10" i="23" s="1"/>
  <c r="G45" i="16" s="1"/>
  <c r="I45" i="16" s="1"/>
  <c r="D56" i="23"/>
  <c r="F7" i="23" s="1"/>
  <c r="G42" i="16" s="1"/>
  <c r="I42" i="16" s="1"/>
  <c r="D12" i="23"/>
  <c r="F3" i="23" s="1"/>
  <c r="G38" i="16" s="1"/>
  <c r="I38" i="16" s="1"/>
  <c r="D100" i="35"/>
  <c r="F11" i="35" s="1"/>
  <c r="G37" i="16" s="1"/>
  <c r="I37" i="16" s="1"/>
  <c r="D34" i="35"/>
  <c r="F5" i="35" s="1"/>
  <c r="G31" i="16" s="1"/>
  <c r="I31" i="16" s="1"/>
  <c r="D67" i="35"/>
  <c r="F8" i="35" s="1"/>
  <c r="G34" i="16" s="1"/>
  <c r="I34" i="16" s="1"/>
  <c r="D23" i="35"/>
  <c r="F4" i="35" s="1"/>
  <c r="G30" i="16" s="1"/>
  <c r="D56" i="35"/>
  <c r="F7" i="35" s="1"/>
  <c r="G33" i="16" s="1"/>
  <c r="I33" i="16" s="1"/>
  <c r="D78" i="35"/>
  <c r="F9" i="35" s="1"/>
  <c r="G35" i="16" s="1"/>
  <c r="I35" i="16" s="1"/>
  <c r="D12" i="35"/>
  <c r="F3" i="35" s="1"/>
  <c r="G29" i="16" s="1"/>
  <c r="I29" i="16" s="1"/>
  <c r="D45" i="35"/>
  <c r="F6" i="35" s="1"/>
  <c r="G32" i="16" s="1"/>
  <c r="D100" i="31"/>
  <c r="F11" i="31" s="1"/>
  <c r="G28" i="16" s="1"/>
  <c r="I28" i="16" s="1"/>
  <c r="D34" i="31"/>
  <c r="F5" i="31" s="1"/>
  <c r="G22" i="16" s="1"/>
  <c r="I22" i="16" s="1"/>
  <c r="F8" i="31"/>
  <c r="G25" i="16" s="1"/>
  <c r="I25" i="16" s="1"/>
  <c r="D89" i="31"/>
  <c r="F10" i="31" s="1"/>
  <c r="G27" i="16" s="1"/>
  <c r="I27" i="16" s="1"/>
  <c r="D23" i="31"/>
  <c r="F4" i="31" s="1"/>
  <c r="G21" i="16" s="1"/>
  <c r="D56" i="31"/>
  <c r="F7" i="31" s="1"/>
  <c r="G24" i="16" s="1"/>
  <c r="I24" i="16" s="1"/>
  <c r="D78" i="31"/>
  <c r="F9" i="31" s="1"/>
  <c r="G26" i="16" s="1"/>
  <c r="I26" i="16" s="1"/>
  <c r="D45" i="31"/>
  <c r="F6" i="31" s="1"/>
  <c r="G23" i="16" s="1"/>
  <c r="I23" i="16" s="1"/>
  <c r="D34" i="28"/>
  <c r="F5" i="28" s="1"/>
  <c r="G13" i="16" s="1"/>
  <c r="I13" i="16" s="1"/>
  <c r="D89" i="28"/>
  <c r="F10" i="28" s="1"/>
  <c r="G18" i="16" s="1"/>
  <c r="I18" i="16" s="1"/>
  <c r="D23" i="28"/>
  <c r="F4" i="28" s="1"/>
  <c r="G12" i="16" s="1"/>
  <c r="I12" i="16" s="1"/>
  <c r="D56" i="28"/>
  <c r="F7" i="28" s="1"/>
  <c r="G15" i="16" s="1"/>
  <c r="I15" i="16" s="1"/>
  <c r="D45" i="28"/>
  <c r="F6" i="28" s="1"/>
  <c r="G14" i="16" s="1"/>
  <c r="D78" i="28"/>
  <c r="F9" i="28" s="1"/>
  <c r="G17" i="16" s="1"/>
  <c r="I17" i="16" s="1"/>
  <c r="D12" i="28"/>
  <c r="F3" i="28" s="1"/>
  <c r="G11" i="16" s="1"/>
  <c r="I11" i="16" s="1"/>
  <c r="D67" i="28"/>
  <c r="F8" i="28" s="1"/>
  <c r="G16" i="16" s="1"/>
  <c r="I16" i="16" s="1"/>
  <c r="D45" i="23"/>
  <c r="F6" i="23" s="1"/>
  <c r="G41" i="16" s="1"/>
  <c r="I41" i="16" s="1"/>
  <c r="D100" i="24"/>
  <c r="F11" i="24" s="1"/>
  <c r="G10" i="16" s="1"/>
  <c r="I10" i="16" s="1"/>
  <c r="D34" i="24"/>
  <c r="F5" i="24" s="1"/>
  <c r="G4" i="16" s="1"/>
  <c r="I4" i="16" s="1"/>
  <c r="D67" i="24"/>
  <c r="F8" i="24" s="1"/>
  <c r="G7" i="16" s="1"/>
  <c r="I7" i="16" s="1"/>
  <c r="D89" i="24"/>
  <c r="F10" i="24" s="1"/>
  <c r="G9" i="16" s="1"/>
  <c r="I9" i="16" s="1"/>
  <c r="D23" i="24"/>
  <c r="F4" i="24" s="1"/>
  <c r="G3" i="16" s="1"/>
  <c r="I3" i="16" s="1"/>
  <c r="D56" i="24"/>
  <c r="F7" i="24" s="1"/>
  <c r="G6" i="16" s="1"/>
  <c r="I6" i="16" s="1"/>
  <c r="D78" i="24"/>
  <c r="F9" i="24" s="1"/>
  <c r="G8" i="16" s="1"/>
  <c r="I8" i="16" s="1"/>
  <c r="D12" i="24"/>
  <c r="F3" i="24" s="1"/>
  <c r="G2" i="16" s="1"/>
  <c r="I2" i="16" s="1"/>
  <c r="D45" i="24"/>
  <c r="F6" i="24" s="1"/>
  <c r="G5" i="16" s="1"/>
  <c r="I5" i="16" s="1"/>
  <c r="D12" i="32"/>
  <c r="F3" i="32" s="1"/>
  <c r="G128" i="16" s="1"/>
  <c r="I128" i="16" s="1"/>
  <c r="D67" i="32"/>
  <c r="F8" i="32" s="1"/>
  <c r="G133" i="16" s="1"/>
  <c r="I133" i="16" s="1"/>
  <c r="D34" i="32"/>
  <c r="F5" i="32" s="1"/>
  <c r="G130" i="16" s="1"/>
  <c r="I130" i="16" s="1"/>
  <c r="D23" i="25"/>
  <c r="F4" i="25" s="1"/>
  <c r="G117" i="16" s="1"/>
  <c r="I117" i="16" s="1"/>
  <c r="D12" i="25"/>
  <c r="F3" i="25" s="1"/>
  <c r="G116" i="16" s="1"/>
  <c r="I116" i="16" s="1"/>
  <c r="D56" i="25"/>
  <c r="F7" i="25" s="1"/>
  <c r="G120" i="16" s="1"/>
  <c r="I120" i="16" s="1"/>
  <c r="D34" i="25"/>
  <c r="F5" i="25" s="1"/>
  <c r="G118" i="16" s="1"/>
  <c r="I118" i="16" s="1"/>
  <c r="D12" i="21"/>
  <c r="F3" i="21" s="1"/>
  <c r="G110" i="16" s="1"/>
  <c r="I110" i="16" s="1"/>
  <c r="D67" i="21"/>
  <c r="F8" i="21" s="1"/>
  <c r="G115" i="16" s="1"/>
  <c r="I115" i="16" s="1"/>
  <c r="D23" i="21"/>
  <c r="F4" i="21" s="1"/>
  <c r="G111" i="16" s="1"/>
  <c r="I111" i="16" s="1"/>
  <c r="D67" i="15"/>
  <c r="F8" i="15" s="1"/>
  <c r="G127" i="16" s="1"/>
  <c r="I127" i="16" s="1"/>
  <c r="I20" i="16"/>
  <c r="I63" i="16"/>
  <c r="I30" i="16"/>
  <c r="I21" i="16"/>
  <c r="I44" i="16"/>
  <c r="I32" i="16"/>
  <c r="I73" i="16"/>
  <c r="I14" i="16"/>
  <c r="I109" i="16"/>
  <c r="I107" i="16"/>
  <c r="I119" i="16"/>
  <c r="I114" i="16"/>
  <c r="I108" i="16"/>
  <c r="D34" i="15"/>
  <c r="F5" i="15" s="1"/>
  <c r="G124" i="16" s="1"/>
  <c r="I124" i="16" s="1"/>
  <c r="D56" i="15"/>
  <c r="F7" i="15" s="1"/>
  <c r="G126" i="16" s="1"/>
  <c r="I126" i="16" s="1"/>
  <c r="D45" i="15"/>
  <c r="F6" i="15" s="1"/>
  <c r="G125" i="16" s="1"/>
  <c r="I125" i="16" s="1"/>
  <c r="D23" i="15"/>
  <c r="F4" i="15" s="1"/>
  <c r="G123" i="16" s="1"/>
  <c r="I123" i="16" s="1"/>
  <c r="D12" i="15"/>
  <c r="F3" i="15" s="1"/>
  <c r="G122" i="16" s="1"/>
  <c r="I122" i="16" s="1"/>
  <c r="G91" i="16" l="1"/>
  <c r="I91" i="16" s="1"/>
  <c r="I55" i="16"/>
  <c r="G85" i="16"/>
  <c r="I85" i="16" s="1"/>
  <c r="I49" i="16"/>
  <c r="G83" i="16"/>
  <c r="I83" i="16" s="1"/>
  <c r="I51" i="16"/>
  <c r="G84" i="16"/>
  <c r="I84" i="16" s="1"/>
  <c r="I48" i="16"/>
  <c r="I54" i="16"/>
  <c r="G90" i="16"/>
  <c r="I90" i="16" s="1"/>
  <c r="I53" i="16"/>
  <c r="I50" i="16"/>
  <c r="G86" i="16"/>
  <c r="I86" i="16" s="1"/>
</calcChain>
</file>

<file path=xl/sharedStrings.xml><?xml version="1.0" encoding="utf-8"?>
<sst xmlns="http://schemas.openxmlformats.org/spreadsheetml/2006/main" count="2153" uniqueCount="45">
  <si>
    <t>Metric</t>
  </si>
  <si>
    <t>Weight</t>
  </si>
  <si>
    <t>Weighted Score</t>
  </si>
  <si>
    <t xml:space="preserve">Max Score: </t>
  </si>
  <si>
    <t>FI</t>
  </si>
  <si>
    <t>P</t>
  </si>
  <si>
    <t>FI + P</t>
  </si>
  <si>
    <t>gwen3.5 | FI</t>
  </si>
  <si>
    <t>gwen3.5 | P</t>
  </si>
  <si>
    <t>gwen3.5 | FI + P</t>
  </si>
  <si>
    <t>deepseek-v3.2 | FI</t>
  </si>
  <si>
    <t>deepseek-v3.2 | P</t>
  </si>
  <si>
    <t>deepseek-v3.2 | FI + P</t>
  </si>
  <si>
    <t>kimi-k2.5 | FI</t>
  </si>
  <si>
    <t>kimi-k2.5 | P</t>
  </si>
  <si>
    <t>kimi-k2.5 | FI + P</t>
  </si>
  <si>
    <t>d131</t>
  </si>
  <si>
    <t>Score [1,5]</t>
  </si>
  <si>
    <t>d1456</t>
  </si>
  <si>
    <t>qwen</t>
  </si>
  <si>
    <t>deepseek</t>
  </si>
  <si>
    <t>kimi</t>
  </si>
  <si>
    <t>Experiment 1</t>
  </si>
  <si>
    <t>Experiment 2</t>
  </si>
  <si>
    <t>Experiment 3</t>
  </si>
  <si>
    <t>Experiment 4</t>
  </si>
  <si>
    <t>station</t>
  </si>
  <si>
    <t>model</t>
  </si>
  <si>
    <t>experiment</t>
  </si>
  <si>
    <t>input</t>
  </si>
  <si>
    <t>human_eval</t>
  </si>
  <si>
    <t>Difference</t>
  </si>
  <si>
    <t>g_eval</t>
  </si>
  <si>
    <t>d393</t>
  </si>
  <si>
    <t>d3235</t>
  </si>
  <si>
    <t>Weighted Score:</t>
  </si>
  <si>
    <t>Does it avoid irrelevant and excessive information and is concise? (Length)</t>
  </si>
  <si>
    <t>Is there a coherent argumentation and reasoning provided for the interpretation based on the information provided? (Context-Awareness)</t>
  </si>
  <si>
    <t>Does it provide actionable insights that support the decision making? (Completeness)</t>
  </si>
  <si>
    <t>Does it answer why the specific device is behaving unusually or has a bad performance? (Completeness)</t>
  </si>
  <si>
    <t>Is the available information used for the reasoning? (Performance/Feature Importance/Combination) (Completeness)</t>
  </si>
  <si>
    <t>Is the explanation readable, coherent and easy to understand for non-experts? (Fluency)</t>
  </si>
  <si>
    <t>Is the explanation technically correct and based on the information provided without distorting the diagnostic information? (Soundness)</t>
  </si>
  <si>
    <t>input_length_tokens</t>
  </si>
  <si>
    <t>duration_seconds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</si>
</sst>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8"/>
      <name val="Calibri"/>
      <family val="2"/>
      <scheme val="minor"/>
    </font>
    <font>
      <sz val="11"/>
      <color theme="0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  <xf numFmtId="9" fontId="0" fillId="0" borderId="0" xfId="1" applyFont="1"/>
    <xf numFmtId="9" fontId="0" fillId="0" borderId="1" xfId="0" applyNumberFormat="1" applyBorder="1"/>
    <xf numFmtId="0" fontId="2" fillId="0" borderId="0" xfId="0" applyFont="1"/>
    <xf numFmtId="0" fontId="2" fillId="0" borderId="1" xfId="0" applyFont="1" applyBorder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 indent="1"/>
    </xf>
    <xf numFmtId="0" fontId="5" fillId="0" borderId="0" xfId="0" applyFont="1"/>
    <xf numFmtId="0" fontId="0" fillId="2" borderId="0" xfId="0" applyFill="1" applyAlignment="1">
      <alignment horizontal="right"/>
    </xf>
  </cellXfs>
  <cellStyles count="2">
    <cellStyle name="Normal" xfId="0" builtinId="0"/>
    <cellStyle name="Per 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A72C7-5DBE-4131-B997-4965E137BF01}">
  <dimension ref="A1:I133"/>
  <sheetViews>
    <sheetView tabSelected="1" workbookViewId="0">
      <selection sqref="A1:H133"/>
    </sheetView>
  </sheetViews>
  <sheetFormatPr defaultRowHeight="14.4" x14ac:dyDescent="0.3"/>
  <cols>
    <col min="3" max="3" width="11.6640625" bestFit="1" customWidth="1"/>
    <col min="4" max="4" width="11.6640625" customWidth="1"/>
    <col min="5" max="5" width="18.6640625" bestFit="1" customWidth="1"/>
    <col min="6" max="6" width="16.109375" bestFit="1" customWidth="1"/>
    <col min="7" max="7" width="11.44140625" bestFit="1" customWidth="1"/>
    <col min="9" max="9" width="9.6640625" bestFit="1" customWidth="1"/>
  </cols>
  <sheetData>
    <row r="1" spans="1:9" x14ac:dyDescent="0.3">
      <c r="A1" s="5" t="s">
        <v>26</v>
      </c>
      <c r="B1" s="5" t="s">
        <v>27</v>
      </c>
      <c r="C1" s="5" t="s">
        <v>28</v>
      </c>
      <c r="D1" s="5" t="s">
        <v>29</v>
      </c>
      <c r="E1" s="5" t="s">
        <v>43</v>
      </c>
      <c r="F1" s="5" t="s">
        <v>44</v>
      </c>
      <c r="G1" s="5" t="s">
        <v>30</v>
      </c>
      <c r="H1" s="5" t="s">
        <v>32</v>
      </c>
      <c r="I1" s="5" t="s">
        <v>31</v>
      </c>
    </row>
    <row r="2" spans="1:9" x14ac:dyDescent="0.3">
      <c r="A2" t="s">
        <v>16</v>
      </c>
      <c r="B2" t="s">
        <v>19</v>
      </c>
      <c r="C2" t="s">
        <v>22</v>
      </c>
      <c r="D2" t="s">
        <v>4</v>
      </c>
      <c r="E2">
        <v>3924</v>
      </c>
      <c r="F2">
        <v>48.55</v>
      </c>
      <c r="G2">
        <f>'d131 #1'!F3</f>
        <v>3.6500000000000004</v>
      </c>
      <c r="H2">
        <v>3.5</v>
      </c>
      <c r="I2">
        <f xml:space="preserve"> ABS(H2-G2)</f>
        <v>0.15000000000000036</v>
      </c>
    </row>
    <row r="3" spans="1:9" x14ac:dyDescent="0.3">
      <c r="A3" t="s">
        <v>16</v>
      </c>
      <c r="B3" t="s">
        <v>19</v>
      </c>
      <c r="C3" t="s">
        <v>22</v>
      </c>
      <c r="D3" t="s">
        <v>5</v>
      </c>
      <c r="E3">
        <v>8866</v>
      </c>
      <c r="F3">
        <v>60.65</v>
      </c>
      <c r="G3">
        <f>'d131 #1'!F4</f>
        <v>3.65</v>
      </c>
      <c r="H3">
        <v>3.65</v>
      </c>
      <c r="I3">
        <f t="shared" ref="I3:I66" si="0" xml:space="preserve"> ABS(H3-G3)</f>
        <v>0</v>
      </c>
    </row>
    <row r="4" spans="1:9" x14ac:dyDescent="0.3">
      <c r="A4" t="s">
        <v>16</v>
      </c>
      <c r="B4" t="s">
        <v>19</v>
      </c>
      <c r="C4" t="s">
        <v>22</v>
      </c>
      <c r="D4" t="s">
        <v>6</v>
      </c>
      <c r="E4">
        <v>9097</v>
      </c>
      <c r="F4">
        <v>59.3</v>
      </c>
      <c r="G4">
        <f>'d131 #1'!F5</f>
        <v>3.3000000000000003</v>
      </c>
      <c r="H4">
        <v>3.3</v>
      </c>
      <c r="I4">
        <f t="shared" si="0"/>
        <v>4.4408920985006262E-16</v>
      </c>
    </row>
    <row r="5" spans="1:9" x14ac:dyDescent="0.3">
      <c r="A5" t="s">
        <v>16</v>
      </c>
      <c r="B5" t="s">
        <v>20</v>
      </c>
      <c r="C5" t="s">
        <v>22</v>
      </c>
      <c r="D5" t="s">
        <v>4</v>
      </c>
      <c r="E5">
        <v>2669</v>
      </c>
      <c r="F5">
        <v>66.599999999999994</v>
      </c>
      <c r="G5">
        <f>'d131 #1'!F6</f>
        <v>2.2999999999999998</v>
      </c>
      <c r="H5">
        <v>2.5</v>
      </c>
      <c r="I5">
        <f t="shared" si="0"/>
        <v>0.20000000000000018</v>
      </c>
    </row>
    <row r="6" spans="1:9" x14ac:dyDescent="0.3">
      <c r="A6" t="s">
        <v>16</v>
      </c>
      <c r="B6" t="s">
        <v>20</v>
      </c>
      <c r="C6" t="s">
        <v>22</v>
      </c>
      <c r="D6" t="s">
        <v>5</v>
      </c>
      <c r="E6">
        <v>5601</v>
      </c>
      <c r="F6">
        <v>206.04</v>
      </c>
      <c r="G6">
        <f>'d131 #1'!F7</f>
        <v>3.65</v>
      </c>
      <c r="H6">
        <v>3.3</v>
      </c>
      <c r="I6">
        <f t="shared" si="0"/>
        <v>0.35000000000000009</v>
      </c>
    </row>
    <row r="7" spans="1:9" x14ac:dyDescent="0.3">
      <c r="A7" t="s">
        <v>16</v>
      </c>
      <c r="B7" t="s">
        <v>20</v>
      </c>
      <c r="C7" t="s">
        <v>22</v>
      </c>
      <c r="D7" t="s">
        <v>6</v>
      </c>
      <c r="E7">
        <v>5743</v>
      </c>
      <c r="F7">
        <v>116.24</v>
      </c>
      <c r="G7">
        <f>'d131 #1'!F8</f>
        <v>3.4</v>
      </c>
      <c r="H7">
        <v>3.3</v>
      </c>
      <c r="I7">
        <f t="shared" si="0"/>
        <v>0.10000000000000009</v>
      </c>
    </row>
    <row r="8" spans="1:9" x14ac:dyDescent="0.3">
      <c r="A8" t="s">
        <v>16</v>
      </c>
      <c r="B8" t="s">
        <v>21</v>
      </c>
      <c r="C8" t="s">
        <v>22</v>
      </c>
      <c r="D8" t="s">
        <v>4</v>
      </c>
      <c r="E8">
        <v>2669</v>
      </c>
      <c r="F8">
        <v>24.46</v>
      </c>
      <c r="G8">
        <f>'d131 #1'!F9</f>
        <v>3.3000000000000003</v>
      </c>
      <c r="H8">
        <v>3.3</v>
      </c>
      <c r="I8">
        <f t="shared" si="0"/>
        <v>4.4408920985006262E-16</v>
      </c>
    </row>
    <row r="9" spans="1:9" x14ac:dyDescent="0.3">
      <c r="A9" t="s">
        <v>16</v>
      </c>
      <c r="B9" t="s">
        <v>21</v>
      </c>
      <c r="C9" t="s">
        <v>22</v>
      </c>
      <c r="D9" t="s">
        <v>5</v>
      </c>
      <c r="E9">
        <v>5566</v>
      </c>
      <c r="F9">
        <v>26.88</v>
      </c>
      <c r="G9">
        <f>'d131 #1'!F10</f>
        <v>3.2499999999999996</v>
      </c>
      <c r="H9">
        <v>3.05</v>
      </c>
      <c r="I9">
        <f t="shared" si="0"/>
        <v>0.19999999999999973</v>
      </c>
    </row>
    <row r="10" spans="1:9" x14ac:dyDescent="0.3">
      <c r="A10" t="s">
        <v>16</v>
      </c>
      <c r="B10" t="s">
        <v>21</v>
      </c>
      <c r="C10" t="s">
        <v>22</v>
      </c>
      <c r="D10" t="s">
        <v>6</v>
      </c>
      <c r="E10">
        <v>5705</v>
      </c>
      <c r="F10">
        <v>24.95</v>
      </c>
      <c r="G10">
        <f>'d131 #1'!F11</f>
        <v>3.4</v>
      </c>
      <c r="H10">
        <v>3.3</v>
      </c>
      <c r="I10">
        <f t="shared" si="0"/>
        <v>0.10000000000000009</v>
      </c>
    </row>
    <row r="11" spans="1:9" x14ac:dyDescent="0.3">
      <c r="A11" t="s">
        <v>33</v>
      </c>
      <c r="B11" t="s">
        <v>19</v>
      </c>
      <c r="C11" t="s">
        <v>22</v>
      </c>
      <c r="D11" t="s">
        <v>4</v>
      </c>
      <c r="E11">
        <v>1927</v>
      </c>
      <c r="F11">
        <v>43.72</v>
      </c>
      <c r="G11">
        <f>'d393 #1'!F3</f>
        <v>4.3499999999999996</v>
      </c>
      <c r="H11">
        <v>4.7</v>
      </c>
      <c r="I11">
        <f t="shared" ref="I11:I19" si="1" xml:space="preserve"> ABS(H11-G11)</f>
        <v>0.35000000000000053</v>
      </c>
    </row>
    <row r="12" spans="1:9" x14ac:dyDescent="0.3">
      <c r="A12" t="s">
        <v>33</v>
      </c>
      <c r="B12" t="s">
        <v>19</v>
      </c>
      <c r="C12" t="s">
        <v>22</v>
      </c>
      <c r="D12" t="s">
        <v>5</v>
      </c>
      <c r="E12">
        <v>4317</v>
      </c>
      <c r="F12">
        <v>72.33</v>
      </c>
      <c r="G12">
        <f>'d393 #1'!F4</f>
        <v>4.2</v>
      </c>
      <c r="H12">
        <v>4.2</v>
      </c>
      <c r="I12">
        <f t="shared" si="1"/>
        <v>0</v>
      </c>
    </row>
    <row r="13" spans="1:9" x14ac:dyDescent="0.3">
      <c r="A13" t="s">
        <v>33</v>
      </c>
      <c r="B13" t="s">
        <v>19</v>
      </c>
      <c r="C13" t="s">
        <v>22</v>
      </c>
      <c r="D13" t="s">
        <v>6</v>
      </c>
      <c r="E13">
        <v>4547</v>
      </c>
      <c r="F13">
        <v>57.89</v>
      </c>
      <c r="G13">
        <f>'d393 #1'!F5</f>
        <v>4.2</v>
      </c>
      <c r="H13">
        <v>4.0999999999999996</v>
      </c>
      <c r="I13">
        <f t="shared" si="1"/>
        <v>0.10000000000000053</v>
      </c>
    </row>
    <row r="14" spans="1:9" x14ac:dyDescent="0.3">
      <c r="A14" t="s">
        <v>33</v>
      </c>
      <c r="B14" t="s">
        <v>20</v>
      </c>
      <c r="C14" t="s">
        <v>22</v>
      </c>
      <c r="D14" t="s">
        <v>4</v>
      </c>
      <c r="E14">
        <v>1549</v>
      </c>
      <c r="F14">
        <v>97.2</v>
      </c>
      <c r="G14">
        <f>'d393 #1'!F6</f>
        <v>3.5500000000000003</v>
      </c>
      <c r="H14">
        <v>3.8</v>
      </c>
      <c r="I14">
        <f t="shared" si="1"/>
        <v>0.24999999999999956</v>
      </c>
    </row>
    <row r="15" spans="1:9" x14ac:dyDescent="0.3">
      <c r="A15" t="s">
        <v>33</v>
      </c>
      <c r="B15" t="s">
        <v>20</v>
      </c>
      <c r="C15" t="s">
        <v>22</v>
      </c>
      <c r="D15" t="s">
        <v>5</v>
      </c>
      <c r="E15">
        <v>3064</v>
      </c>
      <c r="F15">
        <v>116.94</v>
      </c>
      <c r="G15">
        <f>'d393 #1'!F7</f>
        <v>3.9000000000000004</v>
      </c>
      <c r="H15">
        <v>3.9</v>
      </c>
      <c r="I15">
        <f t="shared" si="1"/>
        <v>4.4408920985006262E-16</v>
      </c>
    </row>
    <row r="16" spans="1:9" x14ac:dyDescent="0.3">
      <c r="A16" t="s">
        <v>33</v>
      </c>
      <c r="B16" t="s">
        <v>20</v>
      </c>
      <c r="C16" t="s">
        <v>22</v>
      </c>
      <c r="D16" t="s">
        <v>6</v>
      </c>
      <c r="E16">
        <v>3205</v>
      </c>
      <c r="F16">
        <v>121.81</v>
      </c>
      <c r="G16">
        <f>'d393 #1'!F8</f>
        <v>4.55</v>
      </c>
      <c r="H16">
        <v>4.5999999999999996</v>
      </c>
      <c r="I16">
        <f t="shared" si="1"/>
        <v>4.9999999999999822E-2</v>
      </c>
    </row>
    <row r="17" spans="1:9" x14ac:dyDescent="0.3">
      <c r="A17" t="s">
        <v>33</v>
      </c>
      <c r="B17" t="s">
        <v>21</v>
      </c>
      <c r="C17" t="s">
        <v>22</v>
      </c>
      <c r="D17" t="s">
        <v>4</v>
      </c>
      <c r="E17">
        <v>1550</v>
      </c>
      <c r="F17">
        <v>28.43</v>
      </c>
      <c r="G17">
        <f>'d393 #1'!F9</f>
        <v>4.0999999999999996</v>
      </c>
      <c r="H17">
        <v>4.0999999999999996</v>
      </c>
      <c r="I17">
        <f t="shared" si="1"/>
        <v>0</v>
      </c>
    </row>
    <row r="18" spans="1:9" x14ac:dyDescent="0.3">
      <c r="A18" t="s">
        <v>33</v>
      </c>
      <c r="B18" t="s">
        <v>21</v>
      </c>
      <c r="C18" t="s">
        <v>22</v>
      </c>
      <c r="D18" t="s">
        <v>5</v>
      </c>
      <c r="E18">
        <v>3034</v>
      </c>
      <c r="F18">
        <v>11.72</v>
      </c>
      <c r="G18">
        <f>'d393 #1'!F10</f>
        <v>3.9499999999999997</v>
      </c>
      <c r="H18">
        <v>3.85</v>
      </c>
      <c r="I18">
        <f t="shared" si="1"/>
        <v>9.9999999999999645E-2</v>
      </c>
    </row>
    <row r="19" spans="1:9" x14ac:dyDescent="0.3">
      <c r="A19" t="s">
        <v>33</v>
      </c>
      <c r="B19" t="s">
        <v>21</v>
      </c>
      <c r="C19" t="s">
        <v>22</v>
      </c>
      <c r="D19" t="s">
        <v>6</v>
      </c>
      <c r="E19">
        <v>3172</v>
      </c>
      <c r="F19">
        <v>27.51</v>
      </c>
      <c r="G19">
        <f>'d393 #1'!F11</f>
        <v>3.9</v>
      </c>
      <c r="H19">
        <v>3.8</v>
      </c>
      <c r="I19">
        <f t="shared" si="1"/>
        <v>0.10000000000000009</v>
      </c>
    </row>
    <row r="20" spans="1:9" x14ac:dyDescent="0.3">
      <c r="A20" t="s">
        <v>18</v>
      </c>
      <c r="B20" t="s">
        <v>19</v>
      </c>
      <c r="C20" t="s">
        <v>22</v>
      </c>
      <c r="D20" t="s">
        <v>4</v>
      </c>
      <c r="E20">
        <v>3930</v>
      </c>
      <c r="F20">
        <v>60.04</v>
      </c>
      <c r="G20">
        <f>'d1456 #1'!F3</f>
        <v>4.0999999999999996</v>
      </c>
      <c r="H20">
        <v>4.0999999999999996</v>
      </c>
      <c r="I20">
        <f t="shared" si="0"/>
        <v>0</v>
      </c>
    </row>
    <row r="21" spans="1:9" x14ac:dyDescent="0.3">
      <c r="A21" t="s">
        <v>18</v>
      </c>
      <c r="B21" t="s">
        <v>19</v>
      </c>
      <c r="C21" t="s">
        <v>22</v>
      </c>
      <c r="D21" t="s">
        <v>5</v>
      </c>
      <c r="E21">
        <v>8680</v>
      </c>
      <c r="F21">
        <v>55.56</v>
      </c>
      <c r="G21">
        <f>'d1456 #1'!F4</f>
        <v>4.2</v>
      </c>
      <c r="H21">
        <v>4.2</v>
      </c>
      <c r="I21">
        <f t="shared" si="0"/>
        <v>0</v>
      </c>
    </row>
    <row r="22" spans="1:9" x14ac:dyDescent="0.3">
      <c r="A22" t="s">
        <v>18</v>
      </c>
      <c r="B22" t="s">
        <v>19</v>
      </c>
      <c r="C22" t="s">
        <v>22</v>
      </c>
      <c r="D22" t="s">
        <v>6</v>
      </c>
      <c r="E22">
        <v>8914</v>
      </c>
      <c r="F22">
        <v>67</v>
      </c>
      <c r="G22">
        <f>'d1456 #1'!F5</f>
        <v>3.9</v>
      </c>
      <c r="H22">
        <v>4.1500000000000004</v>
      </c>
      <c r="I22">
        <f t="shared" si="0"/>
        <v>0.25000000000000044</v>
      </c>
    </row>
    <row r="23" spans="1:9" x14ac:dyDescent="0.3">
      <c r="A23" t="s">
        <v>18</v>
      </c>
      <c r="B23" t="s">
        <v>20</v>
      </c>
      <c r="C23" t="s">
        <v>22</v>
      </c>
      <c r="D23" t="s">
        <v>4</v>
      </c>
      <c r="E23">
        <v>2668</v>
      </c>
      <c r="F23">
        <v>86.88</v>
      </c>
      <c r="G23">
        <f>'d1456 #1'!F6</f>
        <v>3.6500000000000004</v>
      </c>
      <c r="H23">
        <v>3.9</v>
      </c>
      <c r="I23">
        <f t="shared" si="0"/>
        <v>0.24999999999999956</v>
      </c>
    </row>
    <row r="24" spans="1:9" x14ac:dyDescent="0.3">
      <c r="A24" t="s">
        <v>18</v>
      </c>
      <c r="B24" t="s">
        <v>20</v>
      </c>
      <c r="C24" t="s">
        <v>22</v>
      </c>
      <c r="D24" t="s">
        <v>5</v>
      </c>
      <c r="E24">
        <v>5480</v>
      </c>
      <c r="F24">
        <v>92.22</v>
      </c>
      <c r="G24">
        <f>'d1456 #1'!F7</f>
        <v>3.45</v>
      </c>
      <c r="H24">
        <v>3.55</v>
      </c>
      <c r="I24">
        <f t="shared" si="0"/>
        <v>9.9999999999999645E-2</v>
      </c>
    </row>
    <row r="25" spans="1:9" x14ac:dyDescent="0.3">
      <c r="A25" t="s">
        <v>18</v>
      </c>
      <c r="B25" t="s">
        <v>20</v>
      </c>
      <c r="C25" t="s">
        <v>22</v>
      </c>
      <c r="D25" t="s">
        <v>6</v>
      </c>
      <c r="E25">
        <v>5622</v>
      </c>
      <c r="F25">
        <v>82.61</v>
      </c>
      <c r="G25">
        <f>'d1456 #1'!F8</f>
        <v>3.8000000000000003</v>
      </c>
      <c r="H25">
        <v>3.85</v>
      </c>
      <c r="I25">
        <f t="shared" si="0"/>
        <v>4.9999999999999822E-2</v>
      </c>
    </row>
    <row r="26" spans="1:9" x14ac:dyDescent="0.3">
      <c r="A26" t="s">
        <v>18</v>
      </c>
      <c r="B26" t="s">
        <v>21</v>
      </c>
      <c r="C26" t="s">
        <v>22</v>
      </c>
      <c r="D26" t="s">
        <v>4</v>
      </c>
      <c r="E26">
        <v>2670</v>
      </c>
      <c r="F26">
        <v>21.64</v>
      </c>
      <c r="G26">
        <f>'d1456 #1'!F9</f>
        <v>3.65</v>
      </c>
      <c r="H26">
        <v>3.55</v>
      </c>
      <c r="I26">
        <f t="shared" si="0"/>
        <v>0.10000000000000009</v>
      </c>
    </row>
    <row r="27" spans="1:9" x14ac:dyDescent="0.3">
      <c r="A27" t="s">
        <v>18</v>
      </c>
      <c r="B27" t="s">
        <v>21</v>
      </c>
      <c r="C27" t="s">
        <v>22</v>
      </c>
      <c r="D27" t="s">
        <v>5</v>
      </c>
      <c r="E27">
        <v>5450</v>
      </c>
      <c r="F27">
        <v>34.479999999999997</v>
      </c>
      <c r="G27">
        <f>'d1456 #1'!F10</f>
        <v>4.0999999999999996</v>
      </c>
      <c r="H27">
        <v>4.0999999999999996</v>
      </c>
      <c r="I27">
        <f t="shared" si="0"/>
        <v>0</v>
      </c>
    </row>
    <row r="28" spans="1:9" x14ac:dyDescent="0.3">
      <c r="A28" t="s">
        <v>18</v>
      </c>
      <c r="B28" t="s">
        <v>21</v>
      </c>
      <c r="C28" t="s">
        <v>22</v>
      </c>
      <c r="D28" t="s">
        <v>6</v>
      </c>
      <c r="E28">
        <v>5589</v>
      </c>
      <c r="F28">
        <v>46.06</v>
      </c>
      <c r="G28">
        <f>'d1456 #1'!F11</f>
        <v>3.8499999999999996</v>
      </c>
      <c r="H28">
        <v>3.85</v>
      </c>
      <c r="I28">
        <f t="shared" si="0"/>
        <v>4.4408920985006262E-16</v>
      </c>
    </row>
    <row r="29" spans="1:9" x14ac:dyDescent="0.3">
      <c r="A29" t="s">
        <v>34</v>
      </c>
      <c r="B29" t="s">
        <v>19</v>
      </c>
      <c r="C29" t="s">
        <v>22</v>
      </c>
      <c r="D29" t="s">
        <v>4</v>
      </c>
      <c r="E29">
        <v>3929</v>
      </c>
      <c r="F29">
        <v>52.85</v>
      </c>
      <c r="G29">
        <f>'d3235 #1'!F3</f>
        <v>3.75</v>
      </c>
      <c r="H29">
        <v>3.85</v>
      </c>
      <c r="I29">
        <f t="shared" si="0"/>
        <v>0.10000000000000009</v>
      </c>
    </row>
    <row r="30" spans="1:9" x14ac:dyDescent="0.3">
      <c r="A30" t="s">
        <v>34</v>
      </c>
      <c r="B30" t="s">
        <v>19</v>
      </c>
      <c r="C30" t="s">
        <v>22</v>
      </c>
      <c r="D30" t="s">
        <v>5</v>
      </c>
      <c r="E30">
        <v>8653</v>
      </c>
      <c r="F30">
        <v>63.44</v>
      </c>
      <c r="G30">
        <f>'d3235 #1'!F4</f>
        <v>4.2</v>
      </c>
      <c r="H30">
        <v>4.1500000000000004</v>
      </c>
      <c r="I30">
        <f t="shared" si="0"/>
        <v>4.9999999999999822E-2</v>
      </c>
    </row>
    <row r="31" spans="1:9" x14ac:dyDescent="0.3">
      <c r="A31" t="s">
        <v>34</v>
      </c>
      <c r="B31" t="s">
        <v>19</v>
      </c>
      <c r="C31" t="s">
        <v>22</v>
      </c>
      <c r="D31" t="s">
        <v>6</v>
      </c>
      <c r="E31">
        <v>8888</v>
      </c>
      <c r="F31">
        <v>64.31</v>
      </c>
      <c r="G31">
        <f>'d3235 #1'!F5</f>
        <v>3.9</v>
      </c>
      <c r="H31">
        <v>3.8</v>
      </c>
      <c r="I31">
        <f t="shared" si="0"/>
        <v>0.10000000000000009</v>
      </c>
    </row>
    <row r="32" spans="1:9" x14ac:dyDescent="0.3">
      <c r="A32" t="s">
        <v>34</v>
      </c>
      <c r="B32" t="s">
        <v>20</v>
      </c>
      <c r="C32" t="s">
        <v>22</v>
      </c>
      <c r="D32" t="s">
        <v>4</v>
      </c>
      <c r="E32">
        <v>2670</v>
      </c>
      <c r="F32">
        <v>87.94</v>
      </c>
      <c r="G32">
        <f>'d3235 #1'!F6</f>
        <v>3.9999999999999996</v>
      </c>
      <c r="H32">
        <v>4.25</v>
      </c>
      <c r="I32">
        <f t="shared" si="0"/>
        <v>0.25000000000000044</v>
      </c>
    </row>
    <row r="33" spans="1:9" x14ac:dyDescent="0.3">
      <c r="A33" t="s">
        <v>34</v>
      </c>
      <c r="B33" t="s">
        <v>20</v>
      </c>
      <c r="C33" t="s">
        <v>22</v>
      </c>
      <c r="D33" t="s">
        <v>5</v>
      </c>
      <c r="E33">
        <v>5486</v>
      </c>
      <c r="F33">
        <v>50.65</v>
      </c>
      <c r="G33">
        <f>'d3235 #1'!F7</f>
        <v>3.8000000000000003</v>
      </c>
      <c r="H33">
        <v>3.8</v>
      </c>
      <c r="I33">
        <f t="shared" si="0"/>
        <v>4.4408920985006262E-16</v>
      </c>
    </row>
    <row r="34" spans="1:9" x14ac:dyDescent="0.3">
      <c r="A34" t="s">
        <v>34</v>
      </c>
      <c r="B34" t="s">
        <v>20</v>
      </c>
      <c r="C34" t="s">
        <v>22</v>
      </c>
      <c r="D34" t="s">
        <v>6</v>
      </c>
      <c r="E34">
        <v>5628</v>
      </c>
      <c r="F34">
        <v>106.3</v>
      </c>
      <c r="G34">
        <f>'d3235 #1'!F8</f>
        <v>4.0999999999999996</v>
      </c>
      <c r="H34">
        <v>4.0999999999999996</v>
      </c>
      <c r="I34">
        <f t="shared" si="0"/>
        <v>0</v>
      </c>
    </row>
    <row r="35" spans="1:9" x14ac:dyDescent="0.3">
      <c r="A35" t="s">
        <v>34</v>
      </c>
      <c r="B35" t="s">
        <v>21</v>
      </c>
      <c r="C35" t="s">
        <v>22</v>
      </c>
      <c r="D35" t="s">
        <v>4</v>
      </c>
      <c r="E35">
        <v>2671</v>
      </c>
      <c r="F35">
        <v>37.19</v>
      </c>
      <c r="G35">
        <f>'d3235 #1'!F9</f>
        <v>4.5500000000000007</v>
      </c>
      <c r="H35">
        <v>4.55</v>
      </c>
      <c r="I35">
        <f t="shared" si="0"/>
        <v>8.8817841970012523E-16</v>
      </c>
    </row>
    <row r="36" spans="1:9" x14ac:dyDescent="0.3">
      <c r="A36" t="s">
        <v>34</v>
      </c>
      <c r="B36" t="s">
        <v>21</v>
      </c>
      <c r="C36" t="s">
        <v>22</v>
      </c>
      <c r="D36" t="s">
        <v>5</v>
      </c>
      <c r="E36">
        <v>5456</v>
      </c>
      <c r="F36">
        <v>89.83</v>
      </c>
      <c r="G36">
        <f>'d3235 #1'!F10</f>
        <v>3.9499999999999997</v>
      </c>
      <c r="H36">
        <v>3.85</v>
      </c>
      <c r="I36">
        <f t="shared" si="0"/>
        <v>9.9999999999999645E-2</v>
      </c>
    </row>
    <row r="37" spans="1:9" x14ac:dyDescent="0.3">
      <c r="A37" t="s">
        <v>34</v>
      </c>
      <c r="B37" t="s">
        <v>21</v>
      </c>
      <c r="C37" t="s">
        <v>22</v>
      </c>
      <c r="D37" t="s">
        <v>6</v>
      </c>
      <c r="E37">
        <v>5595</v>
      </c>
      <c r="F37">
        <v>50.28</v>
      </c>
      <c r="G37">
        <f>'d3235 #1'!F11</f>
        <v>3.4</v>
      </c>
      <c r="H37">
        <v>3.3</v>
      </c>
      <c r="I37">
        <f t="shared" si="0"/>
        <v>0.10000000000000009</v>
      </c>
    </row>
    <row r="38" spans="1:9" x14ac:dyDescent="0.3">
      <c r="A38" t="s">
        <v>16</v>
      </c>
      <c r="B38" t="s">
        <v>19</v>
      </c>
      <c r="C38" t="s">
        <v>23</v>
      </c>
      <c r="D38" t="s">
        <v>4</v>
      </c>
      <c r="E38">
        <v>4296</v>
      </c>
      <c r="F38">
        <v>64.09</v>
      </c>
      <c r="G38">
        <f>'d131 #2'!F3</f>
        <v>2.95</v>
      </c>
      <c r="H38">
        <v>2.85</v>
      </c>
      <c r="I38">
        <f t="shared" ref="I38:I46" si="2" xml:space="preserve"> ABS(H38-G38)</f>
        <v>0.10000000000000009</v>
      </c>
    </row>
    <row r="39" spans="1:9" x14ac:dyDescent="0.3">
      <c r="A39" t="s">
        <v>16</v>
      </c>
      <c r="B39" t="s">
        <v>19</v>
      </c>
      <c r="C39" t="s">
        <v>23</v>
      </c>
      <c r="D39" t="s">
        <v>5</v>
      </c>
      <c r="E39">
        <v>12637</v>
      </c>
      <c r="F39">
        <v>59.2</v>
      </c>
      <c r="G39">
        <f>'d131 #2'!F4</f>
        <v>3.6500000000000004</v>
      </c>
      <c r="H39">
        <v>3.65</v>
      </c>
      <c r="I39">
        <f t="shared" si="2"/>
        <v>4.4408920985006262E-16</v>
      </c>
    </row>
    <row r="40" spans="1:9" x14ac:dyDescent="0.3">
      <c r="A40" t="s">
        <v>16</v>
      </c>
      <c r="B40" t="s">
        <v>19</v>
      </c>
      <c r="C40" t="s">
        <v>23</v>
      </c>
      <c r="D40" t="s">
        <v>6</v>
      </c>
      <c r="E40">
        <v>14036</v>
      </c>
      <c r="F40">
        <v>65.959999999999994</v>
      </c>
      <c r="G40">
        <f>'d131 #2'!F5</f>
        <v>3.9</v>
      </c>
      <c r="H40">
        <v>4</v>
      </c>
      <c r="I40">
        <f t="shared" si="2"/>
        <v>0.10000000000000009</v>
      </c>
    </row>
    <row r="41" spans="1:9" x14ac:dyDescent="0.3">
      <c r="A41" t="s">
        <v>16</v>
      </c>
      <c r="B41" t="s">
        <v>20</v>
      </c>
      <c r="C41" t="s">
        <v>23</v>
      </c>
      <c r="D41" t="s">
        <v>4</v>
      </c>
      <c r="E41">
        <v>3412</v>
      </c>
      <c r="F41">
        <v>63.83</v>
      </c>
      <c r="G41">
        <f>'d131 #2'!F6</f>
        <v>4</v>
      </c>
      <c r="H41">
        <v>3.9</v>
      </c>
      <c r="I41">
        <f t="shared" si="2"/>
        <v>0.10000000000000009</v>
      </c>
    </row>
    <row r="42" spans="1:9" x14ac:dyDescent="0.3">
      <c r="A42" t="s">
        <v>16</v>
      </c>
      <c r="B42" t="s">
        <v>20</v>
      </c>
      <c r="C42" t="s">
        <v>23</v>
      </c>
      <c r="D42" t="s">
        <v>5</v>
      </c>
      <c r="E42">
        <v>9998</v>
      </c>
      <c r="F42">
        <v>54.91</v>
      </c>
      <c r="G42">
        <f>'d131 #2'!F7</f>
        <v>4.0999999999999996</v>
      </c>
      <c r="H42">
        <v>4.25</v>
      </c>
      <c r="I42">
        <f t="shared" si="2"/>
        <v>0.15000000000000036</v>
      </c>
    </row>
    <row r="43" spans="1:9" x14ac:dyDescent="0.3">
      <c r="A43" t="s">
        <v>16</v>
      </c>
      <c r="B43" t="s">
        <v>20</v>
      </c>
      <c r="C43" t="s">
        <v>23</v>
      </c>
      <c r="D43" t="s">
        <v>6</v>
      </c>
      <c r="E43">
        <v>10853</v>
      </c>
      <c r="F43">
        <v>131.18</v>
      </c>
      <c r="G43">
        <f>'d131 #2'!F8</f>
        <v>4.1999999999999993</v>
      </c>
      <c r="H43">
        <v>4.2</v>
      </c>
      <c r="I43">
        <f t="shared" si="2"/>
        <v>8.8817841970012523E-16</v>
      </c>
    </row>
    <row r="44" spans="1:9" x14ac:dyDescent="0.3">
      <c r="A44" t="s">
        <v>16</v>
      </c>
      <c r="B44" t="s">
        <v>21</v>
      </c>
      <c r="C44" t="s">
        <v>23</v>
      </c>
      <c r="D44" t="s">
        <v>4</v>
      </c>
      <c r="E44">
        <v>3346</v>
      </c>
      <c r="F44">
        <v>29.02</v>
      </c>
      <c r="G44">
        <f>'d131 #2'!F9</f>
        <v>3.65</v>
      </c>
      <c r="H44">
        <v>3.55</v>
      </c>
      <c r="I44">
        <f t="shared" si="2"/>
        <v>0.10000000000000009</v>
      </c>
    </row>
    <row r="45" spans="1:9" x14ac:dyDescent="0.3">
      <c r="A45" t="s">
        <v>16</v>
      </c>
      <c r="B45" t="s">
        <v>21</v>
      </c>
      <c r="C45" t="s">
        <v>23</v>
      </c>
      <c r="D45" t="s">
        <v>5</v>
      </c>
      <c r="E45">
        <v>9689</v>
      </c>
      <c r="F45">
        <v>47.76</v>
      </c>
      <c r="G45">
        <f>'d131 #2'!F10</f>
        <v>4.3</v>
      </c>
      <c r="H45">
        <v>4.25</v>
      </c>
      <c r="I45">
        <f t="shared" si="2"/>
        <v>4.9999999999999822E-2</v>
      </c>
    </row>
    <row r="46" spans="1:9" x14ac:dyDescent="0.3">
      <c r="A46" t="s">
        <v>16</v>
      </c>
      <c r="B46" t="s">
        <v>21</v>
      </c>
      <c r="C46" t="s">
        <v>23</v>
      </c>
      <c r="D46" t="s">
        <v>6</v>
      </c>
      <c r="E46">
        <v>10521</v>
      </c>
      <c r="F46">
        <v>39.33</v>
      </c>
      <c r="G46">
        <f>'d131 #2'!F11</f>
        <v>3.5500000000000003</v>
      </c>
      <c r="H46">
        <v>3.55</v>
      </c>
      <c r="I46">
        <f t="shared" si="2"/>
        <v>4.4408920985006262E-16</v>
      </c>
    </row>
    <row r="47" spans="1:9" x14ac:dyDescent="0.3">
      <c r="A47" t="s">
        <v>33</v>
      </c>
      <c r="B47" t="s">
        <v>19</v>
      </c>
      <c r="C47" t="s">
        <v>23</v>
      </c>
      <c r="D47" t="s">
        <v>4</v>
      </c>
      <c r="E47">
        <v>3612</v>
      </c>
      <c r="F47">
        <v>172.93</v>
      </c>
      <c r="G47">
        <f>'d393 #2'!F3</f>
        <v>4.0999999999999996</v>
      </c>
      <c r="H47">
        <v>4.2</v>
      </c>
      <c r="I47">
        <f t="shared" si="0"/>
        <v>0.10000000000000053</v>
      </c>
    </row>
    <row r="48" spans="1:9" x14ac:dyDescent="0.3">
      <c r="A48" t="s">
        <v>33</v>
      </c>
      <c r="B48" t="s">
        <v>19</v>
      </c>
      <c r="C48" t="s">
        <v>23</v>
      </c>
      <c r="D48" t="s">
        <v>5</v>
      </c>
      <c r="E48">
        <v>9140</v>
      </c>
      <c r="F48">
        <v>277.33999999999997</v>
      </c>
      <c r="G48">
        <f>'d393 #2'!F4</f>
        <v>4.0999999999999996</v>
      </c>
      <c r="H48">
        <v>4.2</v>
      </c>
      <c r="I48">
        <f t="shared" si="0"/>
        <v>0.10000000000000053</v>
      </c>
    </row>
    <row r="49" spans="1:9" x14ac:dyDescent="0.3">
      <c r="A49" t="s">
        <v>33</v>
      </c>
      <c r="B49" t="s">
        <v>19</v>
      </c>
      <c r="C49" t="s">
        <v>23</v>
      </c>
      <c r="D49" t="s">
        <v>6</v>
      </c>
      <c r="E49">
        <v>10298</v>
      </c>
      <c r="F49">
        <v>126.77</v>
      </c>
      <c r="G49">
        <f>'d393 #2'!F5</f>
        <v>4.1999999999999993</v>
      </c>
      <c r="H49">
        <v>4.25</v>
      </c>
      <c r="I49">
        <f t="shared" si="0"/>
        <v>5.0000000000000711E-2</v>
      </c>
    </row>
    <row r="50" spans="1:9" x14ac:dyDescent="0.3">
      <c r="A50" t="s">
        <v>33</v>
      </c>
      <c r="B50" t="s">
        <v>20</v>
      </c>
      <c r="C50" t="s">
        <v>23</v>
      </c>
      <c r="D50" t="s">
        <v>4</v>
      </c>
      <c r="E50">
        <v>2903</v>
      </c>
      <c r="F50">
        <v>86.28</v>
      </c>
      <c r="G50">
        <f>'d393 #2'!F6</f>
        <v>4.0999999999999996</v>
      </c>
      <c r="H50">
        <v>4.25</v>
      </c>
      <c r="I50">
        <f t="shared" si="0"/>
        <v>0.15000000000000036</v>
      </c>
    </row>
    <row r="51" spans="1:9" x14ac:dyDescent="0.3">
      <c r="A51" t="s">
        <v>33</v>
      </c>
      <c r="B51" t="s">
        <v>20</v>
      </c>
      <c r="C51" t="s">
        <v>23</v>
      </c>
      <c r="D51" t="s">
        <v>5</v>
      </c>
      <c r="E51">
        <v>7275</v>
      </c>
      <c r="F51">
        <v>169.79</v>
      </c>
      <c r="G51">
        <f>'d393 #2'!F7</f>
        <v>3.9</v>
      </c>
      <c r="H51">
        <v>4.0999999999999996</v>
      </c>
      <c r="I51">
        <f t="shared" si="0"/>
        <v>0.19999999999999973</v>
      </c>
    </row>
    <row r="52" spans="1:9" x14ac:dyDescent="0.3">
      <c r="A52" t="s">
        <v>33</v>
      </c>
      <c r="B52" t="s">
        <v>20</v>
      </c>
      <c r="C52" t="s">
        <v>23</v>
      </c>
      <c r="D52" t="s">
        <v>6</v>
      </c>
      <c r="E52">
        <v>7985</v>
      </c>
      <c r="F52">
        <v>164.39</v>
      </c>
      <c r="G52">
        <f>'d393 #2'!F8</f>
        <v>4.6999999999999993</v>
      </c>
      <c r="H52">
        <v>4.7</v>
      </c>
      <c r="I52">
        <f t="shared" si="0"/>
        <v>8.8817841970012523E-16</v>
      </c>
    </row>
    <row r="53" spans="1:9" x14ac:dyDescent="0.3">
      <c r="A53" t="s">
        <v>33</v>
      </c>
      <c r="B53" t="s">
        <v>21</v>
      </c>
      <c r="C53" t="s">
        <v>23</v>
      </c>
      <c r="D53" t="s">
        <v>4</v>
      </c>
      <c r="E53">
        <v>2841</v>
      </c>
      <c r="F53">
        <v>24.02</v>
      </c>
      <c r="G53">
        <f>'d393 #2'!F9</f>
        <v>4.5500000000000007</v>
      </c>
      <c r="H53">
        <v>4.55</v>
      </c>
      <c r="I53">
        <f t="shared" si="0"/>
        <v>8.8817841970012523E-16</v>
      </c>
    </row>
    <row r="54" spans="1:9" x14ac:dyDescent="0.3">
      <c r="A54" t="s">
        <v>33</v>
      </c>
      <c r="B54" t="s">
        <v>21</v>
      </c>
      <c r="C54" t="s">
        <v>23</v>
      </c>
      <c r="D54" t="s">
        <v>5</v>
      </c>
      <c r="E54">
        <v>7025</v>
      </c>
      <c r="F54">
        <v>43.89</v>
      </c>
      <c r="G54">
        <f>'d393 #2'!F10</f>
        <v>3.8499999999999996</v>
      </c>
      <c r="H54">
        <v>3.85</v>
      </c>
      <c r="I54">
        <f t="shared" si="0"/>
        <v>4.4408920985006262E-16</v>
      </c>
    </row>
    <row r="55" spans="1:9" x14ac:dyDescent="0.3">
      <c r="A55" t="s">
        <v>33</v>
      </c>
      <c r="B55" t="s">
        <v>21</v>
      </c>
      <c r="C55" t="s">
        <v>23</v>
      </c>
      <c r="D55" t="s">
        <v>6</v>
      </c>
      <c r="E55">
        <v>7716</v>
      </c>
      <c r="F55">
        <v>35.56</v>
      </c>
      <c r="G55">
        <f>'d393 #2'!F11</f>
        <v>4.4000000000000004</v>
      </c>
      <c r="H55">
        <v>4.4000000000000004</v>
      </c>
      <c r="I55">
        <f t="shared" si="0"/>
        <v>0</v>
      </c>
    </row>
    <row r="56" spans="1:9" x14ac:dyDescent="0.3">
      <c r="A56" t="s">
        <v>18</v>
      </c>
      <c r="B56" t="s">
        <v>19</v>
      </c>
      <c r="C56" t="s">
        <v>23</v>
      </c>
      <c r="D56" t="s">
        <v>4</v>
      </c>
      <c r="E56">
        <v>3764</v>
      </c>
      <c r="F56">
        <v>135.57</v>
      </c>
      <c r="G56">
        <f>'d1456 #2'!F3</f>
        <v>3.9000000000000004</v>
      </c>
      <c r="H56">
        <v>4.05</v>
      </c>
      <c r="I56">
        <f t="shared" si="0"/>
        <v>0.14999999999999947</v>
      </c>
    </row>
    <row r="57" spans="1:9" x14ac:dyDescent="0.3">
      <c r="A57" t="s">
        <v>18</v>
      </c>
      <c r="B57" t="s">
        <v>19</v>
      </c>
      <c r="C57" t="s">
        <v>23</v>
      </c>
      <c r="D57" t="s">
        <v>5</v>
      </c>
      <c r="E57">
        <v>9712</v>
      </c>
      <c r="F57">
        <v>140.74</v>
      </c>
      <c r="G57">
        <f>'d1456 #2'!F4</f>
        <v>4.0999999999999996</v>
      </c>
      <c r="H57">
        <v>4.1500000000000004</v>
      </c>
      <c r="I57">
        <f t="shared" si="0"/>
        <v>5.0000000000000711E-2</v>
      </c>
    </row>
    <row r="58" spans="1:9" x14ac:dyDescent="0.3">
      <c r="A58" t="s">
        <v>18</v>
      </c>
      <c r="B58" t="s">
        <v>19</v>
      </c>
      <c r="C58" t="s">
        <v>23</v>
      </c>
      <c r="D58" t="s">
        <v>6</v>
      </c>
      <c r="E58">
        <v>10888</v>
      </c>
      <c r="F58">
        <v>119.63</v>
      </c>
      <c r="G58">
        <f>'d1456 #2'!F5</f>
        <v>3.9000000000000004</v>
      </c>
      <c r="H58">
        <v>4</v>
      </c>
      <c r="I58">
        <f t="shared" si="0"/>
        <v>9.9999999999999645E-2</v>
      </c>
    </row>
    <row r="59" spans="1:9" x14ac:dyDescent="0.3">
      <c r="A59" t="s">
        <v>18</v>
      </c>
      <c r="B59" t="s">
        <v>20</v>
      </c>
      <c r="C59" t="s">
        <v>23</v>
      </c>
      <c r="D59" t="s">
        <v>4</v>
      </c>
      <c r="E59">
        <v>2995</v>
      </c>
      <c r="F59">
        <v>17.670000000000002</v>
      </c>
      <c r="G59">
        <f>'d1456 #2'!F6</f>
        <v>4</v>
      </c>
      <c r="H59">
        <v>4.05</v>
      </c>
      <c r="I59">
        <f t="shared" si="0"/>
        <v>4.9999999999999822E-2</v>
      </c>
    </row>
    <row r="60" spans="1:9" x14ac:dyDescent="0.3">
      <c r="A60" t="s">
        <v>18</v>
      </c>
      <c r="B60" t="s">
        <v>20</v>
      </c>
      <c r="C60" t="s">
        <v>23</v>
      </c>
      <c r="D60" t="s">
        <v>5</v>
      </c>
      <c r="E60">
        <v>7694</v>
      </c>
      <c r="F60">
        <v>22.4</v>
      </c>
      <c r="G60">
        <f>'d1456 #2'!F7</f>
        <v>3.1999999999999997</v>
      </c>
      <c r="H60">
        <v>3.25</v>
      </c>
      <c r="I60">
        <f t="shared" si="0"/>
        <v>5.0000000000000266E-2</v>
      </c>
    </row>
    <row r="61" spans="1:9" x14ac:dyDescent="0.3">
      <c r="A61" t="s">
        <v>18</v>
      </c>
      <c r="B61" t="s">
        <v>20</v>
      </c>
      <c r="C61" t="s">
        <v>23</v>
      </c>
      <c r="D61" t="s">
        <v>6</v>
      </c>
      <c r="E61">
        <v>8407</v>
      </c>
      <c r="F61">
        <v>22.76</v>
      </c>
      <c r="G61">
        <f>'d1456 #2'!F8</f>
        <v>4.2</v>
      </c>
      <c r="H61">
        <v>4.0999999999999996</v>
      </c>
      <c r="I61">
        <f t="shared" si="0"/>
        <v>0.10000000000000053</v>
      </c>
    </row>
    <row r="62" spans="1:9" x14ac:dyDescent="0.3">
      <c r="A62" t="s">
        <v>18</v>
      </c>
      <c r="B62" t="s">
        <v>21</v>
      </c>
      <c r="C62" t="s">
        <v>23</v>
      </c>
      <c r="D62" t="s">
        <v>4</v>
      </c>
      <c r="E62">
        <v>2954</v>
      </c>
      <c r="F62">
        <v>22.56</v>
      </c>
      <c r="G62">
        <f>'d1456 #2'!F9</f>
        <v>3.65</v>
      </c>
      <c r="H62">
        <v>3.55</v>
      </c>
      <c r="I62">
        <f t="shared" si="0"/>
        <v>0.10000000000000009</v>
      </c>
    </row>
    <row r="63" spans="1:9" x14ac:dyDescent="0.3">
      <c r="A63" t="s">
        <v>18</v>
      </c>
      <c r="B63" t="s">
        <v>21</v>
      </c>
      <c r="C63" t="s">
        <v>23</v>
      </c>
      <c r="D63" t="s">
        <v>5</v>
      </c>
      <c r="E63">
        <v>7476</v>
      </c>
      <c r="F63">
        <v>35.4</v>
      </c>
      <c r="G63">
        <f>'d1456 #2'!F10</f>
        <v>4.0999999999999996</v>
      </c>
      <c r="H63">
        <v>4.0999999999999996</v>
      </c>
      <c r="I63">
        <f t="shared" si="0"/>
        <v>0</v>
      </c>
    </row>
    <row r="64" spans="1:9" x14ac:dyDescent="0.3">
      <c r="A64" t="s">
        <v>18</v>
      </c>
      <c r="B64" t="s">
        <v>21</v>
      </c>
      <c r="C64" t="s">
        <v>23</v>
      </c>
      <c r="D64" t="s">
        <v>6</v>
      </c>
      <c r="E64">
        <v>8170</v>
      </c>
      <c r="F64">
        <v>25.67</v>
      </c>
      <c r="G64">
        <f>'d1456 #2'!F11</f>
        <v>3.65</v>
      </c>
      <c r="H64">
        <v>3.55</v>
      </c>
      <c r="I64">
        <f t="shared" si="0"/>
        <v>0.10000000000000009</v>
      </c>
    </row>
    <row r="65" spans="1:9" x14ac:dyDescent="0.3">
      <c r="A65" t="s">
        <v>34</v>
      </c>
      <c r="B65" t="s">
        <v>19</v>
      </c>
      <c r="C65" t="s">
        <v>23</v>
      </c>
      <c r="D65" t="s">
        <v>4</v>
      </c>
      <c r="E65">
        <v>3730</v>
      </c>
      <c r="F65">
        <v>264.14</v>
      </c>
      <c r="G65">
        <f>'d3235 #2'!F3</f>
        <v>4.0999999999999996</v>
      </c>
      <c r="H65">
        <v>4.0999999999999996</v>
      </c>
      <c r="I65">
        <f t="shared" si="0"/>
        <v>0</v>
      </c>
    </row>
    <row r="66" spans="1:9" x14ac:dyDescent="0.3">
      <c r="A66" t="s">
        <v>34</v>
      </c>
      <c r="B66" t="s">
        <v>19</v>
      </c>
      <c r="C66" t="s">
        <v>23</v>
      </c>
      <c r="D66" t="s">
        <v>5</v>
      </c>
      <c r="E66">
        <v>9489</v>
      </c>
      <c r="F66">
        <v>64.040000000000006</v>
      </c>
      <c r="G66">
        <f>'d3235 #2'!F4</f>
        <v>3.65</v>
      </c>
      <c r="H66">
        <v>3.55</v>
      </c>
      <c r="I66">
        <f t="shared" si="0"/>
        <v>0.10000000000000009</v>
      </c>
    </row>
    <row r="67" spans="1:9" x14ac:dyDescent="0.3">
      <c r="A67" t="s">
        <v>34</v>
      </c>
      <c r="B67" t="s">
        <v>19</v>
      </c>
      <c r="C67" t="s">
        <v>23</v>
      </c>
      <c r="D67" t="s">
        <v>6</v>
      </c>
      <c r="E67">
        <v>10660</v>
      </c>
      <c r="F67">
        <v>50.48</v>
      </c>
      <c r="G67">
        <f>'d3235 #2'!F5</f>
        <v>3.75</v>
      </c>
      <c r="H67">
        <v>3.85</v>
      </c>
      <c r="I67">
        <f t="shared" ref="I67:I130" si="3" xml:space="preserve"> ABS(H67-G67)</f>
        <v>0.10000000000000009</v>
      </c>
    </row>
    <row r="68" spans="1:9" x14ac:dyDescent="0.3">
      <c r="A68" t="s">
        <v>34</v>
      </c>
      <c r="B68" t="s">
        <v>20</v>
      </c>
      <c r="C68" t="s">
        <v>23</v>
      </c>
      <c r="D68" t="s">
        <v>4</v>
      </c>
      <c r="E68">
        <v>2992</v>
      </c>
      <c r="F68">
        <v>17.38</v>
      </c>
      <c r="G68">
        <f>'d3235 #2'!F6</f>
        <v>3.3</v>
      </c>
      <c r="H68">
        <v>3.2</v>
      </c>
      <c r="I68">
        <f t="shared" si="3"/>
        <v>9.9999999999999645E-2</v>
      </c>
    </row>
    <row r="69" spans="1:9" x14ac:dyDescent="0.3">
      <c r="A69" t="s">
        <v>34</v>
      </c>
      <c r="B69" t="s">
        <v>20</v>
      </c>
      <c r="C69" t="s">
        <v>23</v>
      </c>
      <c r="D69" t="s">
        <v>5</v>
      </c>
      <c r="E69">
        <v>7615</v>
      </c>
      <c r="F69">
        <v>20.77</v>
      </c>
      <c r="G69">
        <f>'d3235 #2'!F7</f>
        <v>4.0999999999999996</v>
      </c>
      <c r="H69">
        <v>4.0999999999999996</v>
      </c>
      <c r="I69">
        <f t="shared" si="3"/>
        <v>0</v>
      </c>
    </row>
    <row r="70" spans="1:9" x14ac:dyDescent="0.3">
      <c r="A70" t="s">
        <v>34</v>
      </c>
      <c r="B70" t="s">
        <v>20</v>
      </c>
      <c r="C70" t="s">
        <v>23</v>
      </c>
      <c r="D70" t="s">
        <v>6</v>
      </c>
      <c r="E70">
        <v>8327</v>
      </c>
      <c r="F70">
        <v>16.09</v>
      </c>
      <c r="G70">
        <f>'d3235 #2'!F8</f>
        <v>3.9999999999999996</v>
      </c>
      <c r="H70">
        <v>4.0999999999999996</v>
      </c>
      <c r="I70">
        <f t="shared" si="3"/>
        <v>0.10000000000000009</v>
      </c>
    </row>
    <row r="71" spans="1:9" x14ac:dyDescent="0.3">
      <c r="A71" t="s">
        <v>34</v>
      </c>
      <c r="B71" t="s">
        <v>21</v>
      </c>
      <c r="C71" t="s">
        <v>23</v>
      </c>
      <c r="D71" t="s">
        <v>4</v>
      </c>
      <c r="E71">
        <v>2932</v>
      </c>
      <c r="F71">
        <v>26.36</v>
      </c>
      <c r="G71">
        <f>'d3235 #2'!F9</f>
        <v>4.9000000000000004</v>
      </c>
      <c r="H71">
        <v>5</v>
      </c>
      <c r="I71">
        <f t="shared" si="3"/>
        <v>9.9999999999999645E-2</v>
      </c>
    </row>
    <row r="72" spans="1:9" x14ac:dyDescent="0.3">
      <c r="A72" t="s">
        <v>34</v>
      </c>
      <c r="B72" t="s">
        <v>21</v>
      </c>
      <c r="C72" t="s">
        <v>23</v>
      </c>
      <c r="D72" t="s">
        <v>5</v>
      </c>
      <c r="E72">
        <v>7360</v>
      </c>
      <c r="F72">
        <v>26.37</v>
      </c>
      <c r="G72">
        <f>'d3235 #2'!F10</f>
        <v>4.0999999999999996</v>
      </c>
      <c r="H72">
        <v>4.0999999999999996</v>
      </c>
      <c r="I72">
        <f t="shared" si="3"/>
        <v>0</v>
      </c>
    </row>
    <row r="73" spans="1:9" x14ac:dyDescent="0.3">
      <c r="A73" t="s">
        <v>34</v>
      </c>
      <c r="B73" t="s">
        <v>21</v>
      </c>
      <c r="C73" t="s">
        <v>23</v>
      </c>
      <c r="D73" t="s">
        <v>6</v>
      </c>
      <c r="E73">
        <v>8053</v>
      </c>
      <c r="F73">
        <v>46.65</v>
      </c>
      <c r="G73">
        <f>'d3235 #2'!F11</f>
        <v>4.6500000000000004</v>
      </c>
      <c r="H73">
        <v>4.6500000000000004</v>
      </c>
      <c r="I73">
        <f t="shared" si="3"/>
        <v>0</v>
      </c>
    </row>
    <row r="74" spans="1:9" x14ac:dyDescent="0.3">
      <c r="A74" t="s">
        <v>16</v>
      </c>
      <c r="B74" t="s">
        <v>19</v>
      </c>
      <c r="C74" t="s">
        <v>24</v>
      </c>
      <c r="D74" t="s">
        <v>4</v>
      </c>
      <c r="E74">
        <v>3100</v>
      </c>
      <c r="F74">
        <v>100.74</v>
      </c>
      <c r="G74">
        <f>'d131 #3'!F3</f>
        <v>4.0999999999999996</v>
      </c>
      <c r="H74">
        <v>4.0999999999999996</v>
      </c>
      <c r="I74">
        <f t="shared" si="3"/>
        <v>0</v>
      </c>
    </row>
    <row r="75" spans="1:9" x14ac:dyDescent="0.3">
      <c r="A75" t="s">
        <v>16</v>
      </c>
      <c r="B75" t="s">
        <v>19</v>
      </c>
      <c r="C75" t="s">
        <v>24</v>
      </c>
      <c r="D75" t="s">
        <v>5</v>
      </c>
      <c r="E75">
        <v>8624</v>
      </c>
      <c r="F75">
        <v>50.3</v>
      </c>
      <c r="G75">
        <f>'d131 #3'!F4</f>
        <v>4.3</v>
      </c>
      <c r="H75">
        <v>4.25</v>
      </c>
      <c r="I75">
        <f t="shared" si="3"/>
        <v>4.9999999999999822E-2</v>
      </c>
    </row>
    <row r="76" spans="1:9" x14ac:dyDescent="0.3">
      <c r="A76" t="s">
        <v>16</v>
      </c>
      <c r="B76" t="s">
        <v>19</v>
      </c>
      <c r="C76" t="s">
        <v>24</v>
      </c>
      <c r="D76" t="s">
        <v>6</v>
      </c>
      <c r="E76">
        <v>9079</v>
      </c>
      <c r="F76">
        <v>94.9</v>
      </c>
      <c r="G76">
        <f>'d131 #3'!F5</f>
        <v>4.3</v>
      </c>
      <c r="H76">
        <v>4.25</v>
      </c>
      <c r="I76">
        <f t="shared" si="3"/>
        <v>4.9999999999999822E-2</v>
      </c>
    </row>
    <row r="77" spans="1:9" x14ac:dyDescent="0.3">
      <c r="A77" t="s">
        <v>16</v>
      </c>
      <c r="B77" t="s">
        <v>20</v>
      </c>
      <c r="C77" t="s">
        <v>24</v>
      </c>
      <c r="D77" t="s">
        <v>4</v>
      </c>
      <c r="E77">
        <v>2755</v>
      </c>
      <c r="F77">
        <v>31.88</v>
      </c>
      <c r="G77">
        <f>'d131 #3'!F6</f>
        <v>4.0999999999999996</v>
      </c>
      <c r="H77">
        <v>4.0999999999999996</v>
      </c>
      <c r="I77">
        <f t="shared" si="3"/>
        <v>0</v>
      </c>
    </row>
    <row r="78" spans="1:9" x14ac:dyDescent="0.3">
      <c r="A78" t="s">
        <v>16</v>
      </c>
      <c r="B78" t="s">
        <v>20</v>
      </c>
      <c r="C78" t="s">
        <v>24</v>
      </c>
      <c r="D78" t="s">
        <v>5</v>
      </c>
      <c r="E78">
        <v>7408</v>
      </c>
      <c r="F78">
        <v>23.4</v>
      </c>
      <c r="G78">
        <f>'d131 #3'!F7</f>
        <v>4.2</v>
      </c>
      <c r="H78">
        <v>4.25</v>
      </c>
      <c r="I78">
        <f t="shared" si="3"/>
        <v>4.9999999999999822E-2</v>
      </c>
    </row>
    <row r="79" spans="1:9" x14ac:dyDescent="0.3">
      <c r="A79" t="s">
        <v>16</v>
      </c>
      <c r="B79" t="s">
        <v>20</v>
      </c>
      <c r="C79" t="s">
        <v>24</v>
      </c>
      <c r="D79" t="s">
        <v>6</v>
      </c>
      <c r="E79">
        <v>7830</v>
      </c>
      <c r="F79">
        <v>18.850000000000001</v>
      </c>
      <c r="G79">
        <f>'d131 #3'!F8</f>
        <v>4.2</v>
      </c>
      <c r="H79">
        <v>4.1500000000000004</v>
      </c>
      <c r="I79">
        <f t="shared" si="3"/>
        <v>4.9999999999999822E-2</v>
      </c>
    </row>
    <row r="80" spans="1:9" x14ac:dyDescent="0.3">
      <c r="A80" t="s">
        <v>16</v>
      </c>
      <c r="B80" t="s">
        <v>21</v>
      </c>
      <c r="C80" t="s">
        <v>24</v>
      </c>
      <c r="D80" t="s">
        <v>4</v>
      </c>
      <c r="E80">
        <v>2760</v>
      </c>
      <c r="F80">
        <v>23.12</v>
      </c>
      <c r="G80">
        <f>'d131 #3'!F9</f>
        <v>3.4000000000000004</v>
      </c>
      <c r="H80">
        <v>3.25</v>
      </c>
      <c r="I80">
        <f t="shared" si="3"/>
        <v>0.15000000000000036</v>
      </c>
    </row>
    <row r="81" spans="1:9" x14ac:dyDescent="0.3">
      <c r="A81" t="s">
        <v>16</v>
      </c>
      <c r="B81" t="s">
        <v>21</v>
      </c>
      <c r="C81" t="s">
        <v>24</v>
      </c>
      <c r="D81" t="s">
        <v>5</v>
      </c>
      <c r="E81">
        <v>7291</v>
      </c>
      <c r="F81">
        <v>55.51</v>
      </c>
      <c r="G81">
        <f>'d131 #3'!F10</f>
        <v>3.8499999999999996</v>
      </c>
      <c r="H81">
        <v>3.85</v>
      </c>
      <c r="I81">
        <f t="shared" si="3"/>
        <v>4.4408920985006262E-16</v>
      </c>
    </row>
    <row r="82" spans="1:9" x14ac:dyDescent="0.3">
      <c r="A82" t="s">
        <v>16</v>
      </c>
      <c r="B82" t="s">
        <v>21</v>
      </c>
      <c r="C82" t="s">
        <v>24</v>
      </c>
      <c r="D82" t="s">
        <v>6</v>
      </c>
      <c r="E82">
        <v>7705</v>
      </c>
      <c r="F82">
        <v>26.2</v>
      </c>
      <c r="G82">
        <f>'d131 #3'!F11</f>
        <v>4.75</v>
      </c>
      <c r="H82">
        <v>4.75</v>
      </c>
      <c r="I82">
        <f t="shared" si="3"/>
        <v>0</v>
      </c>
    </row>
    <row r="83" spans="1:9" x14ac:dyDescent="0.3">
      <c r="A83" t="s">
        <v>33</v>
      </c>
      <c r="B83" t="s">
        <v>19</v>
      </c>
      <c r="C83" t="s">
        <v>24</v>
      </c>
      <c r="D83" t="s">
        <v>4</v>
      </c>
      <c r="E83">
        <v>2624</v>
      </c>
      <c r="F83">
        <v>50.53</v>
      </c>
      <c r="G83">
        <f>'d393 #3'!F3</f>
        <v>4.0999999999999996</v>
      </c>
      <c r="H83">
        <v>4.2</v>
      </c>
      <c r="I83">
        <f t="shared" si="3"/>
        <v>0.10000000000000053</v>
      </c>
    </row>
    <row r="84" spans="1:9" x14ac:dyDescent="0.3">
      <c r="A84" t="s">
        <v>33</v>
      </c>
      <c r="B84" t="s">
        <v>19</v>
      </c>
      <c r="C84" t="s">
        <v>24</v>
      </c>
      <c r="D84" t="s">
        <v>5</v>
      </c>
      <c r="E84">
        <v>6629</v>
      </c>
      <c r="F84">
        <v>939.74</v>
      </c>
      <c r="G84">
        <f>'d393 #3'!F4</f>
        <v>4.1999999999999993</v>
      </c>
      <c r="H84">
        <v>4.1500000000000004</v>
      </c>
      <c r="I84">
        <f t="shared" si="3"/>
        <v>4.9999999999998934E-2</v>
      </c>
    </row>
    <row r="85" spans="1:9" x14ac:dyDescent="0.3">
      <c r="A85" t="s">
        <v>33</v>
      </c>
      <c r="B85" t="s">
        <v>19</v>
      </c>
      <c r="C85" t="s">
        <v>24</v>
      </c>
      <c r="D85" t="s">
        <v>6</v>
      </c>
      <c r="E85">
        <v>7014</v>
      </c>
      <c r="F85">
        <v>40.619999999999997</v>
      </c>
      <c r="G85">
        <f>'d393 #3'!F5</f>
        <v>4.3499999999999996</v>
      </c>
      <c r="H85">
        <v>4.45</v>
      </c>
      <c r="I85">
        <f t="shared" si="3"/>
        <v>0.10000000000000053</v>
      </c>
    </row>
    <row r="86" spans="1:9" x14ac:dyDescent="0.3">
      <c r="A86" t="s">
        <v>33</v>
      </c>
      <c r="B86" t="s">
        <v>20</v>
      </c>
      <c r="C86" t="s">
        <v>24</v>
      </c>
      <c r="D86" t="s">
        <v>4</v>
      </c>
      <c r="E86">
        <v>2361</v>
      </c>
      <c r="F86">
        <v>22.95</v>
      </c>
      <c r="G86">
        <f>'d393 #3'!F6</f>
        <v>4.0999999999999996</v>
      </c>
      <c r="H86">
        <v>4.1500000000000004</v>
      </c>
      <c r="I86">
        <f t="shared" si="3"/>
        <v>5.0000000000000711E-2</v>
      </c>
    </row>
    <row r="87" spans="1:9" x14ac:dyDescent="0.3">
      <c r="A87" t="s">
        <v>33</v>
      </c>
      <c r="B87" t="s">
        <v>20</v>
      </c>
      <c r="C87" t="s">
        <v>24</v>
      </c>
      <c r="D87" t="s">
        <v>5</v>
      </c>
      <c r="E87">
        <v>5748</v>
      </c>
      <c r="F87">
        <v>19.8</v>
      </c>
      <c r="G87">
        <f>'d393 #3'!F7</f>
        <v>3.3</v>
      </c>
      <c r="H87">
        <v>3.25</v>
      </c>
      <c r="I87">
        <f t="shared" si="3"/>
        <v>4.9999999999999822E-2</v>
      </c>
    </row>
    <row r="88" spans="1:9" x14ac:dyDescent="0.3">
      <c r="A88" t="s">
        <v>33</v>
      </c>
      <c r="B88" t="s">
        <v>20</v>
      </c>
      <c r="C88" t="s">
        <v>24</v>
      </c>
      <c r="D88" t="s">
        <v>6</v>
      </c>
      <c r="E88">
        <v>6106</v>
      </c>
      <c r="F88">
        <v>19.600000000000001</v>
      </c>
      <c r="G88">
        <f>'d393 #3'!F8</f>
        <v>4.0999999999999996</v>
      </c>
      <c r="H88">
        <v>4.1500000000000004</v>
      </c>
      <c r="I88">
        <f t="shared" si="3"/>
        <v>5.0000000000000711E-2</v>
      </c>
    </row>
    <row r="89" spans="1:9" x14ac:dyDescent="0.3">
      <c r="A89" t="s">
        <v>33</v>
      </c>
      <c r="B89" t="s">
        <v>21</v>
      </c>
      <c r="C89" t="s">
        <v>24</v>
      </c>
      <c r="D89" t="s">
        <v>4</v>
      </c>
      <c r="E89">
        <v>2361</v>
      </c>
      <c r="F89">
        <v>31.41</v>
      </c>
      <c r="G89">
        <f>'d393 #3'!F9</f>
        <v>3.8499999999999996</v>
      </c>
      <c r="H89">
        <v>3.85</v>
      </c>
      <c r="I89">
        <f t="shared" si="3"/>
        <v>4.4408920985006262E-16</v>
      </c>
    </row>
    <row r="90" spans="1:9" x14ac:dyDescent="0.3">
      <c r="A90" t="s">
        <v>33</v>
      </c>
      <c r="B90" t="s">
        <v>21</v>
      </c>
      <c r="C90" t="s">
        <v>24</v>
      </c>
      <c r="D90" t="s">
        <v>5</v>
      </c>
      <c r="E90">
        <v>5646</v>
      </c>
      <c r="F90">
        <v>24.22</v>
      </c>
      <c r="G90">
        <f>'d393 #3'!F10</f>
        <v>3.5500000000000003</v>
      </c>
      <c r="H90">
        <v>3.45</v>
      </c>
      <c r="I90">
        <f t="shared" si="3"/>
        <v>0.10000000000000009</v>
      </c>
    </row>
    <row r="91" spans="1:9" x14ac:dyDescent="0.3">
      <c r="A91" t="s">
        <v>33</v>
      </c>
      <c r="B91" t="s">
        <v>21</v>
      </c>
      <c r="C91" t="s">
        <v>24</v>
      </c>
      <c r="D91" t="s">
        <v>6</v>
      </c>
      <c r="E91">
        <v>5997</v>
      </c>
      <c r="F91">
        <v>21.24</v>
      </c>
      <c r="G91">
        <f>'d393 #3'!F11</f>
        <v>3.9</v>
      </c>
      <c r="H91">
        <v>3.8</v>
      </c>
      <c r="I91">
        <f t="shared" si="3"/>
        <v>0.10000000000000009</v>
      </c>
    </row>
    <row r="92" spans="1:9" x14ac:dyDescent="0.3">
      <c r="A92" t="s">
        <v>18</v>
      </c>
      <c r="B92" t="s">
        <v>19</v>
      </c>
      <c r="C92" t="s">
        <v>24</v>
      </c>
      <c r="D92" t="s">
        <v>4</v>
      </c>
      <c r="E92">
        <v>2799</v>
      </c>
      <c r="F92">
        <v>34.85</v>
      </c>
      <c r="G92">
        <f>'d1456 #3'!F3</f>
        <v>4.55</v>
      </c>
      <c r="H92">
        <v>4.45</v>
      </c>
      <c r="I92">
        <f t="shared" si="3"/>
        <v>9.9999999999999645E-2</v>
      </c>
    </row>
    <row r="93" spans="1:9" x14ac:dyDescent="0.3">
      <c r="A93" t="s">
        <v>18</v>
      </c>
      <c r="B93" t="s">
        <v>19</v>
      </c>
      <c r="C93" t="s">
        <v>24</v>
      </c>
      <c r="D93" t="s">
        <v>5</v>
      </c>
      <c r="E93">
        <v>6882</v>
      </c>
      <c r="F93">
        <v>93.7</v>
      </c>
      <c r="G93">
        <f>'d1456 #3'!F4</f>
        <v>3.5</v>
      </c>
      <c r="H93">
        <v>3.45</v>
      </c>
      <c r="I93">
        <f t="shared" si="3"/>
        <v>4.9999999999999822E-2</v>
      </c>
    </row>
    <row r="94" spans="1:9" x14ac:dyDescent="0.3">
      <c r="A94" t="s">
        <v>18</v>
      </c>
      <c r="B94" t="s">
        <v>19</v>
      </c>
      <c r="C94" t="s">
        <v>24</v>
      </c>
      <c r="D94" t="s">
        <v>6</v>
      </c>
      <c r="E94">
        <v>7258</v>
      </c>
      <c r="F94">
        <v>87.11</v>
      </c>
      <c r="G94">
        <f>'d1456 #3'!F5</f>
        <v>3.75</v>
      </c>
      <c r="H94">
        <v>3.75</v>
      </c>
      <c r="I94">
        <f t="shared" si="3"/>
        <v>0</v>
      </c>
    </row>
    <row r="95" spans="1:9" x14ac:dyDescent="0.3">
      <c r="A95" t="s">
        <v>18</v>
      </c>
      <c r="B95" t="s">
        <v>20</v>
      </c>
      <c r="C95" t="s">
        <v>24</v>
      </c>
      <c r="D95" t="s">
        <v>4</v>
      </c>
      <c r="E95">
        <v>2479</v>
      </c>
      <c r="F95">
        <v>25.45</v>
      </c>
      <c r="G95">
        <f>'d1456 #3'!F6</f>
        <v>4.0999999999999996</v>
      </c>
      <c r="H95">
        <v>4.1500000000000004</v>
      </c>
      <c r="I95">
        <f t="shared" si="3"/>
        <v>5.0000000000000711E-2</v>
      </c>
    </row>
    <row r="96" spans="1:9" x14ac:dyDescent="0.3">
      <c r="A96" t="s">
        <v>18</v>
      </c>
      <c r="B96" t="s">
        <v>20</v>
      </c>
      <c r="C96" t="s">
        <v>24</v>
      </c>
      <c r="D96" t="s">
        <v>5</v>
      </c>
      <c r="E96">
        <v>5919</v>
      </c>
      <c r="F96">
        <v>20.5</v>
      </c>
      <c r="G96">
        <f>'d1456 #3'!F7</f>
        <v>4.0999999999999996</v>
      </c>
      <c r="H96">
        <v>4.0999999999999996</v>
      </c>
      <c r="I96">
        <f t="shared" si="3"/>
        <v>0</v>
      </c>
    </row>
    <row r="97" spans="1:9" x14ac:dyDescent="0.3">
      <c r="A97" t="s">
        <v>18</v>
      </c>
      <c r="B97" t="s">
        <v>20</v>
      </c>
      <c r="C97" t="s">
        <v>24</v>
      </c>
      <c r="D97" t="s">
        <v>6</v>
      </c>
      <c r="E97">
        <v>6269</v>
      </c>
      <c r="F97">
        <v>25</v>
      </c>
      <c r="G97">
        <f>'d1456 #3'!F8</f>
        <v>4.2</v>
      </c>
      <c r="H97">
        <v>4.1500000000000004</v>
      </c>
      <c r="I97">
        <f t="shared" si="3"/>
        <v>4.9999999999999822E-2</v>
      </c>
    </row>
    <row r="98" spans="1:9" x14ac:dyDescent="0.3">
      <c r="A98" t="s">
        <v>18</v>
      </c>
      <c r="B98" t="s">
        <v>21</v>
      </c>
      <c r="C98" t="s">
        <v>24</v>
      </c>
      <c r="D98" t="s">
        <v>4</v>
      </c>
      <c r="E98">
        <v>2500</v>
      </c>
      <c r="F98">
        <v>33</v>
      </c>
      <c r="G98">
        <f>'d1456 #3'!F9</f>
        <v>3.7499999999999996</v>
      </c>
      <c r="H98">
        <v>3.65</v>
      </c>
      <c r="I98">
        <f t="shared" si="3"/>
        <v>9.9999999999999645E-2</v>
      </c>
    </row>
    <row r="99" spans="1:9" x14ac:dyDescent="0.3">
      <c r="A99" t="s">
        <v>18</v>
      </c>
      <c r="B99" t="s">
        <v>21</v>
      </c>
      <c r="C99" t="s">
        <v>24</v>
      </c>
      <c r="D99" t="s">
        <v>5</v>
      </c>
      <c r="E99">
        <v>5856</v>
      </c>
      <c r="F99">
        <v>39.049999999999997</v>
      </c>
      <c r="G99">
        <f>'d1456 #3'!F10</f>
        <v>4.2</v>
      </c>
      <c r="H99">
        <v>4.0999999999999996</v>
      </c>
      <c r="I99">
        <f t="shared" si="3"/>
        <v>0.10000000000000053</v>
      </c>
    </row>
    <row r="100" spans="1:9" x14ac:dyDescent="0.3">
      <c r="A100" t="s">
        <v>18</v>
      </c>
      <c r="B100" t="s">
        <v>21</v>
      </c>
      <c r="C100" t="s">
        <v>24</v>
      </c>
      <c r="D100" t="s">
        <v>6</v>
      </c>
      <c r="E100">
        <v>6198</v>
      </c>
      <c r="F100">
        <v>46.81</v>
      </c>
      <c r="G100">
        <f>'d1456 #3'!F11</f>
        <v>4.2</v>
      </c>
      <c r="H100">
        <v>4.0999999999999996</v>
      </c>
      <c r="I100">
        <f t="shared" si="3"/>
        <v>0.10000000000000053</v>
      </c>
    </row>
    <row r="101" spans="1:9" x14ac:dyDescent="0.3">
      <c r="A101" t="s">
        <v>34</v>
      </c>
      <c r="B101" t="s">
        <v>19</v>
      </c>
      <c r="C101" t="s">
        <v>24</v>
      </c>
      <c r="D101" t="s">
        <v>4</v>
      </c>
      <c r="E101">
        <v>2778</v>
      </c>
      <c r="F101">
        <v>45.98</v>
      </c>
      <c r="G101">
        <f>'d3235 #3'!F3</f>
        <v>4.3</v>
      </c>
      <c r="H101">
        <v>4.25</v>
      </c>
      <c r="I101">
        <f t="shared" si="3"/>
        <v>4.9999999999999822E-2</v>
      </c>
    </row>
    <row r="102" spans="1:9" x14ac:dyDescent="0.3">
      <c r="A102" t="s">
        <v>34</v>
      </c>
      <c r="B102" t="s">
        <v>19</v>
      </c>
      <c r="C102" t="s">
        <v>24</v>
      </c>
      <c r="D102" t="s">
        <v>5</v>
      </c>
      <c r="E102">
        <v>6882</v>
      </c>
      <c r="F102">
        <v>38.299999999999997</v>
      </c>
      <c r="G102">
        <f>'d3235 #3'!F4</f>
        <v>4.0999999999999996</v>
      </c>
      <c r="H102">
        <v>3.9</v>
      </c>
      <c r="I102">
        <f t="shared" si="3"/>
        <v>0.19999999999999973</v>
      </c>
    </row>
    <row r="103" spans="1:9" x14ac:dyDescent="0.3">
      <c r="A103" t="s">
        <v>34</v>
      </c>
      <c r="B103" t="s">
        <v>19</v>
      </c>
      <c r="C103" t="s">
        <v>24</v>
      </c>
      <c r="D103" t="s">
        <v>6</v>
      </c>
      <c r="E103">
        <v>7258</v>
      </c>
      <c r="F103">
        <v>262.95</v>
      </c>
      <c r="G103">
        <f>'d3235 #3'!F5</f>
        <v>3.9</v>
      </c>
      <c r="H103">
        <v>3.85</v>
      </c>
      <c r="I103">
        <f t="shared" si="3"/>
        <v>4.9999999999999822E-2</v>
      </c>
    </row>
    <row r="104" spans="1:9" x14ac:dyDescent="0.3">
      <c r="A104" t="s">
        <v>34</v>
      </c>
      <c r="B104" t="s">
        <v>20</v>
      </c>
      <c r="C104" t="s">
        <v>24</v>
      </c>
      <c r="D104" t="s">
        <v>4</v>
      </c>
      <c r="E104">
        <v>2485</v>
      </c>
      <c r="F104">
        <v>19.46</v>
      </c>
      <c r="G104">
        <f>'d3235 #3'!F6</f>
        <v>3.75</v>
      </c>
      <c r="H104">
        <v>3.85</v>
      </c>
      <c r="I104">
        <f t="shared" si="3"/>
        <v>0.10000000000000009</v>
      </c>
    </row>
    <row r="105" spans="1:9" x14ac:dyDescent="0.3">
      <c r="A105" t="s">
        <v>34</v>
      </c>
      <c r="B105" t="s">
        <v>20</v>
      </c>
      <c r="C105" t="s">
        <v>24</v>
      </c>
      <c r="D105" t="s">
        <v>5</v>
      </c>
      <c r="E105">
        <v>5968</v>
      </c>
      <c r="F105">
        <v>20.11</v>
      </c>
      <c r="G105">
        <f>'d3235 #3'!F7</f>
        <v>4</v>
      </c>
      <c r="H105">
        <v>4.1500000000000004</v>
      </c>
      <c r="I105">
        <f t="shared" si="3"/>
        <v>0.15000000000000036</v>
      </c>
    </row>
    <row r="106" spans="1:9" x14ac:dyDescent="0.3">
      <c r="A106" t="s">
        <v>34</v>
      </c>
      <c r="B106" t="s">
        <v>20</v>
      </c>
      <c r="C106" t="s">
        <v>24</v>
      </c>
      <c r="D106" t="s">
        <v>6</v>
      </c>
      <c r="E106">
        <v>6317</v>
      </c>
      <c r="F106">
        <v>32.51</v>
      </c>
      <c r="G106">
        <f>'d3235 #3'!F8</f>
        <v>4.0999999999999996</v>
      </c>
      <c r="H106">
        <v>4.0999999999999996</v>
      </c>
      <c r="I106">
        <f t="shared" si="3"/>
        <v>0</v>
      </c>
    </row>
    <row r="107" spans="1:9" x14ac:dyDescent="0.3">
      <c r="A107" t="s">
        <v>34</v>
      </c>
      <c r="B107" t="s">
        <v>21</v>
      </c>
      <c r="C107" t="s">
        <v>24</v>
      </c>
      <c r="D107" t="s">
        <v>4</v>
      </c>
      <c r="E107">
        <v>2487</v>
      </c>
      <c r="F107">
        <v>42.99</v>
      </c>
      <c r="G107">
        <f>'d3235 #3'!F9</f>
        <v>4.45</v>
      </c>
      <c r="H107">
        <v>4.3499999999999996</v>
      </c>
      <c r="I107">
        <f t="shared" si="3"/>
        <v>0.10000000000000053</v>
      </c>
    </row>
    <row r="108" spans="1:9" x14ac:dyDescent="0.3">
      <c r="A108" t="s">
        <v>34</v>
      </c>
      <c r="B108" t="s">
        <v>21</v>
      </c>
      <c r="C108" t="s">
        <v>24</v>
      </c>
      <c r="D108" t="s">
        <v>5</v>
      </c>
      <c r="E108">
        <v>5865</v>
      </c>
      <c r="F108">
        <v>60.79</v>
      </c>
      <c r="G108">
        <f>'d3235 #3'!F10</f>
        <v>4.45</v>
      </c>
      <c r="H108">
        <v>4.3499999999999996</v>
      </c>
      <c r="I108">
        <f t="shared" si="3"/>
        <v>0.10000000000000053</v>
      </c>
    </row>
    <row r="109" spans="1:9" x14ac:dyDescent="0.3">
      <c r="A109" t="s">
        <v>34</v>
      </c>
      <c r="B109" t="s">
        <v>21</v>
      </c>
      <c r="C109" t="s">
        <v>24</v>
      </c>
      <c r="D109" t="s">
        <v>6</v>
      </c>
      <c r="E109">
        <v>6207</v>
      </c>
      <c r="F109">
        <v>35.729999999999997</v>
      </c>
      <c r="G109">
        <f>'d3235 #3'!F11</f>
        <v>4.3499999999999996</v>
      </c>
      <c r="H109">
        <v>4.3499999999999996</v>
      </c>
      <c r="I109">
        <f t="shared" si="3"/>
        <v>0</v>
      </c>
    </row>
    <row r="110" spans="1:9" x14ac:dyDescent="0.3">
      <c r="A110" t="s">
        <v>16</v>
      </c>
      <c r="B110" t="s">
        <v>19</v>
      </c>
      <c r="C110" t="s">
        <v>25</v>
      </c>
      <c r="D110" t="s">
        <v>4</v>
      </c>
      <c r="E110">
        <v>1915</v>
      </c>
      <c r="F110">
        <v>57.88</v>
      </c>
      <c r="G110">
        <f>'d131 #4'!F3</f>
        <v>2.85</v>
      </c>
      <c r="H110">
        <v>2.8</v>
      </c>
      <c r="I110">
        <f t="shared" si="3"/>
        <v>5.0000000000000266E-2</v>
      </c>
    </row>
    <row r="111" spans="1:9" x14ac:dyDescent="0.3">
      <c r="A111" t="s">
        <v>16</v>
      </c>
      <c r="B111" t="s">
        <v>19</v>
      </c>
      <c r="C111" t="s">
        <v>25</v>
      </c>
      <c r="D111" t="s">
        <v>5</v>
      </c>
      <c r="E111">
        <v>4372</v>
      </c>
      <c r="F111">
        <v>56.42</v>
      </c>
      <c r="G111">
        <f>'d131 #4'!F4</f>
        <v>3.4999999999999996</v>
      </c>
      <c r="H111">
        <v>3.35</v>
      </c>
      <c r="I111">
        <f t="shared" si="3"/>
        <v>0.14999999999999947</v>
      </c>
    </row>
    <row r="112" spans="1:9" x14ac:dyDescent="0.3">
      <c r="A112" t="s">
        <v>16</v>
      </c>
      <c r="B112" t="s">
        <v>19</v>
      </c>
      <c r="C112" t="s">
        <v>25</v>
      </c>
      <c r="D112" t="s">
        <v>6</v>
      </c>
      <c r="E112">
        <v>4408</v>
      </c>
      <c r="F112">
        <v>50.6</v>
      </c>
      <c r="G112">
        <f>'d131 #4'!F5</f>
        <v>3.3000000000000003</v>
      </c>
      <c r="H112">
        <v>3.2</v>
      </c>
      <c r="I112">
        <f t="shared" si="3"/>
        <v>0.10000000000000009</v>
      </c>
    </row>
    <row r="113" spans="1:9" x14ac:dyDescent="0.3">
      <c r="A113" t="s">
        <v>16</v>
      </c>
      <c r="B113" t="s">
        <v>21</v>
      </c>
      <c r="C113" t="s">
        <v>25</v>
      </c>
      <c r="D113" t="s">
        <v>4</v>
      </c>
      <c r="E113">
        <v>3493</v>
      </c>
      <c r="F113">
        <v>56.82</v>
      </c>
      <c r="G113">
        <f>'d131 #4'!F6</f>
        <v>3.5999999999999996</v>
      </c>
      <c r="H113">
        <v>3.6</v>
      </c>
      <c r="I113">
        <f t="shared" si="3"/>
        <v>4.4408920985006262E-16</v>
      </c>
    </row>
    <row r="114" spans="1:9" x14ac:dyDescent="0.3">
      <c r="A114" t="s">
        <v>16</v>
      </c>
      <c r="B114" t="s">
        <v>21</v>
      </c>
      <c r="C114" t="s">
        <v>25</v>
      </c>
      <c r="D114" t="s">
        <v>5</v>
      </c>
      <c r="E114">
        <v>6497</v>
      </c>
      <c r="F114">
        <v>84.36</v>
      </c>
      <c r="G114">
        <f>'d131 #4'!F7</f>
        <v>4.2</v>
      </c>
      <c r="H114">
        <v>4.0999999999999996</v>
      </c>
      <c r="I114">
        <f t="shared" si="3"/>
        <v>0.10000000000000053</v>
      </c>
    </row>
    <row r="115" spans="1:9" x14ac:dyDescent="0.3">
      <c r="A115" t="s">
        <v>16</v>
      </c>
      <c r="B115" t="s">
        <v>21</v>
      </c>
      <c r="C115" t="s">
        <v>25</v>
      </c>
      <c r="D115" t="s">
        <v>6</v>
      </c>
      <c r="E115">
        <v>7433</v>
      </c>
      <c r="F115">
        <v>27.18</v>
      </c>
      <c r="G115">
        <f>'d131 #4'!F8</f>
        <v>4.4000000000000004</v>
      </c>
      <c r="H115">
        <v>4.4000000000000004</v>
      </c>
      <c r="I115">
        <f t="shared" si="3"/>
        <v>0</v>
      </c>
    </row>
    <row r="116" spans="1:9" x14ac:dyDescent="0.3">
      <c r="A116" t="s">
        <v>33</v>
      </c>
      <c r="B116" t="s">
        <v>19</v>
      </c>
      <c r="C116" t="s">
        <v>25</v>
      </c>
      <c r="D116" t="s">
        <v>4</v>
      </c>
      <c r="E116">
        <v>1782</v>
      </c>
      <c r="F116">
        <v>48.72</v>
      </c>
      <c r="G116">
        <f>'d393 #4'!F3</f>
        <v>3.3000000000000003</v>
      </c>
      <c r="H116">
        <v>3.35</v>
      </c>
      <c r="I116">
        <f t="shared" si="3"/>
        <v>4.9999999999999822E-2</v>
      </c>
    </row>
    <row r="117" spans="1:9" x14ac:dyDescent="0.3">
      <c r="A117" t="s">
        <v>33</v>
      </c>
      <c r="B117" t="s">
        <v>19</v>
      </c>
      <c r="C117" t="s">
        <v>25</v>
      </c>
      <c r="D117" t="s">
        <v>5</v>
      </c>
      <c r="E117">
        <v>3657</v>
      </c>
      <c r="F117">
        <v>44.88</v>
      </c>
      <c r="G117">
        <f>'d393 #4'!F4</f>
        <v>4.3</v>
      </c>
      <c r="H117">
        <v>4.25</v>
      </c>
      <c r="I117">
        <f t="shared" si="3"/>
        <v>4.9999999999999822E-2</v>
      </c>
    </row>
    <row r="118" spans="1:9" x14ac:dyDescent="0.3">
      <c r="A118" t="s">
        <v>33</v>
      </c>
      <c r="B118" t="s">
        <v>19</v>
      </c>
      <c r="C118" t="s">
        <v>25</v>
      </c>
      <c r="D118" t="s">
        <v>6</v>
      </c>
      <c r="E118">
        <v>3693</v>
      </c>
      <c r="F118">
        <v>49.4</v>
      </c>
      <c r="G118">
        <f>'d393 #4'!F5</f>
        <v>3.2</v>
      </c>
      <c r="H118">
        <v>3.25</v>
      </c>
      <c r="I118">
        <f t="shared" si="3"/>
        <v>4.9999999999999822E-2</v>
      </c>
    </row>
    <row r="119" spans="1:9" x14ac:dyDescent="0.3">
      <c r="A119" t="s">
        <v>33</v>
      </c>
      <c r="B119" t="s">
        <v>21</v>
      </c>
      <c r="C119" t="s">
        <v>25</v>
      </c>
      <c r="D119" t="s">
        <v>4</v>
      </c>
      <c r="E119">
        <v>3433</v>
      </c>
      <c r="F119">
        <v>33.49</v>
      </c>
      <c r="G119">
        <f>'d393 #4'!F6</f>
        <v>3.9999999999999996</v>
      </c>
      <c r="H119">
        <v>4.0999999999999996</v>
      </c>
      <c r="I119">
        <f t="shared" si="3"/>
        <v>0.10000000000000009</v>
      </c>
    </row>
    <row r="120" spans="1:9" x14ac:dyDescent="0.3">
      <c r="A120" t="s">
        <v>33</v>
      </c>
      <c r="B120" t="s">
        <v>21</v>
      </c>
      <c r="C120" t="s">
        <v>25</v>
      </c>
      <c r="D120" t="s">
        <v>5</v>
      </c>
      <c r="E120">
        <v>5989</v>
      </c>
      <c r="F120">
        <v>36.31</v>
      </c>
      <c r="G120">
        <f>'d393 #4'!F7</f>
        <v>4.2</v>
      </c>
      <c r="H120">
        <v>4.0999999999999996</v>
      </c>
      <c r="I120">
        <f t="shared" si="3"/>
        <v>0.10000000000000053</v>
      </c>
    </row>
    <row r="121" spans="1:9" x14ac:dyDescent="0.3">
      <c r="A121" t="s">
        <v>33</v>
      </c>
      <c r="B121" t="s">
        <v>21</v>
      </c>
      <c r="C121" t="s">
        <v>25</v>
      </c>
      <c r="D121" t="s">
        <v>6</v>
      </c>
      <c r="E121">
        <v>6950</v>
      </c>
      <c r="F121">
        <v>21.82</v>
      </c>
      <c r="G121">
        <f>'d393 #4'!F8</f>
        <v>4.2</v>
      </c>
      <c r="H121">
        <v>4.0999999999999996</v>
      </c>
      <c r="I121">
        <f t="shared" si="3"/>
        <v>0.10000000000000053</v>
      </c>
    </row>
    <row r="122" spans="1:9" x14ac:dyDescent="0.3">
      <c r="A122" t="s">
        <v>18</v>
      </c>
      <c r="B122" t="s">
        <v>19</v>
      </c>
      <c r="C122" t="s">
        <v>25</v>
      </c>
      <c r="D122" t="s">
        <v>4</v>
      </c>
      <c r="E122">
        <v>1798</v>
      </c>
      <c r="F122">
        <v>41.41</v>
      </c>
      <c r="G122">
        <f>'d1456 #4'!F3</f>
        <v>3.4</v>
      </c>
      <c r="H122">
        <v>3.25</v>
      </c>
      <c r="I122">
        <f t="shared" si="3"/>
        <v>0.14999999999999991</v>
      </c>
    </row>
    <row r="123" spans="1:9" x14ac:dyDescent="0.3">
      <c r="A123" t="s">
        <v>18</v>
      </c>
      <c r="B123" t="s">
        <v>19</v>
      </c>
      <c r="C123" t="s">
        <v>25</v>
      </c>
      <c r="D123" t="s">
        <v>5</v>
      </c>
      <c r="E123">
        <v>3676</v>
      </c>
      <c r="F123">
        <v>77.739999999999995</v>
      </c>
      <c r="G123">
        <f>'d1456 #4'!F4</f>
        <v>4</v>
      </c>
      <c r="H123">
        <v>4</v>
      </c>
      <c r="I123">
        <f xml:space="preserve"> ABS(H123-G123)</f>
        <v>0</v>
      </c>
    </row>
    <row r="124" spans="1:9" x14ac:dyDescent="0.3">
      <c r="A124" t="s">
        <v>18</v>
      </c>
      <c r="B124" t="s">
        <v>19</v>
      </c>
      <c r="C124" t="s">
        <v>25</v>
      </c>
      <c r="D124" t="s">
        <v>6</v>
      </c>
      <c r="E124">
        <v>3713</v>
      </c>
      <c r="F124">
        <v>55.91</v>
      </c>
      <c r="G124">
        <f>'d1456 #4'!F5</f>
        <v>4.1999999999999993</v>
      </c>
      <c r="H124">
        <v>4.2</v>
      </c>
      <c r="I124">
        <f t="shared" si="3"/>
        <v>8.8817841970012523E-16</v>
      </c>
    </row>
    <row r="125" spans="1:9" x14ac:dyDescent="0.3">
      <c r="A125" t="s">
        <v>18</v>
      </c>
      <c r="B125" t="s">
        <v>21</v>
      </c>
      <c r="C125" t="s">
        <v>25</v>
      </c>
      <c r="D125" t="s">
        <v>4</v>
      </c>
      <c r="E125">
        <v>3402</v>
      </c>
      <c r="F125">
        <v>32.159999999999997</v>
      </c>
      <c r="G125">
        <f>'d1456 #4'!F6</f>
        <v>4.0999999999999996</v>
      </c>
      <c r="H125">
        <v>4.1500000000000004</v>
      </c>
      <c r="I125">
        <f xml:space="preserve"> ABS(H125-G125)</f>
        <v>5.0000000000000711E-2</v>
      </c>
    </row>
    <row r="126" spans="1:9" x14ac:dyDescent="0.3">
      <c r="A126" t="s">
        <v>18</v>
      </c>
      <c r="B126" t="s">
        <v>21</v>
      </c>
      <c r="C126" t="s">
        <v>25</v>
      </c>
      <c r="D126" t="s">
        <v>5</v>
      </c>
      <c r="E126">
        <v>5919</v>
      </c>
      <c r="F126">
        <v>40.380000000000003</v>
      </c>
      <c r="G126">
        <f>'d1456 #4'!F7</f>
        <v>4.45</v>
      </c>
      <c r="H126">
        <v>4.3499999999999996</v>
      </c>
      <c r="I126">
        <f t="shared" si="3"/>
        <v>0.10000000000000053</v>
      </c>
    </row>
    <row r="127" spans="1:9" x14ac:dyDescent="0.3">
      <c r="A127" t="s">
        <v>18</v>
      </c>
      <c r="B127" t="s">
        <v>21</v>
      </c>
      <c r="C127" t="s">
        <v>25</v>
      </c>
      <c r="D127" t="s">
        <v>6</v>
      </c>
      <c r="E127">
        <v>6856</v>
      </c>
      <c r="F127">
        <v>35.9</v>
      </c>
      <c r="G127">
        <f>'d1456 #4'!F8</f>
        <v>4.4000000000000004</v>
      </c>
      <c r="H127">
        <v>4.45</v>
      </c>
      <c r="I127">
        <f t="shared" si="3"/>
        <v>4.9999999999999822E-2</v>
      </c>
    </row>
    <row r="128" spans="1:9" x14ac:dyDescent="0.3">
      <c r="A128" t="s">
        <v>34</v>
      </c>
      <c r="B128" t="s">
        <v>19</v>
      </c>
      <c r="C128" t="s">
        <v>25</v>
      </c>
      <c r="D128" t="s">
        <v>4</v>
      </c>
      <c r="E128">
        <v>1802</v>
      </c>
      <c r="F128">
        <v>54.22</v>
      </c>
      <c r="G128">
        <f>'d3235 #4'!F3</f>
        <v>3.1</v>
      </c>
      <c r="H128">
        <v>3</v>
      </c>
      <c r="I128">
        <f t="shared" si="3"/>
        <v>0.10000000000000009</v>
      </c>
    </row>
    <row r="129" spans="1:9" x14ac:dyDescent="0.3">
      <c r="A129" t="s">
        <v>34</v>
      </c>
      <c r="B129" t="s">
        <v>19</v>
      </c>
      <c r="C129" t="s">
        <v>25</v>
      </c>
      <c r="D129" t="s">
        <v>5</v>
      </c>
      <c r="E129">
        <v>3785</v>
      </c>
      <c r="F129">
        <v>48.45</v>
      </c>
      <c r="G129">
        <f>'d3235 #4'!F4</f>
        <v>3.1999999999999997</v>
      </c>
      <c r="H129">
        <v>3.25</v>
      </c>
      <c r="I129">
        <f t="shared" si="3"/>
        <v>5.0000000000000266E-2</v>
      </c>
    </row>
    <row r="130" spans="1:9" x14ac:dyDescent="0.3">
      <c r="A130" t="s">
        <v>34</v>
      </c>
      <c r="B130" t="s">
        <v>19</v>
      </c>
      <c r="C130" t="s">
        <v>25</v>
      </c>
      <c r="D130" t="s">
        <v>6</v>
      </c>
      <c r="E130">
        <v>3822</v>
      </c>
      <c r="F130">
        <v>60.01</v>
      </c>
      <c r="G130">
        <f>'d3235 #4'!F5</f>
        <v>3.5500000000000003</v>
      </c>
      <c r="H130">
        <v>3.55</v>
      </c>
      <c r="I130">
        <f t="shared" si="3"/>
        <v>4.4408920985006262E-16</v>
      </c>
    </row>
    <row r="131" spans="1:9" x14ac:dyDescent="0.3">
      <c r="A131" t="s">
        <v>34</v>
      </c>
      <c r="B131" t="s">
        <v>21</v>
      </c>
      <c r="C131" t="s">
        <v>25</v>
      </c>
      <c r="D131" t="s">
        <v>4</v>
      </c>
      <c r="E131">
        <v>3303</v>
      </c>
      <c r="F131">
        <v>33.619999999999997</v>
      </c>
      <c r="G131">
        <f>'d3235 #4'!F6</f>
        <v>4.45</v>
      </c>
      <c r="H131">
        <v>4.3499999999999996</v>
      </c>
      <c r="I131">
        <f t="shared" ref="I131:I133" si="4" xml:space="preserve"> ABS(H131-G131)</f>
        <v>0.10000000000000053</v>
      </c>
    </row>
    <row r="132" spans="1:9" x14ac:dyDescent="0.3">
      <c r="A132" t="s">
        <v>34</v>
      </c>
      <c r="B132" t="s">
        <v>21</v>
      </c>
      <c r="C132" t="s">
        <v>25</v>
      </c>
      <c r="D132" t="s">
        <v>5</v>
      </c>
      <c r="E132">
        <v>5818</v>
      </c>
      <c r="F132">
        <v>27.5</v>
      </c>
      <c r="G132">
        <f>'d3235 #4'!F7</f>
        <v>4.2</v>
      </c>
      <c r="H132">
        <v>4.0999999999999996</v>
      </c>
      <c r="I132">
        <f t="shared" si="4"/>
        <v>0.10000000000000053</v>
      </c>
    </row>
    <row r="133" spans="1:9" x14ac:dyDescent="0.3">
      <c r="A133" t="s">
        <v>34</v>
      </c>
      <c r="B133" t="s">
        <v>21</v>
      </c>
      <c r="C133" t="s">
        <v>25</v>
      </c>
      <c r="D133" t="s">
        <v>6</v>
      </c>
      <c r="E133">
        <v>6755</v>
      </c>
      <c r="F133">
        <v>28.71</v>
      </c>
      <c r="G133">
        <f>'d3235 #4'!F8</f>
        <v>4.6500000000000004</v>
      </c>
      <c r="H133">
        <v>4.6500000000000004</v>
      </c>
      <c r="I133">
        <f t="shared" si="4"/>
        <v>0</v>
      </c>
    </row>
  </sheetData>
  <phoneticPr fontId="4" type="noConversion"/>
  <conditionalFormatting sqref="I2:I133">
    <cfRule type="cellIs" dxfId="0" priority="1" operator="greaterThan">
      <formula>0.2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1EB59-D696-498D-9474-6D81A5CD8202}">
  <dimension ref="A1:G79"/>
  <sheetViews>
    <sheetView topLeftCell="A58" zoomScale="80" zoomScaleNormal="80" workbookViewId="0">
      <selection activeCell="C66" sqref="C66"/>
    </sheetView>
  </sheetViews>
  <sheetFormatPr defaultRowHeight="14.4" x14ac:dyDescent="0.3"/>
  <cols>
    <col min="1" max="1" width="122.77734375" bestFit="1" customWidth="1"/>
    <col min="2" max="2" width="6.77734375" bestFit="1" customWidth="1"/>
    <col min="3" max="3" width="10.21875" bestFit="1" customWidth="1"/>
    <col min="4" max="4" width="13.88671875" bestFit="1" customWidth="1"/>
    <col min="6" max="6" width="15.33203125" bestFit="1" customWidth="1"/>
  </cols>
  <sheetData>
    <row r="1" spans="1:7" x14ac:dyDescent="0.3">
      <c r="A1" s="2" t="s">
        <v>3</v>
      </c>
      <c r="B1" s="5">
        <v>5</v>
      </c>
    </row>
    <row r="2" spans="1:7" x14ac:dyDescent="0.3">
      <c r="F2" s="10" t="s">
        <v>35</v>
      </c>
      <c r="G2" s="7"/>
    </row>
    <row r="3" spans="1:7" x14ac:dyDescent="0.3">
      <c r="A3" t="s">
        <v>7</v>
      </c>
      <c r="F3">
        <f>D12</f>
        <v>3.1</v>
      </c>
      <c r="G3" s="7"/>
    </row>
    <row r="4" spans="1:7" x14ac:dyDescent="0.3">
      <c r="A4" s="1" t="s">
        <v>0</v>
      </c>
      <c r="B4" s="1" t="s">
        <v>1</v>
      </c>
      <c r="C4" s="1" t="s">
        <v>17</v>
      </c>
      <c r="D4" s="1" t="s">
        <v>2</v>
      </c>
      <c r="F4">
        <f>D23</f>
        <v>3.1999999999999997</v>
      </c>
      <c r="G4" s="7"/>
    </row>
    <row r="5" spans="1:7" x14ac:dyDescent="0.3">
      <c r="A5" t="s">
        <v>42</v>
      </c>
      <c r="B5" s="3">
        <v>0.25</v>
      </c>
      <c r="C5">
        <v>3</v>
      </c>
      <c r="D5">
        <f>C5*B5</f>
        <v>0.75</v>
      </c>
      <c r="F5">
        <f>D34</f>
        <v>3.5500000000000003</v>
      </c>
      <c r="G5" s="7"/>
    </row>
    <row r="6" spans="1:7" x14ac:dyDescent="0.3">
      <c r="A6" t="s">
        <v>41</v>
      </c>
      <c r="B6" s="3">
        <v>0.1</v>
      </c>
      <c r="C6">
        <v>5</v>
      </c>
      <c r="D6">
        <f t="shared" ref="D6:D11" si="0">C6*B6</f>
        <v>0.5</v>
      </c>
      <c r="F6">
        <f>D45</f>
        <v>4.45</v>
      </c>
      <c r="G6" s="7"/>
    </row>
    <row r="7" spans="1:7" x14ac:dyDescent="0.3">
      <c r="A7" t="s">
        <v>40</v>
      </c>
      <c r="B7" s="3">
        <v>0.1</v>
      </c>
      <c r="C7">
        <v>2</v>
      </c>
      <c r="D7">
        <f t="shared" si="0"/>
        <v>0.2</v>
      </c>
      <c r="F7">
        <f>D56</f>
        <v>4.2</v>
      </c>
      <c r="G7" s="7"/>
    </row>
    <row r="8" spans="1:7" x14ac:dyDescent="0.3">
      <c r="A8" t="s">
        <v>39</v>
      </c>
      <c r="B8" s="3">
        <v>0.1</v>
      </c>
      <c r="C8">
        <v>3</v>
      </c>
      <c r="D8">
        <f t="shared" si="0"/>
        <v>0.30000000000000004</v>
      </c>
      <c r="F8">
        <f>D67</f>
        <v>4.6500000000000004</v>
      </c>
      <c r="G8" s="7"/>
    </row>
    <row r="9" spans="1:7" x14ac:dyDescent="0.3">
      <c r="A9" t="s">
        <v>38</v>
      </c>
      <c r="B9" s="3">
        <v>0.1</v>
      </c>
      <c r="C9">
        <v>2</v>
      </c>
      <c r="D9">
        <f t="shared" si="0"/>
        <v>0.2</v>
      </c>
      <c r="G9" s="7"/>
    </row>
    <row r="10" spans="1:7" x14ac:dyDescent="0.3">
      <c r="A10" t="s">
        <v>37</v>
      </c>
      <c r="B10" s="3">
        <v>0.25</v>
      </c>
      <c r="C10">
        <v>3</v>
      </c>
      <c r="D10">
        <f t="shared" si="0"/>
        <v>0.75</v>
      </c>
      <c r="G10" s="7"/>
    </row>
    <row r="11" spans="1:7" x14ac:dyDescent="0.3">
      <c r="A11" t="s">
        <v>36</v>
      </c>
      <c r="B11" s="3">
        <v>0.1</v>
      </c>
      <c r="C11">
        <v>4</v>
      </c>
      <c r="D11">
        <f t="shared" si="0"/>
        <v>0.4</v>
      </c>
      <c r="G11" s="7"/>
    </row>
    <row r="12" spans="1:7" ht="15" thickBot="1" x14ac:dyDescent="0.35">
      <c r="B12" s="4">
        <f>SUM(B5:B11)</f>
        <v>0.99999999999999989</v>
      </c>
      <c r="D12" s="6">
        <f>SUM(D5:D11)</f>
        <v>3.1</v>
      </c>
      <c r="G12" s="7"/>
    </row>
    <row r="13" spans="1:7" ht="15" thickTop="1" x14ac:dyDescent="0.3">
      <c r="G13" s="7"/>
    </row>
    <row r="14" spans="1:7" x14ac:dyDescent="0.3">
      <c r="A14" t="s">
        <v>8</v>
      </c>
      <c r="G14" s="7"/>
    </row>
    <row r="15" spans="1:7" x14ac:dyDescent="0.3">
      <c r="A15" s="1" t="s">
        <v>0</v>
      </c>
      <c r="B15" s="1" t="s">
        <v>1</v>
      </c>
      <c r="C15" s="1" t="s">
        <v>17</v>
      </c>
      <c r="D15" s="1" t="s">
        <v>2</v>
      </c>
      <c r="G15" s="7"/>
    </row>
    <row r="16" spans="1:7" x14ac:dyDescent="0.3">
      <c r="A16" t="s">
        <v>42</v>
      </c>
      <c r="B16" s="3">
        <v>0.25</v>
      </c>
      <c r="C16">
        <v>3</v>
      </c>
      <c r="D16">
        <f>C16*B16</f>
        <v>0.75</v>
      </c>
      <c r="G16" s="7"/>
    </row>
    <row r="17" spans="1:7" x14ac:dyDescent="0.3">
      <c r="A17" t="s">
        <v>41</v>
      </c>
      <c r="B17" s="3">
        <v>0.1</v>
      </c>
      <c r="C17">
        <v>4</v>
      </c>
      <c r="D17">
        <f t="shared" ref="D17:D22" si="1">C17*B17</f>
        <v>0.4</v>
      </c>
      <c r="G17" s="7"/>
    </row>
    <row r="18" spans="1:7" x14ac:dyDescent="0.3">
      <c r="A18" t="s">
        <v>40</v>
      </c>
      <c r="B18" s="3">
        <v>0.1</v>
      </c>
      <c r="C18">
        <v>3</v>
      </c>
      <c r="D18">
        <f t="shared" si="1"/>
        <v>0.30000000000000004</v>
      </c>
      <c r="G18" s="7"/>
    </row>
    <row r="19" spans="1:7" x14ac:dyDescent="0.3">
      <c r="A19" t="s">
        <v>39</v>
      </c>
      <c r="B19" s="3">
        <v>0.1</v>
      </c>
      <c r="C19">
        <v>3</v>
      </c>
      <c r="D19">
        <f t="shared" si="1"/>
        <v>0.30000000000000004</v>
      </c>
      <c r="G19" s="7"/>
    </row>
    <row r="20" spans="1:7" x14ac:dyDescent="0.3">
      <c r="A20" t="s">
        <v>38</v>
      </c>
      <c r="B20" s="3">
        <v>0.1</v>
      </c>
      <c r="C20">
        <v>3</v>
      </c>
      <c r="D20">
        <f t="shared" si="1"/>
        <v>0.30000000000000004</v>
      </c>
      <c r="G20" s="7"/>
    </row>
    <row r="21" spans="1:7" x14ac:dyDescent="0.3">
      <c r="A21" t="s">
        <v>37</v>
      </c>
      <c r="B21" s="3">
        <v>0.25</v>
      </c>
      <c r="C21">
        <v>3</v>
      </c>
      <c r="D21">
        <f t="shared" si="1"/>
        <v>0.75</v>
      </c>
      <c r="G21" s="7"/>
    </row>
    <row r="22" spans="1:7" x14ac:dyDescent="0.3">
      <c r="A22" t="s">
        <v>36</v>
      </c>
      <c r="B22" s="3">
        <v>0.1</v>
      </c>
      <c r="C22">
        <v>4</v>
      </c>
      <c r="D22">
        <f t="shared" si="1"/>
        <v>0.4</v>
      </c>
      <c r="G22" s="7"/>
    </row>
    <row r="23" spans="1:7" ht="15" thickBot="1" x14ac:dyDescent="0.35">
      <c r="B23" s="4">
        <f>SUM(B16:B22)</f>
        <v>0.99999999999999989</v>
      </c>
      <c r="D23" s="6">
        <f>SUM(D16:D22)</f>
        <v>3.1999999999999997</v>
      </c>
      <c r="G23" s="7"/>
    </row>
    <row r="24" spans="1:7" ht="15" thickTop="1" x14ac:dyDescent="0.3">
      <c r="G24" s="7"/>
    </row>
    <row r="25" spans="1:7" x14ac:dyDescent="0.3">
      <c r="A25" t="s">
        <v>9</v>
      </c>
      <c r="G25" s="7"/>
    </row>
    <row r="26" spans="1:7" x14ac:dyDescent="0.3">
      <c r="A26" s="1" t="s">
        <v>0</v>
      </c>
      <c r="B26" s="1" t="s">
        <v>1</v>
      </c>
      <c r="C26" s="1" t="s">
        <v>17</v>
      </c>
      <c r="D26" s="1" t="s">
        <v>2</v>
      </c>
      <c r="G26" s="7"/>
    </row>
    <row r="27" spans="1:7" x14ac:dyDescent="0.3">
      <c r="A27" t="s">
        <v>42</v>
      </c>
      <c r="B27" s="3">
        <v>0.25</v>
      </c>
      <c r="C27">
        <v>3</v>
      </c>
      <c r="D27">
        <f>C27*B27</f>
        <v>0.75</v>
      </c>
      <c r="G27" s="7"/>
    </row>
    <row r="28" spans="1:7" x14ac:dyDescent="0.3">
      <c r="A28" t="s">
        <v>41</v>
      </c>
      <c r="B28" s="3">
        <v>0.1</v>
      </c>
      <c r="C28">
        <v>5</v>
      </c>
      <c r="D28">
        <f t="shared" ref="D28:D33" si="2">C28*B28</f>
        <v>0.5</v>
      </c>
      <c r="G28" s="7"/>
    </row>
    <row r="29" spans="1:7" x14ac:dyDescent="0.3">
      <c r="A29" t="s">
        <v>40</v>
      </c>
      <c r="B29" s="3">
        <v>0.1</v>
      </c>
      <c r="C29">
        <v>3</v>
      </c>
      <c r="D29">
        <f t="shared" si="2"/>
        <v>0.30000000000000004</v>
      </c>
      <c r="G29" s="7"/>
    </row>
    <row r="30" spans="1:7" x14ac:dyDescent="0.3">
      <c r="A30" t="s">
        <v>39</v>
      </c>
      <c r="B30" s="3">
        <v>0.1</v>
      </c>
      <c r="C30">
        <v>3</v>
      </c>
      <c r="D30">
        <f t="shared" si="2"/>
        <v>0.30000000000000004</v>
      </c>
      <c r="G30" s="7"/>
    </row>
    <row r="31" spans="1:7" x14ac:dyDescent="0.3">
      <c r="A31" t="s">
        <v>38</v>
      </c>
      <c r="B31" s="3">
        <v>0.1</v>
      </c>
      <c r="C31">
        <v>3</v>
      </c>
      <c r="D31">
        <f t="shared" si="2"/>
        <v>0.30000000000000004</v>
      </c>
      <c r="G31" s="7"/>
    </row>
    <row r="32" spans="1:7" x14ac:dyDescent="0.3">
      <c r="A32" t="s">
        <v>37</v>
      </c>
      <c r="B32" s="3">
        <v>0.25</v>
      </c>
      <c r="C32">
        <v>4</v>
      </c>
      <c r="D32">
        <f t="shared" si="2"/>
        <v>1</v>
      </c>
      <c r="G32" s="7"/>
    </row>
    <row r="33" spans="1:7" x14ac:dyDescent="0.3">
      <c r="A33" t="s">
        <v>36</v>
      </c>
      <c r="B33" s="3">
        <v>0.1</v>
      </c>
      <c r="C33">
        <v>4</v>
      </c>
      <c r="D33">
        <f t="shared" si="2"/>
        <v>0.4</v>
      </c>
      <c r="G33" s="7"/>
    </row>
    <row r="34" spans="1:7" ht="15" thickBot="1" x14ac:dyDescent="0.35">
      <c r="B34" s="4">
        <f>SUM(B27:B33)</f>
        <v>0.99999999999999989</v>
      </c>
      <c r="D34" s="6">
        <f>SUM(D27:D33)</f>
        <v>3.5500000000000003</v>
      </c>
      <c r="G34" s="7"/>
    </row>
    <row r="35" spans="1:7" ht="15" thickTop="1" x14ac:dyDescent="0.3">
      <c r="A35" s="9"/>
      <c r="B35" s="9"/>
      <c r="C35" s="9"/>
      <c r="D35" s="9"/>
      <c r="G35" s="7"/>
    </row>
    <row r="36" spans="1:7" x14ac:dyDescent="0.3">
      <c r="A36" t="s">
        <v>13</v>
      </c>
      <c r="G36" s="7"/>
    </row>
    <row r="37" spans="1:7" x14ac:dyDescent="0.3">
      <c r="A37" s="1" t="s">
        <v>0</v>
      </c>
      <c r="B37" s="1" t="s">
        <v>1</v>
      </c>
      <c r="C37" s="1" t="s">
        <v>17</v>
      </c>
      <c r="D37" s="1" t="s">
        <v>2</v>
      </c>
      <c r="G37" s="7"/>
    </row>
    <row r="38" spans="1:7" x14ac:dyDescent="0.3">
      <c r="A38" t="s">
        <v>42</v>
      </c>
      <c r="B38" s="3">
        <v>0.25</v>
      </c>
      <c r="C38">
        <v>4</v>
      </c>
      <c r="D38">
        <f>C38*B38</f>
        <v>1</v>
      </c>
      <c r="G38" s="7"/>
    </row>
    <row r="39" spans="1:7" x14ac:dyDescent="0.3">
      <c r="A39" t="s">
        <v>41</v>
      </c>
      <c r="B39" s="3">
        <v>0.1</v>
      </c>
      <c r="C39">
        <v>5</v>
      </c>
      <c r="D39">
        <f t="shared" ref="D39:D44" si="3">C39*B39</f>
        <v>0.5</v>
      </c>
      <c r="G39" s="7"/>
    </row>
    <row r="40" spans="1:7" x14ac:dyDescent="0.3">
      <c r="A40" t="s">
        <v>40</v>
      </c>
      <c r="B40" s="3">
        <v>0.1</v>
      </c>
      <c r="C40">
        <v>4</v>
      </c>
      <c r="D40">
        <f t="shared" si="3"/>
        <v>0.4</v>
      </c>
      <c r="G40" s="7"/>
    </row>
    <row r="41" spans="1:7" x14ac:dyDescent="0.3">
      <c r="A41" t="s">
        <v>39</v>
      </c>
      <c r="B41" s="3">
        <v>0.1</v>
      </c>
      <c r="C41">
        <v>4</v>
      </c>
      <c r="D41">
        <f t="shared" si="3"/>
        <v>0.4</v>
      </c>
      <c r="G41" s="7"/>
    </row>
    <row r="42" spans="1:7" x14ac:dyDescent="0.3">
      <c r="A42" t="s">
        <v>38</v>
      </c>
      <c r="B42" s="3">
        <v>0.1</v>
      </c>
      <c r="C42">
        <v>5</v>
      </c>
      <c r="D42">
        <f t="shared" si="3"/>
        <v>0.5</v>
      </c>
      <c r="G42" s="7"/>
    </row>
    <row r="43" spans="1:7" x14ac:dyDescent="0.3">
      <c r="A43" t="s">
        <v>37</v>
      </c>
      <c r="B43" s="3">
        <v>0.25</v>
      </c>
      <c r="C43">
        <v>5</v>
      </c>
      <c r="D43">
        <f t="shared" si="3"/>
        <v>1.25</v>
      </c>
      <c r="G43" s="7"/>
    </row>
    <row r="44" spans="1:7" x14ac:dyDescent="0.3">
      <c r="A44" t="s">
        <v>36</v>
      </c>
      <c r="B44" s="3">
        <v>0.1</v>
      </c>
      <c r="C44">
        <v>4</v>
      </c>
      <c r="D44">
        <f t="shared" si="3"/>
        <v>0.4</v>
      </c>
      <c r="G44" s="7"/>
    </row>
    <row r="45" spans="1:7" ht="15" thickBot="1" x14ac:dyDescent="0.35">
      <c r="B45" s="4">
        <f>SUM(B38:B44)</f>
        <v>0.99999999999999989</v>
      </c>
      <c r="D45" s="6">
        <f>SUM(D38:D44)</f>
        <v>4.45</v>
      </c>
      <c r="G45" s="7"/>
    </row>
    <row r="46" spans="1:7" ht="15" thickTop="1" x14ac:dyDescent="0.3">
      <c r="G46" s="7"/>
    </row>
    <row r="47" spans="1:7" x14ac:dyDescent="0.3">
      <c r="A47" t="s">
        <v>14</v>
      </c>
      <c r="G47" s="7"/>
    </row>
    <row r="48" spans="1:7" x14ac:dyDescent="0.3">
      <c r="A48" s="1" t="s">
        <v>0</v>
      </c>
      <c r="B48" s="1" t="s">
        <v>1</v>
      </c>
      <c r="C48" s="1" t="s">
        <v>17</v>
      </c>
      <c r="D48" s="1" t="s">
        <v>2</v>
      </c>
      <c r="G48" s="7"/>
    </row>
    <row r="49" spans="1:7" x14ac:dyDescent="0.3">
      <c r="A49" t="s">
        <v>42</v>
      </c>
      <c r="B49" s="3">
        <v>0.25</v>
      </c>
      <c r="C49">
        <v>4</v>
      </c>
      <c r="D49">
        <f>C49*B49</f>
        <v>1</v>
      </c>
      <c r="G49" s="7"/>
    </row>
    <row r="50" spans="1:7" x14ac:dyDescent="0.3">
      <c r="A50" t="s">
        <v>41</v>
      </c>
      <c r="B50" s="3">
        <v>0.1</v>
      </c>
      <c r="C50">
        <v>5</v>
      </c>
      <c r="D50">
        <f t="shared" ref="D50:D55" si="4">C50*B50</f>
        <v>0.5</v>
      </c>
    </row>
    <row r="51" spans="1:7" x14ac:dyDescent="0.3">
      <c r="A51" t="s">
        <v>40</v>
      </c>
      <c r="B51" s="3">
        <v>0.1</v>
      </c>
      <c r="C51">
        <v>4</v>
      </c>
      <c r="D51">
        <f t="shared" si="4"/>
        <v>0.4</v>
      </c>
      <c r="G51" s="7"/>
    </row>
    <row r="52" spans="1:7" x14ac:dyDescent="0.3">
      <c r="A52" t="s">
        <v>39</v>
      </c>
      <c r="B52" s="3">
        <v>0.1</v>
      </c>
      <c r="C52">
        <v>4</v>
      </c>
      <c r="D52">
        <f t="shared" si="4"/>
        <v>0.4</v>
      </c>
    </row>
    <row r="53" spans="1:7" x14ac:dyDescent="0.3">
      <c r="A53" t="s">
        <v>38</v>
      </c>
      <c r="B53" s="3">
        <v>0.1</v>
      </c>
      <c r="C53">
        <v>5</v>
      </c>
      <c r="D53">
        <f t="shared" si="4"/>
        <v>0.5</v>
      </c>
      <c r="G53" s="7"/>
    </row>
    <row r="54" spans="1:7" x14ac:dyDescent="0.3">
      <c r="A54" t="s">
        <v>37</v>
      </c>
      <c r="B54" s="3">
        <v>0.25</v>
      </c>
      <c r="C54">
        <v>4</v>
      </c>
      <c r="D54">
        <f t="shared" si="4"/>
        <v>1</v>
      </c>
      <c r="G54" s="8"/>
    </row>
    <row r="55" spans="1:7" x14ac:dyDescent="0.3">
      <c r="A55" t="s">
        <v>36</v>
      </c>
      <c r="B55" s="3">
        <v>0.1</v>
      </c>
      <c r="C55">
        <v>4</v>
      </c>
      <c r="D55">
        <f t="shared" si="4"/>
        <v>0.4</v>
      </c>
      <c r="G55" s="8"/>
    </row>
    <row r="56" spans="1:7" ht="15" thickBot="1" x14ac:dyDescent="0.35">
      <c r="B56" s="4">
        <f>SUM(B49:B55)</f>
        <v>0.99999999999999989</v>
      </c>
      <c r="D56" s="6">
        <f>SUM(D49:D55)</f>
        <v>4.2</v>
      </c>
    </row>
    <row r="57" spans="1:7" ht="15" thickTop="1" x14ac:dyDescent="0.3">
      <c r="G57" s="7"/>
    </row>
    <row r="58" spans="1:7" x14ac:dyDescent="0.3">
      <c r="A58" t="s">
        <v>15</v>
      </c>
      <c r="G58" s="8"/>
    </row>
    <row r="59" spans="1:7" x14ac:dyDescent="0.3">
      <c r="A59" s="1" t="s">
        <v>0</v>
      </c>
      <c r="B59" s="1" t="s">
        <v>1</v>
      </c>
      <c r="C59" s="1" t="s">
        <v>17</v>
      </c>
      <c r="D59" s="1" t="s">
        <v>2</v>
      </c>
      <c r="G59" s="8"/>
    </row>
    <row r="60" spans="1:7" x14ac:dyDescent="0.3">
      <c r="A60" t="s">
        <v>42</v>
      </c>
      <c r="B60" s="3">
        <v>0.25</v>
      </c>
      <c r="C60">
        <v>4</v>
      </c>
      <c r="D60">
        <f>C60*B60</f>
        <v>1</v>
      </c>
      <c r="G60" s="8"/>
    </row>
    <row r="61" spans="1:7" x14ac:dyDescent="0.3">
      <c r="A61" t="s">
        <v>41</v>
      </c>
      <c r="B61" s="3">
        <v>0.1</v>
      </c>
      <c r="C61">
        <v>5</v>
      </c>
      <c r="D61">
        <f t="shared" ref="D61:D66" si="5">C61*B61</f>
        <v>0.5</v>
      </c>
      <c r="G61" s="8"/>
    </row>
    <row r="62" spans="1:7" x14ac:dyDescent="0.3">
      <c r="A62" t="s">
        <v>40</v>
      </c>
      <c r="B62" s="3">
        <v>0.1</v>
      </c>
      <c r="C62">
        <v>5</v>
      </c>
      <c r="D62">
        <f t="shared" si="5"/>
        <v>0.5</v>
      </c>
      <c r="G62" s="8"/>
    </row>
    <row r="63" spans="1:7" x14ac:dyDescent="0.3">
      <c r="A63" t="s">
        <v>39</v>
      </c>
      <c r="B63" s="3">
        <v>0.1</v>
      </c>
      <c r="C63">
        <v>5</v>
      </c>
      <c r="D63">
        <f t="shared" si="5"/>
        <v>0.5</v>
      </c>
      <c r="G63" s="8"/>
    </row>
    <row r="64" spans="1:7" x14ac:dyDescent="0.3">
      <c r="A64" t="s">
        <v>38</v>
      </c>
      <c r="B64" s="3">
        <v>0.1</v>
      </c>
      <c r="C64">
        <v>5</v>
      </c>
      <c r="D64">
        <f t="shared" si="5"/>
        <v>0.5</v>
      </c>
      <c r="G64" s="8"/>
    </row>
    <row r="65" spans="1:7" x14ac:dyDescent="0.3">
      <c r="A65" t="s">
        <v>37</v>
      </c>
      <c r="B65" s="3">
        <v>0.25</v>
      </c>
      <c r="C65">
        <v>5</v>
      </c>
      <c r="D65">
        <f t="shared" si="5"/>
        <v>1.25</v>
      </c>
      <c r="G65" s="8"/>
    </row>
    <row r="66" spans="1:7" x14ac:dyDescent="0.3">
      <c r="A66" t="s">
        <v>36</v>
      </c>
      <c r="B66" s="3">
        <v>0.1</v>
      </c>
      <c r="C66">
        <v>4</v>
      </c>
      <c r="D66">
        <f t="shared" si="5"/>
        <v>0.4</v>
      </c>
      <c r="G66" s="8"/>
    </row>
    <row r="67" spans="1:7" ht="15" thickBot="1" x14ac:dyDescent="0.35">
      <c r="B67" s="4">
        <f>SUM(B60:B66)</f>
        <v>0.99999999999999989</v>
      </c>
      <c r="D67" s="6">
        <f>SUM(D60:D66)</f>
        <v>4.6500000000000004</v>
      </c>
      <c r="G67" s="7"/>
    </row>
    <row r="68" spans="1:7" ht="15" thickTop="1" x14ac:dyDescent="0.3"/>
    <row r="69" spans="1:7" x14ac:dyDescent="0.3">
      <c r="G69" s="7"/>
    </row>
    <row r="70" spans="1:7" x14ac:dyDescent="0.3">
      <c r="G70" s="8"/>
    </row>
    <row r="71" spans="1:7" x14ac:dyDescent="0.3">
      <c r="G71" s="8"/>
    </row>
    <row r="72" spans="1:7" x14ac:dyDescent="0.3">
      <c r="G72" s="8"/>
    </row>
    <row r="74" spans="1:7" x14ac:dyDescent="0.3">
      <c r="G74" s="7"/>
    </row>
    <row r="76" spans="1:7" x14ac:dyDescent="0.3">
      <c r="G76" s="7"/>
    </row>
    <row r="77" spans="1:7" x14ac:dyDescent="0.3">
      <c r="G77" s="8"/>
    </row>
    <row r="78" spans="1:7" x14ac:dyDescent="0.3">
      <c r="G78" s="8"/>
    </row>
    <row r="79" spans="1:7" x14ac:dyDescent="0.3">
      <c r="G79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C21FB-5972-492A-91D7-FE14756BBAD4}">
  <dimension ref="A1:G112"/>
  <sheetViews>
    <sheetView zoomScale="80" zoomScaleNormal="80" workbookViewId="0">
      <selection activeCell="C100" sqref="C100"/>
    </sheetView>
  </sheetViews>
  <sheetFormatPr defaultRowHeight="14.4" x14ac:dyDescent="0.3"/>
  <cols>
    <col min="1" max="1" width="122.77734375" bestFit="1" customWidth="1"/>
    <col min="2" max="2" width="6.77734375" bestFit="1" customWidth="1"/>
    <col min="3" max="3" width="10.21875" bestFit="1" customWidth="1"/>
    <col min="4" max="4" width="13.88671875" bestFit="1" customWidth="1"/>
    <col min="6" max="6" width="15.33203125" bestFit="1" customWidth="1"/>
  </cols>
  <sheetData>
    <row r="1" spans="1:7" x14ac:dyDescent="0.3">
      <c r="A1" s="2" t="s">
        <v>3</v>
      </c>
      <c r="B1" s="5">
        <v>5</v>
      </c>
    </row>
    <row r="2" spans="1:7" x14ac:dyDescent="0.3">
      <c r="F2" s="10" t="s">
        <v>35</v>
      </c>
      <c r="G2" s="7"/>
    </row>
    <row r="3" spans="1:7" x14ac:dyDescent="0.3">
      <c r="A3" t="s">
        <v>7</v>
      </c>
      <c r="F3">
        <f>D12</f>
        <v>3.6500000000000004</v>
      </c>
      <c r="G3" s="7"/>
    </row>
    <row r="4" spans="1:7" x14ac:dyDescent="0.3">
      <c r="A4" s="1" t="s">
        <v>0</v>
      </c>
      <c r="B4" s="1" t="s">
        <v>1</v>
      </c>
      <c r="C4" s="1" t="s">
        <v>17</v>
      </c>
      <c r="D4" s="1" t="s">
        <v>2</v>
      </c>
      <c r="F4">
        <f>D23</f>
        <v>3.65</v>
      </c>
      <c r="G4" s="7"/>
    </row>
    <row r="5" spans="1:7" x14ac:dyDescent="0.3">
      <c r="A5" t="s">
        <v>42</v>
      </c>
      <c r="B5" s="3">
        <v>0.25</v>
      </c>
      <c r="C5">
        <v>4</v>
      </c>
      <c r="D5">
        <f>C5*B5</f>
        <v>1</v>
      </c>
      <c r="F5">
        <f>D34</f>
        <v>3.3000000000000003</v>
      </c>
      <c r="G5" s="7"/>
    </row>
    <row r="6" spans="1:7" x14ac:dyDescent="0.3">
      <c r="A6" t="s">
        <v>41</v>
      </c>
      <c r="B6" s="3">
        <v>0.1</v>
      </c>
      <c r="C6">
        <v>5</v>
      </c>
      <c r="D6">
        <f t="shared" ref="D6:D11" si="0">C6*B6</f>
        <v>0.5</v>
      </c>
      <c r="F6">
        <f>D45</f>
        <v>2.2999999999999998</v>
      </c>
      <c r="G6" s="7"/>
    </row>
    <row r="7" spans="1:7" x14ac:dyDescent="0.3">
      <c r="A7" t="s">
        <v>40</v>
      </c>
      <c r="B7" s="3">
        <v>0.1</v>
      </c>
      <c r="C7">
        <v>4</v>
      </c>
      <c r="D7">
        <f t="shared" si="0"/>
        <v>0.4</v>
      </c>
      <c r="F7">
        <f>D56</f>
        <v>3.65</v>
      </c>
      <c r="G7" s="7"/>
    </row>
    <row r="8" spans="1:7" x14ac:dyDescent="0.3">
      <c r="A8" t="s">
        <v>39</v>
      </c>
      <c r="B8" s="3">
        <v>0.1</v>
      </c>
      <c r="C8">
        <v>3</v>
      </c>
      <c r="D8">
        <f t="shared" si="0"/>
        <v>0.30000000000000004</v>
      </c>
      <c r="F8">
        <f>D67</f>
        <v>3.4</v>
      </c>
      <c r="G8" s="7"/>
    </row>
    <row r="9" spans="1:7" x14ac:dyDescent="0.3">
      <c r="A9" t="s">
        <v>38</v>
      </c>
      <c r="B9" s="3">
        <v>0.1</v>
      </c>
      <c r="C9">
        <v>2</v>
      </c>
      <c r="D9">
        <f t="shared" si="0"/>
        <v>0.2</v>
      </c>
      <c r="F9">
        <f>D78</f>
        <v>3.3000000000000003</v>
      </c>
      <c r="G9" s="7"/>
    </row>
    <row r="10" spans="1:7" x14ac:dyDescent="0.3">
      <c r="A10" t="s">
        <v>37</v>
      </c>
      <c r="B10" s="3">
        <v>0.25</v>
      </c>
      <c r="C10">
        <v>3</v>
      </c>
      <c r="D10">
        <f t="shared" si="0"/>
        <v>0.75</v>
      </c>
      <c r="F10">
        <f>D89</f>
        <v>3.2499999999999996</v>
      </c>
      <c r="G10" s="7"/>
    </row>
    <row r="11" spans="1:7" x14ac:dyDescent="0.3">
      <c r="A11" t="s">
        <v>36</v>
      </c>
      <c r="B11" s="3">
        <v>0.1</v>
      </c>
      <c r="C11">
        <v>5</v>
      </c>
      <c r="D11">
        <f t="shared" si="0"/>
        <v>0.5</v>
      </c>
      <c r="F11">
        <f>D100</f>
        <v>3.4</v>
      </c>
      <c r="G11" s="7"/>
    </row>
    <row r="12" spans="1:7" ht="15" thickBot="1" x14ac:dyDescent="0.35">
      <c r="B12" s="4">
        <f>SUM(B5:B11)</f>
        <v>0.99999999999999989</v>
      </c>
      <c r="D12" s="6">
        <f>SUM(D5:D11)</f>
        <v>3.6500000000000004</v>
      </c>
      <c r="G12" s="7"/>
    </row>
    <row r="13" spans="1:7" ht="15" thickTop="1" x14ac:dyDescent="0.3">
      <c r="G13" s="7"/>
    </row>
    <row r="14" spans="1:7" x14ac:dyDescent="0.3">
      <c r="A14" t="s">
        <v>8</v>
      </c>
      <c r="G14" s="7"/>
    </row>
    <row r="15" spans="1:7" x14ac:dyDescent="0.3">
      <c r="A15" s="1" t="s">
        <v>0</v>
      </c>
      <c r="B15" s="1" t="s">
        <v>1</v>
      </c>
      <c r="C15" s="1" t="s">
        <v>17</v>
      </c>
      <c r="D15" s="1" t="s">
        <v>2</v>
      </c>
      <c r="G15" s="7"/>
    </row>
    <row r="16" spans="1:7" x14ac:dyDescent="0.3">
      <c r="A16" t="s">
        <v>42</v>
      </c>
      <c r="B16" s="3">
        <v>0.25</v>
      </c>
      <c r="C16">
        <v>3</v>
      </c>
      <c r="D16">
        <f>C16*B16</f>
        <v>0.75</v>
      </c>
      <c r="G16" s="7"/>
    </row>
    <row r="17" spans="1:7" x14ac:dyDescent="0.3">
      <c r="A17" t="s">
        <v>41</v>
      </c>
      <c r="B17" s="3">
        <v>0.1</v>
      </c>
      <c r="C17">
        <v>5</v>
      </c>
      <c r="D17">
        <f t="shared" ref="D17:D22" si="1">C17*B17</f>
        <v>0.5</v>
      </c>
      <c r="G17" s="7"/>
    </row>
    <row r="18" spans="1:7" x14ac:dyDescent="0.3">
      <c r="A18" t="s">
        <v>40</v>
      </c>
      <c r="B18" s="3">
        <v>0.1</v>
      </c>
      <c r="C18">
        <v>4</v>
      </c>
      <c r="D18">
        <f t="shared" si="1"/>
        <v>0.4</v>
      </c>
      <c r="G18" s="7"/>
    </row>
    <row r="19" spans="1:7" x14ac:dyDescent="0.3">
      <c r="A19" t="s">
        <v>39</v>
      </c>
      <c r="B19" s="3">
        <v>0.1</v>
      </c>
      <c r="C19">
        <v>3</v>
      </c>
      <c r="D19">
        <f t="shared" si="1"/>
        <v>0.30000000000000004</v>
      </c>
      <c r="G19" s="7"/>
    </row>
    <row r="20" spans="1:7" x14ac:dyDescent="0.3">
      <c r="A20" t="s">
        <v>38</v>
      </c>
      <c r="B20" s="3">
        <v>0.1</v>
      </c>
      <c r="C20">
        <v>3</v>
      </c>
      <c r="D20">
        <f t="shared" si="1"/>
        <v>0.30000000000000004</v>
      </c>
      <c r="G20" s="7"/>
    </row>
    <row r="21" spans="1:7" x14ac:dyDescent="0.3">
      <c r="A21" t="s">
        <v>37</v>
      </c>
      <c r="B21" s="3">
        <v>0.25</v>
      </c>
      <c r="C21">
        <v>4</v>
      </c>
      <c r="D21">
        <f t="shared" si="1"/>
        <v>1</v>
      </c>
      <c r="G21" s="7"/>
    </row>
    <row r="22" spans="1:7" x14ac:dyDescent="0.3">
      <c r="A22" t="s">
        <v>36</v>
      </c>
      <c r="B22" s="3">
        <v>0.1</v>
      </c>
      <c r="C22">
        <v>4</v>
      </c>
      <c r="D22">
        <f t="shared" si="1"/>
        <v>0.4</v>
      </c>
      <c r="G22" s="7"/>
    </row>
    <row r="23" spans="1:7" ht="15" thickBot="1" x14ac:dyDescent="0.35">
      <c r="B23" s="4">
        <f>SUM(B16:B22)</f>
        <v>0.99999999999999989</v>
      </c>
      <c r="D23" s="6">
        <f>SUM(D16:D22)</f>
        <v>3.65</v>
      </c>
      <c r="G23" s="7"/>
    </row>
    <row r="24" spans="1:7" ht="15" thickTop="1" x14ac:dyDescent="0.3">
      <c r="G24" s="7"/>
    </row>
    <row r="25" spans="1:7" x14ac:dyDescent="0.3">
      <c r="A25" t="s">
        <v>9</v>
      </c>
      <c r="G25" s="7"/>
    </row>
    <row r="26" spans="1:7" x14ac:dyDescent="0.3">
      <c r="A26" s="1" t="s">
        <v>0</v>
      </c>
      <c r="B26" s="1" t="s">
        <v>1</v>
      </c>
      <c r="C26" s="1" t="s">
        <v>17</v>
      </c>
      <c r="D26" s="1" t="s">
        <v>2</v>
      </c>
      <c r="G26" s="7"/>
    </row>
    <row r="27" spans="1:7" x14ac:dyDescent="0.3">
      <c r="A27" t="s">
        <v>42</v>
      </c>
      <c r="B27" s="3">
        <v>0.25</v>
      </c>
      <c r="C27">
        <v>3</v>
      </c>
      <c r="D27">
        <f>C27*B27</f>
        <v>0.75</v>
      </c>
      <c r="G27" s="7"/>
    </row>
    <row r="28" spans="1:7" x14ac:dyDescent="0.3">
      <c r="A28" t="s">
        <v>41</v>
      </c>
      <c r="B28" s="3">
        <v>0.1</v>
      </c>
      <c r="C28">
        <v>5</v>
      </c>
      <c r="D28">
        <f t="shared" ref="D28:D33" si="2">C28*B28</f>
        <v>0.5</v>
      </c>
      <c r="G28" s="7"/>
    </row>
    <row r="29" spans="1:7" x14ac:dyDescent="0.3">
      <c r="A29" t="s">
        <v>40</v>
      </c>
      <c r="B29" s="3">
        <v>0.1</v>
      </c>
      <c r="C29">
        <v>3</v>
      </c>
      <c r="D29">
        <f t="shared" si="2"/>
        <v>0.30000000000000004</v>
      </c>
      <c r="G29" s="7"/>
    </row>
    <row r="30" spans="1:7" x14ac:dyDescent="0.3">
      <c r="A30" t="s">
        <v>39</v>
      </c>
      <c r="B30" s="3">
        <v>0.1</v>
      </c>
      <c r="C30">
        <v>3</v>
      </c>
      <c r="D30">
        <f t="shared" si="2"/>
        <v>0.30000000000000004</v>
      </c>
      <c r="G30" s="7"/>
    </row>
    <row r="31" spans="1:7" x14ac:dyDescent="0.3">
      <c r="A31" t="s">
        <v>38</v>
      </c>
      <c r="B31" s="3">
        <v>0.1</v>
      </c>
      <c r="C31">
        <v>3</v>
      </c>
      <c r="D31">
        <f t="shared" si="2"/>
        <v>0.30000000000000004</v>
      </c>
      <c r="G31" s="7"/>
    </row>
    <row r="32" spans="1:7" x14ac:dyDescent="0.3">
      <c r="A32" t="s">
        <v>37</v>
      </c>
      <c r="B32" s="3">
        <v>0.25</v>
      </c>
      <c r="C32">
        <v>3</v>
      </c>
      <c r="D32">
        <f t="shared" si="2"/>
        <v>0.75</v>
      </c>
      <c r="G32" s="7"/>
    </row>
    <row r="33" spans="1:7" x14ac:dyDescent="0.3">
      <c r="A33" t="s">
        <v>36</v>
      </c>
      <c r="B33" s="3">
        <v>0.1</v>
      </c>
      <c r="C33">
        <v>4</v>
      </c>
      <c r="D33">
        <f t="shared" si="2"/>
        <v>0.4</v>
      </c>
      <c r="G33" s="7"/>
    </row>
    <row r="34" spans="1:7" ht="15" thickBot="1" x14ac:dyDescent="0.35">
      <c r="B34" s="4">
        <f>SUM(B27:B33)</f>
        <v>0.99999999999999989</v>
      </c>
      <c r="D34" s="6">
        <f>SUM(D27:D33)</f>
        <v>3.3000000000000003</v>
      </c>
      <c r="G34" s="7"/>
    </row>
    <row r="35" spans="1:7" ht="15" thickTop="1" x14ac:dyDescent="0.3">
      <c r="G35" s="7"/>
    </row>
    <row r="36" spans="1:7" x14ac:dyDescent="0.3">
      <c r="A36" t="s">
        <v>10</v>
      </c>
      <c r="G36" s="7"/>
    </row>
    <row r="37" spans="1:7" x14ac:dyDescent="0.3">
      <c r="A37" s="1" t="s">
        <v>0</v>
      </c>
      <c r="B37" s="1" t="s">
        <v>1</v>
      </c>
      <c r="C37" s="1" t="s">
        <v>17</v>
      </c>
      <c r="D37" s="1" t="s">
        <v>2</v>
      </c>
      <c r="G37" s="7"/>
    </row>
    <row r="38" spans="1:7" x14ac:dyDescent="0.3">
      <c r="A38" t="s">
        <v>42</v>
      </c>
      <c r="B38" s="3">
        <v>0.25</v>
      </c>
      <c r="C38">
        <v>2</v>
      </c>
      <c r="D38">
        <f>C38*B38</f>
        <v>0.5</v>
      </c>
      <c r="G38" s="7"/>
    </row>
    <row r="39" spans="1:7" x14ac:dyDescent="0.3">
      <c r="A39" t="s">
        <v>41</v>
      </c>
      <c r="B39" s="3">
        <v>0.1</v>
      </c>
      <c r="C39">
        <v>3</v>
      </c>
      <c r="D39">
        <f t="shared" ref="D39:D44" si="3">C39*B39</f>
        <v>0.30000000000000004</v>
      </c>
      <c r="G39" s="7"/>
    </row>
    <row r="40" spans="1:7" x14ac:dyDescent="0.3">
      <c r="A40" t="s">
        <v>40</v>
      </c>
      <c r="B40" s="3">
        <v>0.1</v>
      </c>
      <c r="C40">
        <v>2</v>
      </c>
      <c r="D40">
        <f t="shared" si="3"/>
        <v>0.2</v>
      </c>
      <c r="G40" s="7"/>
    </row>
    <row r="41" spans="1:7" x14ac:dyDescent="0.3">
      <c r="A41" t="s">
        <v>39</v>
      </c>
      <c r="B41" s="3">
        <v>0.1</v>
      </c>
      <c r="C41">
        <v>2</v>
      </c>
      <c r="D41">
        <f t="shared" si="3"/>
        <v>0.2</v>
      </c>
      <c r="G41" s="7"/>
    </row>
    <row r="42" spans="1:7" x14ac:dyDescent="0.3">
      <c r="A42" t="s">
        <v>38</v>
      </c>
      <c r="B42" s="3">
        <v>0.1</v>
      </c>
      <c r="C42">
        <v>3</v>
      </c>
      <c r="D42">
        <f t="shared" si="3"/>
        <v>0.30000000000000004</v>
      </c>
      <c r="G42" s="7"/>
    </row>
    <row r="43" spans="1:7" x14ac:dyDescent="0.3">
      <c r="A43" t="s">
        <v>37</v>
      </c>
      <c r="B43" s="3">
        <v>0.25</v>
      </c>
      <c r="C43">
        <v>2</v>
      </c>
      <c r="D43">
        <f t="shared" si="3"/>
        <v>0.5</v>
      </c>
      <c r="G43" s="7"/>
    </row>
    <row r="44" spans="1:7" x14ac:dyDescent="0.3">
      <c r="A44" t="s">
        <v>36</v>
      </c>
      <c r="B44" s="3">
        <v>0.1</v>
      </c>
      <c r="C44">
        <v>3</v>
      </c>
      <c r="D44">
        <f t="shared" si="3"/>
        <v>0.30000000000000004</v>
      </c>
      <c r="G44" s="7"/>
    </row>
    <row r="45" spans="1:7" ht="15" thickBot="1" x14ac:dyDescent="0.35">
      <c r="B45" s="4">
        <f>SUM(B38:B44)</f>
        <v>0.99999999999999989</v>
      </c>
      <c r="D45" s="6">
        <f>SUM(D38:D44)</f>
        <v>2.2999999999999998</v>
      </c>
      <c r="G45" s="7"/>
    </row>
    <row r="46" spans="1:7" ht="15" thickTop="1" x14ac:dyDescent="0.3">
      <c r="A46" s="9"/>
      <c r="B46" s="9"/>
      <c r="C46" s="9"/>
      <c r="D46" s="9"/>
      <c r="G46" s="7"/>
    </row>
    <row r="47" spans="1:7" x14ac:dyDescent="0.3">
      <c r="A47" t="s">
        <v>11</v>
      </c>
      <c r="G47" s="7"/>
    </row>
    <row r="48" spans="1:7" x14ac:dyDescent="0.3">
      <c r="A48" s="1" t="s">
        <v>0</v>
      </c>
      <c r="B48" s="1" t="s">
        <v>1</v>
      </c>
      <c r="C48" s="1" t="s">
        <v>17</v>
      </c>
      <c r="D48" s="1" t="s">
        <v>2</v>
      </c>
      <c r="G48" s="7"/>
    </row>
    <row r="49" spans="1:7" x14ac:dyDescent="0.3">
      <c r="A49" t="s">
        <v>42</v>
      </c>
      <c r="B49" s="3">
        <v>0.25</v>
      </c>
      <c r="C49">
        <v>3</v>
      </c>
      <c r="D49">
        <f t="shared" ref="D49:D55" si="4">C49*B49</f>
        <v>0.75</v>
      </c>
      <c r="G49" s="7"/>
    </row>
    <row r="50" spans="1:7" x14ac:dyDescent="0.3">
      <c r="A50" t="s">
        <v>41</v>
      </c>
      <c r="B50" s="3">
        <v>0.1</v>
      </c>
      <c r="C50">
        <v>5</v>
      </c>
      <c r="D50">
        <f t="shared" si="4"/>
        <v>0.5</v>
      </c>
      <c r="G50" s="7"/>
    </row>
    <row r="51" spans="1:7" x14ac:dyDescent="0.3">
      <c r="A51" t="s">
        <v>40</v>
      </c>
      <c r="B51" s="3">
        <v>0.1</v>
      </c>
      <c r="C51">
        <v>3</v>
      </c>
      <c r="D51">
        <f t="shared" si="4"/>
        <v>0.30000000000000004</v>
      </c>
      <c r="G51" s="7"/>
    </row>
    <row r="52" spans="1:7" x14ac:dyDescent="0.3">
      <c r="A52" t="s">
        <v>39</v>
      </c>
      <c r="B52" s="3">
        <v>0.1</v>
      </c>
      <c r="C52">
        <v>4</v>
      </c>
      <c r="D52">
        <f t="shared" si="4"/>
        <v>0.4</v>
      </c>
      <c r="G52" s="7"/>
    </row>
    <row r="53" spans="1:7" x14ac:dyDescent="0.3">
      <c r="A53" t="s">
        <v>38</v>
      </c>
      <c r="B53" s="3">
        <v>0.1</v>
      </c>
      <c r="C53">
        <v>3</v>
      </c>
      <c r="D53">
        <f t="shared" si="4"/>
        <v>0.30000000000000004</v>
      </c>
      <c r="G53" s="7"/>
    </row>
    <row r="54" spans="1:7" x14ac:dyDescent="0.3">
      <c r="A54" t="s">
        <v>37</v>
      </c>
      <c r="B54" s="3">
        <v>0.25</v>
      </c>
      <c r="C54">
        <v>4</v>
      </c>
      <c r="D54">
        <f t="shared" si="4"/>
        <v>1</v>
      </c>
      <c r="G54" s="7"/>
    </row>
    <row r="55" spans="1:7" x14ac:dyDescent="0.3">
      <c r="A55" t="s">
        <v>36</v>
      </c>
      <c r="B55" s="3">
        <v>0.1</v>
      </c>
      <c r="C55">
        <v>4</v>
      </c>
      <c r="D55">
        <f t="shared" si="4"/>
        <v>0.4</v>
      </c>
      <c r="G55" s="7"/>
    </row>
    <row r="56" spans="1:7" ht="15" thickBot="1" x14ac:dyDescent="0.35">
      <c r="B56" s="4">
        <f>SUM(B49:B55)</f>
        <v>0.99999999999999989</v>
      </c>
      <c r="D56" s="6">
        <f>SUM(D49:D55)</f>
        <v>3.65</v>
      </c>
      <c r="G56" s="7"/>
    </row>
    <row r="57" spans="1:7" ht="15" thickTop="1" x14ac:dyDescent="0.3">
      <c r="A57" s="9"/>
      <c r="B57" s="9"/>
      <c r="C57" s="9"/>
      <c r="D57" s="9"/>
      <c r="G57" s="7"/>
    </row>
    <row r="58" spans="1:7" x14ac:dyDescent="0.3">
      <c r="A58" t="s">
        <v>12</v>
      </c>
      <c r="G58" s="7"/>
    </row>
    <row r="59" spans="1:7" x14ac:dyDescent="0.3">
      <c r="A59" s="1" t="s">
        <v>0</v>
      </c>
      <c r="B59" s="1" t="s">
        <v>1</v>
      </c>
      <c r="C59" s="1" t="s">
        <v>17</v>
      </c>
      <c r="D59" s="1" t="s">
        <v>2</v>
      </c>
      <c r="G59" s="7"/>
    </row>
    <row r="60" spans="1:7" x14ac:dyDescent="0.3">
      <c r="A60" t="s">
        <v>42</v>
      </c>
      <c r="B60" s="3">
        <v>0.25</v>
      </c>
      <c r="C60">
        <v>3</v>
      </c>
      <c r="D60">
        <f t="shared" ref="D60:D66" si="5">C60*B60</f>
        <v>0.75</v>
      </c>
      <c r="G60" s="7"/>
    </row>
    <row r="61" spans="1:7" x14ac:dyDescent="0.3">
      <c r="A61" t="s">
        <v>41</v>
      </c>
      <c r="B61" s="3">
        <v>0.1</v>
      </c>
      <c r="C61">
        <v>5</v>
      </c>
      <c r="D61">
        <f t="shared" si="5"/>
        <v>0.5</v>
      </c>
      <c r="G61" s="7"/>
    </row>
    <row r="62" spans="1:7" x14ac:dyDescent="0.3">
      <c r="A62" t="s">
        <v>40</v>
      </c>
      <c r="B62" s="3">
        <v>0.1</v>
      </c>
      <c r="C62">
        <v>4</v>
      </c>
      <c r="D62">
        <f t="shared" si="5"/>
        <v>0.4</v>
      </c>
      <c r="G62" s="7"/>
    </row>
    <row r="63" spans="1:7" x14ac:dyDescent="0.3">
      <c r="A63" t="s">
        <v>39</v>
      </c>
      <c r="B63" s="3">
        <v>0.1</v>
      </c>
      <c r="C63">
        <v>3</v>
      </c>
      <c r="D63">
        <f t="shared" si="5"/>
        <v>0.30000000000000004</v>
      </c>
      <c r="G63" s="7"/>
    </row>
    <row r="64" spans="1:7" x14ac:dyDescent="0.3">
      <c r="A64" t="s">
        <v>38</v>
      </c>
      <c r="B64" s="3">
        <v>0.1</v>
      </c>
      <c r="C64">
        <v>3</v>
      </c>
      <c r="D64">
        <f t="shared" si="5"/>
        <v>0.30000000000000004</v>
      </c>
      <c r="G64" s="7"/>
    </row>
    <row r="65" spans="1:7" x14ac:dyDescent="0.3">
      <c r="A65" t="s">
        <v>37</v>
      </c>
      <c r="B65" s="3">
        <v>0.25</v>
      </c>
      <c r="C65">
        <v>3</v>
      </c>
      <c r="D65">
        <f t="shared" si="5"/>
        <v>0.75</v>
      </c>
      <c r="G65" s="7"/>
    </row>
    <row r="66" spans="1:7" x14ac:dyDescent="0.3">
      <c r="A66" t="s">
        <v>36</v>
      </c>
      <c r="B66" s="3">
        <v>0.1</v>
      </c>
      <c r="C66">
        <v>4</v>
      </c>
      <c r="D66">
        <f t="shared" si="5"/>
        <v>0.4</v>
      </c>
      <c r="G66" s="7"/>
    </row>
    <row r="67" spans="1:7" ht="15" thickBot="1" x14ac:dyDescent="0.35">
      <c r="B67" s="4">
        <f>SUM(B60:B66)</f>
        <v>0.99999999999999989</v>
      </c>
      <c r="D67" s="6">
        <f>SUM(D60:D66)</f>
        <v>3.4</v>
      </c>
      <c r="G67" s="7"/>
    </row>
    <row r="68" spans="1:7" ht="15" thickTop="1" x14ac:dyDescent="0.3">
      <c r="A68" s="9"/>
      <c r="B68" s="9"/>
      <c r="C68" s="9"/>
      <c r="D68" s="9"/>
      <c r="G68" s="7"/>
    </row>
    <row r="69" spans="1:7" x14ac:dyDescent="0.3">
      <c r="A69" t="s">
        <v>13</v>
      </c>
      <c r="G69" s="7"/>
    </row>
    <row r="70" spans="1:7" x14ac:dyDescent="0.3">
      <c r="A70" s="1" t="s">
        <v>0</v>
      </c>
      <c r="B70" s="1" t="s">
        <v>1</v>
      </c>
      <c r="C70" s="1" t="s">
        <v>17</v>
      </c>
      <c r="D70" s="1" t="s">
        <v>2</v>
      </c>
      <c r="G70" s="7"/>
    </row>
    <row r="71" spans="1:7" x14ac:dyDescent="0.3">
      <c r="A71" t="s">
        <v>42</v>
      </c>
      <c r="B71" s="3">
        <v>0.25</v>
      </c>
      <c r="C71">
        <v>3</v>
      </c>
      <c r="D71">
        <f>C71*B71</f>
        <v>0.75</v>
      </c>
      <c r="G71" s="7"/>
    </row>
    <row r="72" spans="1:7" x14ac:dyDescent="0.3">
      <c r="A72" t="s">
        <v>41</v>
      </c>
      <c r="B72" s="3">
        <v>0.1</v>
      </c>
      <c r="C72">
        <v>5</v>
      </c>
      <c r="D72">
        <f t="shared" ref="D72:D77" si="6">C72*B72</f>
        <v>0.5</v>
      </c>
      <c r="G72" s="7"/>
    </row>
    <row r="73" spans="1:7" x14ac:dyDescent="0.3">
      <c r="A73" t="s">
        <v>40</v>
      </c>
      <c r="B73" s="3">
        <v>0.1</v>
      </c>
      <c r="C73">
        <v>3</v>
      </c>
      <c r="D73">
        <f t="shared" si="6"/>
        <v>0.30000000000000004</v>
      </c>
      <c r="G73" s="7"/>
    </row>
    <row r="74" spans="1:7" x14ac:dyDescent="0.3">
      <c r="A74" t="s">
        <v>39</v>
      </c>
      <c r="B74" s="3">
        <v>0.1</v>
      </c>
      <c r="C74">
        <v>3</v>
      </c>
      <c r="D74">
        <f t="shared" si="6"/>
        <v>0.30000000000000004</v>
      </c>
      <c r="G74" s="7"/>
    </row>
    <row r="75" spans="1:7" x14ac:dyDescent="0.3">
      <c r="A75" t="s">
        <v>38</v>
      </c>
      <c r="B75" s="3">
        <v>0.1</v>
      </c>
      <c r="C75">
        <v>3</v>
      </c>
      <c r="D75">
        <f t="shared" si="6"/>
        <v>0.30000000000000004</v>
      </c>
      <c r="G75" s="7"/>
    </row>
    <row r="76" spans="1:7" x14ac:dyDescent="0.3">
      <c r="A76" t="s">
        <v>37</v>
      </c>
      <c r="B76" s="3">
        <v>0.25</v>
      </c>
      <c r="C76">
        <v>3</v>
      </c>
      <c r="D76">
        <f t="shared" si="6"/>
        <v>0.75</v>
      </c>
      <c r="G76" s="7"/>
    </row>
    <row r="77" spans="1:7" x14ac:dyDescent="0.3">
      <c r="A77" t="s">
        <v>36</v>
      </c>
      <c r="B77" s="3">
        <v>0.1</v>
      </c>
      <c r="C77">
        <v>4</v>
      </c>
      <c r="D77">
        <f t="shared" si="6"/>
        <v>0.4</v>
      </c>
      <c r="G77" s="7"/>
    </row>
    <row r="78" spans="1:7" ht="15" thickBot="1" x14ac:dyDescent="0.35">
      <c r="B78" s="4">
        <f>SUM(B71:B77)</f>
        <v>0.99999999999999989</v>
      </c>
      <c r="D78" s="6">
        <f>SUM(D71:D77)</f>
        <v>3.3000000000000003</v>
      </c>
      <c r="G78" s="7"/>
    </row>
    <row r="79" spans="1:7" ht="15" thickTop="1" x14ac:dyDescent="0.3">
      <c r="G79" s="7"/>
    </row>
    <row r="80" spans="1:7" x14ac:dyDescent="0.3">
      <c r="A80" t="s">
        <v>14</v>
      </c>
      <c r="G80" s="7"/>
    </row>
    <row r="81" spans="1:7" x14ac:dyDescent="0.3">
      <c r="A81" s="1" t="s">
        <v>0</v>
      </c>
      <c r="B81" s="1" t="s">
        <v>1</v>
      </c>
      <c r="C81" s="1" t="s">
        <v>17</v>
      </c>
      <c r="D81" s="1" t="s">
        <v>2</v>
      </c>
      <c r="G81" s="7"/>
    </row>
    <row r="82" spans="1:7" x14ac:dyDescent="0.3">
      <c r="A82" t="s">
        <v>42</v>
      </c>
      <c r="B82" s="3">
        <v>0.25</v>
      </c>
      <c r="C82">
        <v>2</v>
      </c>
      <c r="D82">
        <f>C82*B82</f>
        <v>0.5</v>
      </c>
      <c r="G82" s="7"/>
    </row>
    <row r="83" spans="1:7" x14ac:dyDescent="0.3">
      <c r="A83" t="s">
        <v>41</v>
      </c>
      <c r="B83" s="3">
        <v>0.1</v>
      </c>
      <c r="C83">
        <v>5</v>
      </c>
      <c r="D83">
        <f t="shared" ref="D83:D88" si="7">C83*B83</f>
        <v>0.5</v>
      </c>
    </row>
    <row r="84" spans="1:7" x14ac:dyDescent="0.3">
      <c r="A84" t="s">
        <v>40</v>
      </c>
      <c r="B84" s="3">
        <v>0.1</v>
      </c>
      <c r="C84">
        <v>4</v>
      </c>
      <c r="D84">
        <f t="shared" si="7"/>
        <v>0.4</v>
      </c>
      <c r="G84" s="7"/>
    </row>
    <row r="85" spans="1:7" x14ac:dyDescent="0.3">
      <c r="A85" t="s">
        <v>39</v>
      </c>
      <c r="B85" s="3">
        <v>0.1</v>
      </c>
      <c r="C85">
        <v>4</v>
      </c>
      <c r="D85">
        <f t="shared" si="7"/>
        <v>0.4</v>
      </c>
    </row>
    <row r="86" spans="1:7" x14ac:dyDescent="0.3">
      <c r="A86" t="s">
        <v>38</v>
      </c>
      <c r="B86" s="3">
        <v>0.1</v>
      </c>
      <c r="C86">
        <v>3</v>
      </c>
      <c r="D86">
        <f t="shared" si="7"/>
        <v>0.30000000000000004</v>
      </c>
      <c r="G86" s="7"/>
    </row>
    <row r="87" spans="1:7" x14ac:dyDescent="0.3">
      <c r="A87" t="s">
        <v>37</v>
      </c>
      <c r="B87" s="3">
        <v>0.25</v>
      </c>
      <c r="C87">
        <v>3</v>
      </c>
      <c r="D87">
        <f t="shared" si="7"/>
        <v>0.75</v>
      </c>
      <c r="G87" s="8"/>
    </row>
    <row r="88" spans="1:7" x14ac:dyDescent="0.3">
      <c r="A88" t="s">
        <v>36</v>
      </c>
      <c r="B88" s="3">
        <v>0.1</v>
      </c>
      <c r="C88">
        <v>4</v>
      </c>
      <c r="D88">
        <f t="shared" si="7"/>
        <v>0.4</v>
      </c>
      <c r="G88" s="8"/>
    </row>
    <row r="89" spans="1:7" ht="15" thickBot="1" x14ac:dyDescent="0.35">
      <c r="B89" s="4">
        <f>SUM(B82:B88)</f>
        <v>0.99999999999999989</v>
      </c>
      <c r="D89" s="6">
        <f>SUM(D82:D88)</f>
        <v>3.2499999999999996</v>
      </c>
    </row>
    <row r="90" spans="1:7" ht="15" thickTop="1" x14ac:dyDescent="0.3">
      <c r="G90" s="7"/>
    </row>
    <row r="91" spans="1:7" x14ac:dyDescent="0.3">
      <c r="A91" t="s">
        <v>15</v>
      </c>
      <c r="G91" s="8"/>
    </row>
    <row r="92" spans="1:7" x14ac:dyDescent="0.3">
      <c r="A92" s="1" t="s">
        <v>0</v>
      </c>
      <c r="B92" s="1" t="s">
        <v>1</v>
      </c>
      <c r="C92" s="1" t="s">
        <v>17</v>
      </c>
      <c r="D92" s="1" t="s">
        <v>2</v>
      </c>
      <c r="G92" s="8"/>
    </row>
    <row r="93" spans="1:7" x14ac:dyDescent="0.3">
      <c r="A93" t="s">
        <v>42</v>
      </c>
      <c r="B93" s="3">
        <v>0.25</v>
      </c>
      <c r="C93">
        <v>3</v>
      </c>
      <c r="D93">
        <f>C93*B93</f>
        <v>0.75</v>
      </c>
      <c r="G93" s="8"/>
    </row>
    <row r="94" spans="1:7" x14ac:dyDescent="0.3">
      <c r="A94" t="s">
        <v>41</v>
      </c>
      <c r="B94" s="3">
        <v>0.1</v>
      </c>
      <c r="C94">
        <v>5</v>
      </c>
      <c r="D94">
        <f t="shared" ref="D94:D99" si="8">C94*B94</f>
        <v>0.5</v>
      </c>
      <c r="G94" s="8"/>
    </row>
    <row r="95" spans="1:7" x14ac:dyDescent="0.3">
      <c r="A95" t="s">
        <v>40</v>
      </c>
      <c r="B95" s="3">
        <v>0.1</v>
      </c>
      <c r="C95">
        <v>3</v>
      </c>
      <c r="D95">
        <f t="shared" si="8"/>
        <v>0.30000000000000004</v>
      </c>
      <c r="G95" s="8"/>
    </row>
    <row r="96" spans="1:7" x14ac:dyDescent="0.3">
      <c r="A96" t="s">
        <v>39</v>
      </c>
      <c r="B96" s="3">
        <v>0.1</v>
      </c>
      <c r="C96">
        <v>3</v>
      </c>
      <c r="D96">
        <f t="shared" si="8"/>
        <v>0.30000000000000004</v>
      </c>
      <c r="G96" s="8"/>
    </row>
    <row r="97" spans="1:7" x14ac:dyDescent="0.3">
      <c r="A97" t="s">
        <v>38</v>
      </c>
      <c r="B97" s="3">
        <v>0.1</v>
      </c>
      <c r="C97">
        <v>4</v>
      </c>
      <c r="D97">
        <f t="shared" si="8"/>
        <v>0.4</v>
      </c>
      <c r="G97" s="8"/>
    </row>
    <row r="98" spans="1:7" x14ac:dyDescent="0.3">
      <c r="A98" t="s">
        <v>37</v>
      </c>
      <c r="B98" s="3">
        <v>0.25</v>
      </c>
      <c r="C98">
        <v>3</v>
      </c>
      <c r="D98">
        <f t="shared" si="8"/>
        <v>0.75</v>
      </c>
      <c r="G98" s="8"/>
    </row>
    <row r="99" spans="1:7" x14ac:dyDescent="0.3">
      <c r="A99" t="s">
        <v>36</v>
      </c>
      <c r="B99" s="3">
        <v>0.1</v>
      </c>
      <c r="C99">
        <v>4</v>
      </c>
      <c r="D99">
        <f t="shared" si="8"/>
        <v>0.4</v>
      </c>
      <c r="G99" s="8"/>
    </row>
    <row r="100" spans="1:7" ht="15" thickBot="1" x14ac:dyDescent="0.35">
      <c r="B100" s="4">
        <f>SUM(B93:B99)</f>
        <v>0.99999999999999989</v>
      </c>
      <c r="D100" s="6">
        <f>SUM(D93:D99)</f>
        <v>3.4</v>
      </c>
      <c r="G100" s="7"/>
    </row>
    <row r="101" spans="1:7" ht="15" thickTop="1" x14ac:dyDescent="0.3"/>
    <row r="102" spans="1:7" x14ac:dyDescent="0.3">
      <c r="G102" s="7"/>
    </row>
    <row r="103" spans="1:7" x14ac:dyDescent="0.3">
      <c r="G103" s="8"/>
    </row>
    <row r="104" spans="1:7" x14ac:dyDescent="0.3">
      <c r="G104" s="8"/>
    </row>
    <row r="105" spans="1:7" x14ac:dyDescent="0.3">
      <c r="G105" s="8"/>
    </row>
    <row r="107" spans="1:7" x14ac:dyDescent="0.3">
      <c r="G107" s="7"/>
    </row>
    <row r="109" spans="1:7" x14ac:dyDescent="0.3">
      <c r="G109" s="7"/>
    </row>
    <row r="110" spans="1:7" x14ac:dyDescent="0.3">
      <c r="G110" s="8"/>
    </row>
    <row r="111" spans="1:7" x14ac:dyDescent="0.3">
      <c r="G111" s="8"/>
    </row>
    <row r="112" spans="1:7" x14ac:dyDescent="0.3">
      <c r="G112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DDB97-9314-4820-B0B4-3956E94CE4AC}">
  <dimension ref="A1:G112"/>
  <sheetViews>
    <sheetView topLeftCell="A82" zoomScale="80" zoomScaleNormal="80" workbookViewId="0">
      <selection activeCell="C99" sqref="C99"/>
    </sheetView>
  </sheetViews>
  <sheetFormatPr defaultRowHeight="14.4" x14ac:dyDescent="0.3"/>
  <cols>
    <col min="1" max="1" width="122.77734375" bestFit="1" customWidth="1"/>
    <col min="2" max="2" width="6.77734375" bestFit="1" customWidth="1"/>
    <col min="3" max="3" width="10.21875" bestFit="1" customWidth="1"/>
    <col min="4" max="4" width="13.88671875" bestFit="1" customWidth="1"/>
    <col min="6" max="6" width="15.33203125" bestFit="1" customWidth="1"/>
  </cols>
  <sheetData>
    <row r="1" spans="1:7" x14ac:dyDescent="0.3">
      <c r="A1" s="2" t="s">
        <v>3</v>
      </c>
      <c r="B1" s="5">
        <v>5</v>
      </c>
    </row>
    <row r="2" spans="1:7" x14ac:dyDescent="0.3">
      <c r="F2" s="10" t="s">
        <v>35</v>
      </c>
      <c r="G2" s="7"/>
    </row>
    <row r="3" spans="1:7" x14ac:dyDescent="0.3">
      <c r="A3" t="s">
        <v>7</v>
      </c>
      <c r="F3">
        <f>D12</f>
        <v>4.3499999999999996</v>
      </c>
      <c r="G3" s="7"/>
    </row>
    <row r="4" spans="1:7" x14ac:dyDescent="0.3">
      <c r="A4" s="1" t="s">
        <v>0</v>
      </c>
      <c r="B4" s="1" t="s">
        <v>1</v>
      </c>
      <c r="C4" s="1" t="s">
        <v>17</v>
      </c>
      <c r="D4" s="1" t="s">
        <v>2</v>
      </c>
      <c r="F4">
        <f>D23</f>
        <v>4.2</v>
      </c>
      <c r="G4" s="7"/>
    </row>
    <row r="5" spans="1:7" x14ac:dyDescent="0.3">
      <c r="A5" t="s">
        <v>42</v>
      </c>
      <c r="B5" s="3">
        <v>0.25</v>
      </c>
      <c r="C5">
        <v>4</v>
      </c>
      <c r="D5">
        <f>C5*B5</f>
        <v>1</v>
      </c>
      <c r="F5">
        <f>D34</f>
        <v>4.2</v>
      </c>
      <c r="G5" s="7"/>
    </row>
    <row r="6" spans="1:7" x14ac:dyDescent="0.3">
      <c r="A6" t="s">
        <v>41</v>
      </c>
      <c r="B6" s="3">
        <v>0.1</v>
      </c>
      <c r="C6">
        <v>5</v>
      </c>
      <c r="D6">
        <f t="shared" ref="D6:D11" si="0">C6*B6</f>
        <v>0.5</v>
      </c>
      <c r="F6">
        <f>D45</f>
        <v>3.5500000000000003</v>
      </c>
      <c r="G6" s="7"/>
    </row>
    <row r="7" spans="1:7" x14ac:dyDescent="0.3">
      <c r="A7" t="s">
        <v>40</v>
      </c>
      <c r="B7" s="3">
        <v>0.1</v>
      </c>
      <c r="C7">
        <v>4</v>
      </c>
      <c r="D7">
        <f t="shared" si="0"/>
        <v>0.4</v>
      </c>
      <c r="F7">
        <f>D56</f>
        <v>3.9000000000000004</v>
      </c>
      <c r="G7" s="7"/>
    </row>
    <row r="8" spans="1:7" x14ac:dyDescent="0.3">
      <c r="A8" t="s">
        <v>39</v>
      </c>
      <c r="B8" s="3">
        <v>0.1</v>
      </c>
      <c r="C8">
        <v>4</v>
      </c>
      <c r="D8">
        <f t="shared" si="0"/>
        <v>0.4</v>
      </c>
      <c r="F8">
        <f>D67</f>
        <v>4.55</v>
      </c>
      <c r="G8" s="7"/>
    </row>
    <row r="9" spans="1:7" x14ac:dyDescent="0.3">
      <c r="A9" t="s">
        <v>38</v>
      </c>
      <c r="B9" s="3">
        <v>0.1</v>
      </c>
      <c r="C9">
        <v>4</v>
      </c>
      <c r="D9">
        <f t="shared" si="0"/>
        <v>0.4</v>
      </c>
      <c r="F9">
        <f>D78</f>
        <v>4.0999999999999996</v>
      </c>
      <c r="G9" s="7"/>
    </row>
    <row r="10" spans="1:7" x14ac:dyDescent="0.3">
      <c r="A10" t="s">
        <v>37</v>
      </c>
      <c r="B10" s="3">
        <v>0.25</v>
      </c>
      <c r="C10">
        <v>5</v>
      </c>
      <c r="D10">
        <f t="shared" si="0"/>
        <v>1.25</v>
      </c>
      <c r="F10">
        <f>D89</f>
        <v>3.9499999999999997</v>
      </c>
      <c r="G10" s="7"/>
    </row>
    <row r="11" spans="1:7" x14ac:dyDescent="0.3">
      <c r="A11" t="s">
        <v>36</v>
      </c>
      <c r="B11" s="3">
        <v>0.1</v>
      </c>
      <c r="C11">
        <v>4</v>
      </c>
      <c r="D11">
        <f t="shared" si="0"/>
        <v>0.4</v>
      </c>
      <c r="F11">
        <f>D100</f>
        <v>3.9</v>
      </c>
      <c r="G11" s="7"/>
    </row>
    <row r="12" spans="1:7" ht="15" thickBot="1" x14ac:dyDescent="0.35">
      <c r="B12" s="4">
        <f>SUM(B5:B11)</f>
        <v>0.99999999999999989</v>
      </c>
      <c r="D12" s="6">
        <f>SUM(D5:D11)</f>
        <v>4.3499999999999996</v>
      </c>
      <c r="G12" s="7"/>
    </row>
    <row r="13" spans="1:7" ht="15" thickTop="1" x14ac:dyDescent="0.3">
      <c r="G13" s="7"/>
    </row>
    <row r="14" spans="1:7" x14ac:dyDescent="0.3">
      <c r="A14" t="s">
        <v>8</v>
      </c>
      <c r="G14" s="7"/>
    </row>
    <row r="15" spans="1:7" x14ac:dyDescent="0.3">
      <c r="A15" s="1" t="s">
        <v>0</v>
      </c>
      <c r="B15" s="1" t="s">
        <v>1</v>
      </c>
      <c r="C15" s="1" t="s">
        <v>17</v>
      </c>
      <c r="D15" s="1" t="s">
        <v>2</v>
      </c>
      <c r="G15" s="7"/>
    </row>
    <row r="16" spans="1:7" x14ac:dyDescent="0.3">
      <c r="A16" t="s">
        <v>42</v>
      </c>
      <c r="B16" s="3">
        <v>0.25</v>
      </c>
      <c r="C16">
        <v>4</v>
      </c>
      <c r="D16">
        <f>C16*B16</f>
        <v>1</v>
      </c>
      <c r="G16" s="7"/>
    </row>
    <row r="17" spans="1:7" x14ac:dyDescent="0.3">
      <c r="A17" t="s">
        <v>41</v>
      </c>
      <c r="B17" s="3">
        <v>0.1</v>
      </c>
      <c r="C17">
        <v>5</v>
      </c>
      <c r="D17">
        <f t="shared" ref="D17:D22" si="1">C17*B17</f>
        <v>0.5</v>
      </c>
      <c r="G17" s="7"/>
    </row>
    <row r="18" spans="1:7" x14ac:dyDescent="0.3">
      <c r="A18" t="s">
        <v>40</v>
      </c>
      <c r="B18" s="3">
        <v>0.1</v>
      </c>
      <c r="C18">
        <v>4</v>
      </c>
      <c r="D18">
        <f t="shared" si="1"/>
        <v>0.4</v>
      </c>
      <c r="G18" s="7"/>
    </row>
    <row r="19" spans="1:7" x14ac:dyDescent="0.3">
      <c r="A19" t="s">
        <v>39</v>
      </c>
      <c r="B19" s="3">
        <v>0.1</v>
      </c>
      <c r="C19">
        <v>4</v>
      </c>
      <c r="D19">
        <f t="shared" si="1"/>
        <v>0.4</v>
      </c>
      <c r="G19" s="7"/>
    </row>
    <row r="20" spans="1:7" x14ac:dyDescent="0.3">
      <c r="A20" t="s">
        <v>38</v>
      </c>
      <c r="B20" s="3">
        <v>0.1</v>
      </c>
      <c r="C20">
        <v>5</v>
      </c>
      <c r="D20">
        <f t="shared" si="1"/>
        <v>0.5</v>
      </c>
      <c r="G20" s="7"/>
    </row>
    <row r="21" spans="1:7" x14ac:dyDescent="0.3">
      <c r="A21" t="s">
        <v>37</v>
      </c>
      <c r="B21" s="3">
        <v>0.25</v>
      </c>
      <c r="C21">
        <v>4</v>
      </c>
      <c r="D21">
        <f t="shared" si="1"/>
        <v>1</v>
      </c>
      <c r="G21" s="7"/>
    </row>
    <row r="22" spans="1:7" x14ac:dyDescent="0.3">
      <c r="A22" t="s">
        <v>36</v>
      </c>
      <c r="B22" s="3">
        <v>0.1</v>
      </c>
      <c r="C22">
        <v>4</v>
      </c>
      <c r="D22">
        <f t="shared" si="1"/>
        <v>0.4</v>
      </c>
      <c r="G22" s="7"/>
    </row>
    <row r="23" spans="1:7" ht="15" thickBot="1" x14ac:dyDescent="0.35">
      <c r="B23" s="4">
        <f>SUM(B16:B22)</f>
        <v>0.99999999999999989</v>
      </c>
      <c r="D23" s="6">
        <f>SUM(D16:D22)</f>
        <v>4.2</v>
      </c>
      <c r="G23" s="7"/>
    </row>
    <row r="24" spans="1:7" ht="15" thickTop="1" x14ac:dyDescent="0.3">
      <c r="G24" s="7"/>
    </row>
    <row r="25" spans="1:7" x14ac:dyDescent="0.3">
      <c r="A25" t="s">
        <v>9</v>
      </c>
      <c r="G25" s="7"/>
    </row>
    <row r="26" spans="1:7" x14ac:dyDescent="0.3">
      <c r="A26" s="1" t="s">
        <v>0</v>
      </c>
      <c r="B26" s="1" t="s">
        <v>1</v>
      </c>
      <c r="C26" s="1" t="s">
        <v>17</v>
      </c>
      <c r="D26" s="1" t="s">
        <v>2</v>
      </c>
      <c r="G26" s="7"/>
    </row>
    <row r="27" spans="1:7" x14ac:dyDescent="0.3">
      <c r="A27" t="s">
        <v>42</v>
      </c>
      <c r="B27" s="3">
        <v>0.25</v>
      </c>
      <c r="C27">
        <v>4</v>
      </c>
      <c r="D27">
        <f>C27*B27</f>
        <v>1</v>
      </c>
      <c r="G27" s="7"/>
    </row>
    <row r="28" spans="1:7" x14ac:dyDescent="0.3">
      <c r="A28" t="s">
        <v>41</v>
      </c>
      <c r="B28" s="3">
        <v>0.1</v>
      </c>
      <c r="C28">
        <v>5</v>
      </c>
      <c r="D28">
        <f t="shared" ref="D28:D33" si="2">C28*B28</f>
        <v>0.5</v>
      </c>
      <c r="G28" s="7"/>
    </row>
    <row r="29" spans="1:7" x14ac:dyDescent="0.3">
      <c r="A29" t="s">
        <v>40</v>
      </c>
      <c r="B29" s="3">
        <v>0.1</v>
      </c>
      <c r="C29">
        <v>5</v>
      </c>
      <c r="D29">
        <f t="shared" si="2"/>
        <v>0.5</v>
      </c>
      <c r="G29" s="7"/>
    </row>
    <row r="30" spans="1:7" x14ac:dyDescent="0.3">
      <c r="A30" t="s">
        <v>39</v>
      </c>
      <c r="B30" s="3">
        <v>0.1</v>
      </c>
      <c r="C30">
        <v>4</v>
      </c>
      <c r="D30">
        <f t="shared" si="2"/>
        <v>0.4</v>
      </c>
      <c r="G30" s="7"/>
    </row>
    <row r="31" spans="1:7" x14ac:dyDescent="0.3">
      <c r="A31" t="s">
        <v>38</v>
      </c>
      <c r="B31" s="3">
        <v>0.1</v>
      </c>
      <c r="C31">
        <v>4</v>
      </c>
      <c r="D31">
        <f t="shared" si="2"/>
        <v>0.4</v>
      </c>
      <c r="G31" s="7"/>
    </row>
    <row r="32" spans="1:7" x14ac:dyDescent="0.3">
      <c r="A32" t="s">
        <v>37</v>
      </c>
      <c r="B32" s="3">
        <v>0.25</v>
      </c>
      <c r="C32">
        <v>4</v>
      </c>
      <c r="D32">
        <f t="shared" si="2"/>
        <v>1</v>
      </c>
      <c r="G32" s="7"/>
    </row>
    <row r="33" spans="1:7" x14ac:dyDescent="0.3">
      <c r="A33" t="s">
        <v>36</v>
      </c>
      <c r="B33" s="3">
        <v>0.1</v>
      </c>
      <c r="C33">
        <v>4</v>
      </c>
      <c r="D33">
        <f t="shared" si="2"/>
        <v>0.4</v>
      </c>
      <c r="G33" s="7"/>
    </row>
    <row r="34" spans="1:7" ht="15" thickBot="1" x14ac:dyDescent="0.35">
      <c r="B34" s="4">
        <f>SUM(B27:B33)</f>
        <v>0.99999999999999989</v>
      </c>
      <c r="D34" s="6">
        <f>SUM(D27:D33)</f>
        <v>4.2</v>
      </c>
      <c r="G34" s="7"/>
    </row>
    <row r="35" spans="1:7" ht="15" thickTop="1" x14ac:dyDescent="0.3">
      <c r="G35" s="7"/>
    </row>
    <row r="36" spans="1:7" x14ac:dyDescent="0.3">
      <c r="A36" t="s">
        <v>10</v>
      </c>
      <c r="G36" s="7"/>
    </row>
    <row r="37" spans="1:7" x14ac:dyDescent="0.3">
      <c r="A37" s="1" t="s">
        <v>0</v>
      </c>
      <c r="B37" s="1" t="s">
        <v>1</v>
      </c>
      <c r="C37" s="1" t="s">
        <v>17</v>
      </c>
      <c r="D37" s="1" t="s">
        <v>2</v>
      </c>
      <c r="G37" s="7"/>
    </row>
    <row r="38" spans="1:7" x14ac:dyDescent="0.3">
      <c r="A38" t="s">
        <v>42</v>
      </c>
      <c r="B38" s="3">
        <v>0.25</v>
      </c>
      <c r="C38">
        <v>4</v>
      </c>
      <c r="D38">
        <f>C38*B38</f>
        <v>1</v>
      </c>
      <c r="G38" s="7"/>
    </row>
    <row r="39" spans="1:7" x14ac:dyDescent="0.3">
      <c r="A39" t="s">
        <v>41</v>
      </c>
      <c r="B39" s="3">
        <v>0.1</v>
      </c>
      <c r="C39">
        <v>5</v>
      </c>
      <c r="D39">
        <f t="shared" ref="D39:D44" si="3">C39*B39</f>
        <v>0.5</v>
      </c>
      <c r="G39" s="7"/>
    </row>
    <row r="40" spans="1:7" x14ac:dyDescent="0.3">
      <c r="A40" t="s">
        <v>40</v>
      </c>
      <c r="B40" s="3">
        <v>0.1</v>
      </c>
      <c r="C40">
        <v>2</v>
      </c>
      <c r="D40">
        <f t="shared" si="3"/>
        <v>0.2</v>
      </c>
      <c r="G40" s="7"/>
    </row>
    <row r="41" spans="1:7" x14ac:dyDescent="0.3">
      <c r="A41" t="s">
        <v>39</v>
      </c>
      <c r="B41" s="3">
        <v>0.1</v>
      </c>
      <c r="C41">
        <v>4</v>
      </c>
      <c r="D41">
        <f t="shared" si="3"/>
        <v>0.4</v>
      </c>
      <c r="G41" s="7"/>
    </row>
    <row r="42" spans="1:7" x14ac:dyDescent="0.3">
      <c r="A42" t="s">
        <v>38</v>
      </c>
      <c r="B42" s="3">
        <v>0.1</v>
      </c>
      <c r="C42">
        <v>3</v>
      </c>
      <c r="D42">
        <f t="shared" si="3"/>
        <v>0.30000000000000004</v>
      </c>
      <c r="G42" s="7"/>
    </row>
    <row r="43" spans="1:7" x14ac:dyDescent="0.3">
      <c r="A43" t="s">
        <v>37</v>
      </c>
      <c r="B43" s="3">
        <v>0.25</v>
      </c>
      <c r="C43">
        <v>3</v>
      </c>
      <c r="D43">
        <f t="shared" si="3"/>
        <v>0.75</v>
      </c>
      <c r="G43" s="7"/>
    </row>
    <row r="44" spans="1:7" x14ac:dyDescent="0.3">
      <c r="A44" t="s">
        <v>36</v>
      </c>
      <c r="B44" s="3">
        <v>0.1</v>
      </c>
      <c r="C44">
        <v>4</v>
      </c>
      <c r="D44">
        <f t="shared" si="3"/>
        <v>0.4</v>
      </c>
      <c r="G44" s="7"/>
    </row>
    <row r="45" spans="1:7" ht="15" thickBot="1" x14ac:dyDescent="0.35">
      <c r="B45" s="4">
        <f>SUM(B38:B44)</f>
        <v>0.99999999999999989</v>
      </c>
      <c r="D45" s="6">
        <f>SUM(D38:D44)</f>
        <v>3.5500000000000003</v>
      </c>
      <c r="G45" s="7"/>
    </row>
    <row r="46" spans="1:7" ht="15" thickTop="1" x14ac:dyDescent="0.3">
      <c r="A46" s="9"/>
      <c r="B46" s="9"/>
      <c r="C46" s="9"/>
      <c r="D46" s="9"/>
      <c r="G46" s="7"/>
    </row>
    <row r="47" spans="1:7" x14ac:dyDescent="0.3">
      <c r="A47" t="s">
        <v>11</v>
      </c>
      <c r="G47" s="7"/>
    </row>
    <row r="48" spans="1:7" x14ac:dyDescent="0.3">
      <c r="A48" s="1" t="s">
        <v>0</v>
      </c>
      <c r="B48" s="1" t="s">
        <v>1</v>
      </c>
      <c r="C48" s="1" t="s">
        <v>17</v>
      </c>
      <c r="D48" s="1" t="s">
        <v>2</v>
      </c>
      <c r="G48" s="7"/>
    </row>
    <row r="49" spans="1:7" x14ac:dyDescent="0.3">
      <c r="A49" t="s">
        <v>42</v>
      </c>
      <c r="B49" s="3">
        <v>0.25</v>
      </c>
      <c r="C49">
        <v>4</v>
      </c>
      <c r="D49">
        <f t="shared" ref="D49:D55" si="4">C49*B49</f>
        <v>1</v>
      </c>
      <c r="G49" s="7"/>
    </row>
    <row r="50" spans="1:7" x14ac:dyDescent="0.3">
      <c r="A50" t="s">
        <v>41</v>
      </c>
      <c r="B50" s="3">
        <v>0.1</v>
      </c>
      <c r="C50">
        <v>5</v>
      </c>
      <c r="D50">
        <f t="shared" si="4"/>
        <v>0.5</v>
      </c>
      <c r="G50" s="7"/>
    </row>
    <row r="51" spans="1:7" x14ac:dyDescent="0.3">
      <c r="A51" t="s">
        <v>40</v>
      </c>
      <c r="B51" s="3">
        <v>0.1</v>
      </c>
      <c r="C51">
        <v>3</v>
      </c>
      <c r="D51">
        <f t="shared" si="4"/>
        <v>0.30000000000000004</v>
      </c>
      <c r="G51" s="7"/>
    </row>
    <row r="52" spans="1:7" x14ac:dyDescent="0.3">
      <c r="A52" t="s">
        <v>39</v>
      </c>
      <c r="B52" s="3">
        <v>0.1</v>
      </c>
      <c r="C52">
        <v>3</v>
      </c>
      <c r="D52">
        <f t="shared" si="4"/>
        <v>0.30000000000000004</v>
      </c>
      <c r="G52" s="7"/>
    </row>
    <row r="53" spans="1:7" x14ac:dyDescent="0.3">
      <c r="A53" t="s">
        <v>38</v>
      </c>
      <c r="B53" s="3">
        <v>0.1</v>
      </c>
      <c r="C53">
        <v>3</v>
      </c>
      <c r="D53">
        <f t="shared" si="4"/>
        <v>0.30000000000000004</v>
      </c>
      <c r="G53" s="7"/>
    </row>
    <row r="54" spans="1:7" x14ac:dyDescent="0.3">
      <c r="A54" t="s">
        <v>37</v>
      </c>
      <c r="B54" s="3">
        <v>0.25</v>
      </c>
      <c r="C54">
        <v>4</v>
      </c>
      <c r="D54">
        <f t="shared" si="4"/>
        <v>1</v>
      </c>
      <c r="G54" s="7"/>
    </row>
    <row r="55" spans="1:7" x14ac:dyDescent="0.3">
      <c r="A55" t="s">
        <v>36</v>
      </c>
      <c r="B55" s="3">
        <v>0.1</v>
      </c>
      <c r="C55">
        <v>5</v>
      </c>
      <c r="D55">
        <f t="shared" si="4"/>
        <v>0.5</v>
      </c>
      <c r="G55" s="7"/>
    </row>
    <row r="56" spans="1:7" ht="15" thickBot="1" x14ac:dyDescent="0.35">
      <c r="B56" s="4">
        <f>SUM(B49:B55)</f>
        <v>0.99999999999999989</v>
      </c>
      <c r="D56" s="6">
        <f>SUM(D49:D55)</f>
        <v>3.9000000000000004</v>
      </c>
      <c r="G56" s="7"/>
    </row>
    <row r="57" spans="1:7" ht="15" thickTop="1" x14ac:dyDescent="0.3">
      <c r="A57" s="9"/>
      <c r="B57" s="9"/>
      <c r="C57" s="9"/>
      <c r="D57" s="9"/>
      <c r="G57" s="7"/>
    </row>
    <row r="58" spans="1:7" x14ac:dyDescent="0.3">
      <c r="A58" t="s">
        <v>12</v>
      </c>
      <c r="G58" s="7"/>
    </row>
    <row r="59" spans="1:7" x14ac:dyDescent="0.3">
      <c r="A59" s="1" t="s">
        <v>0</v>
      </c>
      <c r="B59" s="1" t="s">
        <v>1</v>
      </c>
      <c r="C59" s="1" t="s">
        <v>17</v>
      </c>
      <c r="D59" s="1" t="s">
        <v>2</v>
      </c>
      <c r="G59" s="7"/>
    </row>
    <row r="60" spans="1:7" x14ac:dyDescent="0.3">
      <c r="A60" t="s">
        <v>42</v>
      </c>
      <c r="B60" s="3">
        <v>0.25</v>
      </c>
      <c r="C60">
        <v>5</v>
      </c>
      <c r="D60">
        <f t="shared" ref="D60:D66" si="5">C60*B60</f>
        <v>1.25</v>
      </c>
      <c r="G60" s="7"/>
    </row>
    <row r="61" spans="1:7" x14ac:dyDescent="0.3">
      <c r="A61" t="s">
        <v>41</v>
      </c>
      <c r="B61" s="3">
        <v>0.1</v>
      </c>
      <c r="C61">
        <v>5</v>
      </c>
      <c r="D61">
        <f t="shared" si="5"/>
        <v>0.5</v>
      </c>
      <c r="G61" s="7"/>
    </row>
    <row r="62" spans="1:7" x14ac:dyDescent="0.3">
      <c r="A62" t="s">
        <v>40</v>
      </c>
      <c r="B62" s="3">
        <v>0.1</v>
      </c>
      <c r="C62">
        <v>5</v>
      </c>
      <c r="D62">
        <f t="shared" si="5"/>
        <v>0.5</v>
      </c>
      <c r="G62" s="7"/>
    </row>
    <row r="63" spans="1:7" x14ac:dyDescent="0.3">
      <c r="A63" t="s">
        <v>39</v>
      </c>
      <c r="B63" s="3">
        <v>0.1</v>
      </c>
      <c r="C63">
        <v>5</v>
      </c>
      <c r="D63">
        <f t="shared" si="5"/>
        <v>0.5</v>
      </c>
      <c r="G63" s="7"/>
    </row>
    <row r="64" spans="1:7" x14ac:dyDescent="0.3">
      <c r="A64" t="s">
        <v>38</v>
      </c>
      <c r="B64" s="3">
        <v>0.1</v>
      </c>
      <c r="C64">
        <v>5</v>
      </c>
      <c r="D64">
        <f t="shared" si="5"/>
        <v>0.5</v>
      </c>
      <c r="G64" s="7"/>
    </row>
    <row r="65" spans="1:7" x14ac:dyDescent="0.3">
      <c r="A65" t="s">
        <v>37</v>
      </c>
      <c r="B65" s="3">
        <v>0.25</v>
      </c>
      <c r="C65">
        <v>4</v>
      </c>
      <c r="D65">
        <f t="shared" si="5"/>
        <v>1</v>
      </c>
      <c r="G65" s="7"/>
    </row>
    <row r="66" spans="1:7" x14ac:dyDescent="0.3">
      <c r="A66" t="s">
        <v>36</v>
      </c>
      <c r="B66" s="3">
        <v>0.1</v>
      </c>
      <c r="C66">
        <v>3</v>
      </c>
      <c r="D66">
        <f t="shared" si="5"/>
        <v>0.30000000000000004</v>
      </c>
      <c r="G66" s="7"/>
    </row>
    <row r="67" spans="1:7" ht="15" thickBot="1" x14ac:dyDescent="0.35">
      <c r="B67" s="4">
        <f>SUM(B60:B66)</f>
        <v>0.99999999999999989</v>
      </c>
      <c r="D67" s="6">
        <f>SUM(D60:D66)</f>
        <v>4.55</v>
      </c>
      <c r="G67" s="7"/>
    </row>
    <row r="68" spans="1:7" ht="15" thickTop="1" x14ac:dyDescent="0.3">
      <c r="A68" s="9"/>
      <c r="B68" s="9"/>
      <c r="C68" s="9"/>
      <c r="D68" s="9"/>
      <c r="G68" s="7"/>
    </row>
    <row r="69" spans="1:7" x14ac:dyDescent="0.3">
      <c r="A69" t="s">
        <v>13</v>
      </c>
      <c r="G69" s="7"/>
    </row>
    <row r="70" spans="1:7" x14ac:dyDescent="0.3">
      <c r="A70" s="1" t="s">
        <v>0</v>
      </c>
      <c r="B70" s="1" t="s">
        <v>1</v>
      </c>
      <c r="C70" s="1" t="s">
        <v>17</v>
      </c>
      <c r="D70" s="1" t="s">
        <v>2</v>
      </c>
      <c r="G70" s="7"/>
    </row>
    <row r="71" spans="1:7" x14ac:dyDescent="0.3">
      <c r="A71" t="s">
        <v>42</v>
      </c>
      <c r="B71" s="3">
        <v>0.25</v>
      </c>
      <c r="C71">
        <v>4</v>
      </c>
      <c r="D71">
        <f>C71*B71</f>
        <v>1</v>
      </c>
      <c r="G71" s="7"/>
    </row>
    <row r="72" spans="1:7" x14ac:dyDescent="0.3">
      <c r="A72" t="s">
        <v>41</v>
      </c>
      <c r="B72" s="3">
        <v>0.1</v>
      </c>
      <c r="C72">
        <v>5</v>
      </c>
      <c r="D72">
        <f t="shared" ref="D72:D77" si="6">C72*B72</f>
        <v>0.5</v>
      </c>
      <c r="G72" s="7"/>
    </row>
    <row r="73" spans="1:7" x14ac:dyDescent="0.3">
      <c r="A73" t="s">
        <v>40</v>
      </c>
      <c r="B73" s="3">
        <v>0.1</v>
      </c>
      <c r="C73">
        <v>4</v>
      </c>
      <c r="D73">
        <f t="shared" si="6"/>
        <v>0.4</v>
      </c>
      <c r="G73" s="7"/>
    </row>
    <row r="74" spans="1:7" x14ac:dyDescent="0.3">
      <c r="A74" t="s">
        <v>39</v>
      </c>
      <c r="B74" s="3">
        <v>0.1</v>
      </c>
      <c r="C74">
        <v>4</v>
      </c>
      <c r="D74">
        <f t="shared" si="6"/>
        <v>0.4</v>
      </c>
      <c r="G74" s="7"/>
    </row>
    <row r="75" spans="1:7" x14ac:dyDescent="0.3">
      <c r="A75" t="s">
        <v>38</v>
      </c>
      <c r="B75" s="3">
        <v>0.1</v>
      </c>
      <c r="C75">
        <v>3</v>
      </c>
      <c r="D75">
        <f t="shared" si="6"/>
        <v>0.30000000000000004</v>
      </c>
      <c r="G75" s="7"/>
    </row>
    <row r="76" spans="1:7" x14ac:dyDescent="0.3">
      <c r="A76" t="s">
        <v>37</v>
      </c>
      <c r="B76" s="3">
        <v>0.25</v>
      </c>
      <c r="C76">
        <v>4</v>
      </c>
      <c r="D76">
        <f t="shared" si="6"/>
        <v>1</v>
      </c>
      <c r="G76" s="7"/>
    </row>
    <row r="77" spans="1:7" x14ac:dyDescent="0.3">
      <c r="A77" t="s">
        <v>36</v>
      </c>
      <c r="B77" s="3">
        <v>0.1</v>
      </c>
      <c r="C77">
        <v>5</v>
      </c>
      <c r="D77">
        <f t="shared" si="6"/>
        <v>0.5</v>
      </c>
      <c r="G77" s="7"/>
    </row>
    <row r="78" spans="1:7" ht="15" thickBot="1" x14ac:dyDescent="0.35">
      <c r="B78" s="4">
        <f>SUM(B71:B77)</f>
        <v>0.99999999999999989</v>
      </c>
      <c r="D78" s="6">
        <f>SUM(D71:D77)</f>
        <v>4.0999999999999996</v>
      </c>
      <c r="G78" s="7"/>
    </row>
    <row r="79" spans="1:7" ht="15" thickTop="1" x14ac:dyDescent="0.3">
      <c r="G79" s="7"/>
    </row>
    <row r="80" spans="1:7" x14ac:dyDescent="0.3">
      <c r="A80" t="s">
        <v>14</v>
      </c>
      <c r="G80" s="7"/>
    </row>
    <row r="81" spans="1:7" x14ac:dyDescent="0.3">
      <c r="A81" s="1" t="s">
        <v>0</v>
      </c>
      <c r="B81" s="1" t="s">
        <v>1</v>
      </c>
      <c r="C81" s="1" t="s">
        <v>17</v>
      </c>
      <c r="D81" s="1" t="s">
        <v>2</v>
      </c>
      <c r="G81" s="7"/>
    </row>
    <row r="82" spans="1:7" x14ac:dyDescent="0.3">
      <c r="A82" t="s">
        <v>42</v>
      </c>
      <c r="B82" s="3">
        <v>0.25</v>
      </c>
      <c r="C82">
        <v>3</v>
      </c>
      <c r="D82">
        <f>C82*B82</f>
        <v>0.75</v>
      </c>
      <c r="G82" s="7"/>
    </row>
    <row r="83" spans="1:7" x14ac:dyDescent="0.3">
      <c r="A83" t="s">
        <v>41</v>
      </c>
      <c r="B83" s="3">
        <v>0.1</v>
      </c>
      <c r="C83">
        <v>5</v>
      </c>
      <c r="D83">
        <f t="shared" ref="D83:D88" si="7">C83*B83</f>
        <v>0.5</v>
      </c>
    </row>
    <row r="84" spans="1:7" x14ac:dyDescent="0.3">
      <c r="A84" t="s">
        <v>40</v>
      </c>
      <c r="B84" s="3">
        <v>0.1</v>
      </c>
      <c r="C84">
        <v>4</v>
      </c>
      <c r="D84">
        <f t="shared" si="7"/>
        <v>0.4</v>
      </c>
      <c r="G84" s="7"/>
    </row>
    <row r="85" spans="1:7" x14ac:dyDescent="0.3">
      <c r="A85" t="s">
        <v>39</v>
      </c>
      <c r="B85" s="3">
        <v>0.1</v>
      </c>
      <c r="C85">
        <v>4</v>
      </c>
      <c r="D85">
        <f t="shared" si="7"/>
        <v>0.4</v>
      </c>
    </row>
    <row r="86" spans="1:7" x14ac:dyDescent="0.3">
      <c r="A86" t="s">
        <v>38</v>
      </c>
      <c r="B86" s="3">
        <v>0.1</v>
      </c>
      <c r="C86">
        <v>5</v>
      </c>
      <c r="D86">
        <f t="shared" si="7"/>
        <v>0.5</v>
      </c>
      <c r="G86" s="7"/>
    </row>
    <row r="87" spans="1:7" x14ac:dyDescent="0.3">
      <c r="A87" t="s">
        <v>37</v>
      </c>
      <c r="B87" s="3">
        <v>0.25</v>
      </c>
      <c r="C87">
        <v>4</v>
      </c>
      <c r="D87">
        <f t="shared" si="7"/>
        <v>1</v>
      </c>
      <c r="G87" s="8"/>
    </row>
    <row r="88" spans="1:7" x14ac:dyDescent="0.3">
      <c r="A88" t="s">
        <v>36</v>
      </c>
      <c r="B88" s="3">
        <v>0.1</v>
      </c>
      <c r="C88">
        <v>4</v>
      </c>
      <c r="D88">
        <f t="shared" si="7"/>
        <v>0.4</v>
      </c>
      <c r="G88" s="8"/>
    </row>
    <row r="89" spans="1:7" ht="15" thickBot="1" x14ac:dyDescent="0.35">
      <c r="B89" s="4">
        <f>SUM(B82:B88)</f>
        <v>0.99999999999999989</v>
      </c>
      <c r="D89" s="6">
        <f>SUM(D82:D88)</f>
        <v>3.9499999999999997</v>
      </c>
    </row>
    <row r="90" spans="1:7" ht="15" thickTop="1" x14ac:dyDescent="0.3">
      <c r="G90" s="7"/>
    </row>
    <row r="91" spans="1:7" x14ac:dyDescent="0.3">
      <c r="A91" t="s">
        <v>15</v>
      </c>
      <c r="G91" s="8"/>
    </row>
    <row r="92" spans="1:7" x14ac:dyDescent="0.3">
      <c r="A92" s="1" t="s">
        <v>0</v>
      </c>
      <c r="B92" s="1" t="s">
        <v>1</v>
      </c>
      <c r="C92" s="1" t="s">
        <v>17</v>
      </c>
      <c r="D92" s="1" t="s">
        <v>2</v>
      </c>
      <c r="G92" s="8"/>
    </row>
    <row r="93" spans="1:7" x14ac:dyDescent="0.3">
      <c r="A93" t="s">
        <v>42</v>
      </c>
      <c r="B93" s="3">
        <v>0.25</v>
      </c>
      <c r="C93">
        <v>4</v>
      </c>
      <c r="D93">
        <f>C93*B93</f>
        <v>1</v>
      </c>
      <c r="G93" s="8"/>
    </row>
    <row r="94" spans="1:7" x14ac:dyDescent="0.3">
      <c r="A94" t="s">
        <v>41</v>
      </c>
      <c r="B94" s="3">
        <v>0.1</v>
      </c>
      <c r="C94">
        <v>5</v>
      </c>
      <c r="D94">
        <f t="shared" ref="D94:D99" si="8">C94*B94</f>
        <v>0.5</v>
      </c>
      <c r="G94" s="8"/>
    </row>
    <row r="95" spans="1:7" x14ac:dyDescent="0.3">
      <c r="A95" t="s">
        <v>40</v>
      </c>
      <c r="B95" s="3">
        <v>0.1</v>
      </c>
      <c r="C95">
        <v>3</v>
      </c>
      <c r="D95">
        <f t="shared" si="8"/>
        <v>0.30000000000000004</v>
      </c>
      <c r="G95" s="8"/>
    </row>
    <row r="96" spans="1:7" x14ac:dyDescent="0.3">
      <c r="A96" t="s">
        <v>39</v>
      </c>
      <c r="B96" s="3">
        <v>0.1</v>
      </c>
      <c r="C96">
        <v>3</v>
      </c>
      <c r="D96">
        <f t="shared" si="8"/>
        <v>0.30000000000000004</v>
      </c>
      <c r="G96" s="8"/>
    </row>
    <row r="97" spans="1:7" x14ac:dyDescent="0.3">
      <c r="A97" t="s">
        <v>38</v>
      </c>
      <c r="B97" s="3">
        <v>0.1</v>
      </c>
      <c r="C97">
        <v>4</v>
      </c>
      <c r="D97">
        <f t="shared" si="8"/>
        <v>0.4</v>
      </c>
      <c r="G97" s="8"/>
    </row>
    <row r="98" spans="1:7" x14ac:dyDescent="0.3">
      <c r="A98" t="s">
        <v>37</v>
      </c>
      <c r="B98" s="3">
        <v>0.25</v>
      </c>
      <c r="C98">
        <v>4</v>
      </c>
      <c r="D98">
        <f t="shared" si="8"/>
        <v>1</v>
      </c>
      <c r="G98" s="8"/>
    </row>
    <row r="99" spans="1:7" x14ac:dyDescent="0.3">
      <c r="A99" t="s">
        <v>36</v>
      </c>
      <c r="B99" s="3">
        <v>0.1</v>
      </c>
      <c r="C99">
        <v>4</v>
      </c>
      <c r="D99">
        <f t="shared" si="8"/>
        <v>0.4</v>
      </c>
      <c r="G99" s="8"/>
    </row>
    <row r="100" spans="1:7" ht="15" thickBot="1" x14ac:dyDescent="0.35">
      <c r="B100" s="4">
        <f>SUM(B93:B99)</f>
        <v>0.99999999999999989</v>
      </c>
      <c r="D100" s="6">
        <f>SUM(D93:D99)</f>
        <v>3.9</v>
      </c>
      <c r="G100" s="7"/>
    </row>
    <row r="101" spans="1:7" ht="15" thickTop="1" x14ac:dyDescent="0.3"/>
    <row r="102" spans="1:7" x14ac:dyDescent="0.3">
      <c r="G102" s="7"/>
    </row>
    <row r="103" spans="1:7" x14ac:dyDescent="0.3">
      <c r="G103" s="8"/>
    </row>
    <row r="104" spans="1:7" x14ac:dyDescent="0.3">
      <c r="G104" s="8"/>
    </row>
    <row r="105" spans="1:7" x14ac:dyDescent="0.3">
      <c r="G105" s="8"/>
    </row>
    <row r="107" spans="1:7" x14ac:dyDescent="0.3">
      <c r="G107" s="7"/>
    </row>
    <row r="109" spans="1:7" x14ac:dyDescent="0.3">
      <c r="G109" s="7"/>
    </row>
    <row r="110" spans="1:7" x14ac:dyDescent="0.3">
      <c r="G110" s="8"/>
    </row>
    <row r="111" spans="1:7" x14ac:dyDescent="0.3">
      <c r="G111" s="8"/>
    </row>
    <row r="112" spans="1:7" x14ac:dyDescent="0.3">
      <c r="G112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63F9D-2DFE-4E8E-AFB6-E2585C1DF0CC}">
  <dimension ref="A1:G112"/>
  <sheetViews>
    <sheetView topLeftCell="A79" zoomScale="80" zoomScaleNormal="80" workbookViewId="0">
      <selection activeCell="C94" sqref="C94"/>
    </sheetView>
  </sheetViews>
  <sheetFormatPr defaultRowHeight="14.4" x14ac:dyDescent="0.3"/>
  <cols>
    <col min="1" max="1" width="122.77734375" bestFit="1" customWidth="1"/>
    <col min="2" max="2" width="6.77734375" bestFit="1" customWidth="1"/>
    <col min="3" max="3" width="10.21875" bestFit="1" customWidth="1"/>
    <col min="4" max="4" width="13.88671875" bestFit="1" customWidth="1"/>
    <col min="6" max="6" width="15.33203125" bestFit="1" customWidth="1"/>
  </cols>
  <sheetData>
    <row r="1" spans="1:7" x14ac:dyDescent="0.3">
      <c r="A1" s="2" t="s">
        <v>3</v>
      </c>
      <c r="B1" s="5">
        <v>5</v>
      </c>
    </row>
    <row r="2" spans="1:7" x14ac:dyDescent="0.3">
      <c r="F2" s="10" t="s">
        <v>35</v>
      </c>
      <c r="G2" s="7"/>
    </row>
    <row r="3" spans="1:7" x14ac:dyDescent="0.3">
      <c r="A3" t="s">
        <v>7</v>
      </c>
      <c r="F3">
        <f>D12</f>
        <v>4.0999999999999996</v>
      </c>
      <c r="G3" s="7"/>
    </row>
    <row r="4" spans="1:7" x14ac:dyDescent="0.3">
      <c r="A4" s="1" t="s">
        <v>0</v>
      </c>
      <c r="B4" s="1" t="s">
        <v>1</v>
      </c>
      <c r="C4" s="1" t="s">
        <v>17</v>
      </c>
      <c r="D4" s="1" t="s">
        <v>2</v>
      </c>
      <c r="F4">
        <f>D23</f>
        <v>4.2</v>
      </c>
      <c r="G4" s="7"/>
    </row>
    <row r="5" spans="1:7" x14ac:dyDescent="0.3">
      <c r="A5" t="s">
        <v>42</v>
      </c>
      <c r="B5" s="3">
        <v>0.25</v>
      </c>
      <c r="C5">
        <v>4</v>
      </c>
      <c r="D5">
        <f>C5*B5</f>
        <v>1</v>
      </c>
      <c r="F5">
        <f>D34</f>
        <v>3.9</v>
      </c>
      <c r="G5" s="7"/>
    </row>
    <row r="6" spans="1:7" x14ac:dyDescent="0.3">
      <c r="A6" t="s">
        <v>41</v>
      </c>
      <c r="B6" s="3">
        <v>0.1</v>
      </c>
      <c r="C6">
        <v>5</v>
      </c>
      <c r="D6">
        <f t="shared" ref="D6:D11" si="0">C6*B6</f>
        <v>0.5</v>
      </c>
      <c r="F6">
        <f>D45</f>
        <v>3.6500000000000004</v>
      </c>
      <c r="G6" s="7"/>
    </row>
    <row r="7" spans="1:7" x14ac:dyDescent="0.3">
      <c r="A7" t="s">
        <v>40</v>
      </c>
      <c r="B7" s="3">
        <v>0.1</v>
      </c>
      <c r="C7">
        <v>4</v>
      </c>
      <c r="D7">
        <f t="shared" si="0"/>
        <v>0.4</v>
      </c>
      <c r="F7">
        <f>D56</f>
        <v>3.45</v>
      </c>
      <c r="G7" s="7"/>
    </row>
    <row r="8" spans="1:7" x14ac:dyDescent="0.3">
      <c r="A8" t="s">
        <v>39</v>
      </c>
      <c r="B8" s="3">
        <v>0.1</v>
      </c>
      <c r="C8">
        <v>4</v>
      </c>
      <c r="D8">
        <f t="shared" si="0"/>
        <v>0.4</v>
      </c>
      <c r="F8">
        <f>D67</f>
        <v>3.8000000000000003</v>
      </c>
      <c r="G8" s="7"/>
    </row>
    <row r="9" spans="1:7" x14ac:dyDescent="0.3">
      <c r="A9" t="s">
        <v>38</v>
      </c>
      <c r="B9" s="3">
        <v>0.1</v>
      </c>
      <c r="C9">
        <v>4</v>
      </c>
      <c r="D9">
        <f t="shared" si="0"/>
        <v>0.4</v>
      </c>
      <c r="F9">
        <f>D78</f>
        <v>3.65</v>
      </c>
      <c r="G9" s="7"/>
    </row>
    <row r="10" spans="1:7" x14ac:dyDescent="0.3">
      <c r="A10" t="s">
        <v>37</v>
      </c>
      <c r="B10" s="3">
        <v>0.25</v>
      </c>
      <c r="C10">
        <v>4</v>
      </c>
      <c r="D10">
        <f t="shared" si="0"/>
        <v>1</v>
      </c>
      <c r="F10">
        <f>D89</f>
        <v>4.0999999999999996</v>
      </c>
      <c r="G10" s="7"/>
    </row>
    <row r="11" spans="1:7" x14ac:dyDescent="0.3">
      <c r="A11" t="s">
        <v>36</v>
      </c>
      <c r="B11" s="3">
        <v>0.1</v>
      </c>
      <c r="C11">
        <v>4</v>
      </c>
      <c r="D11">
        <f t="shared" si="0"/>
        <v>0.4</v>
      </c>
      <c r="F11">
        <f>D100</f>
        <v>3.8499999999999996</v>
      </c>
      <c r="G11" s="7"/>
    </row>
    <row r="12" spans="1:7" ht="15" thickBot="1" x14ac:dyDescent="0.35">
      <c r="B12" s="4">
        <f>SUM(B5:B11)</f>
        <v>0.99999999999999989</v>
      </c>
      <c r="D12" s="6">
        <f>SUM(D5:D11)</f>
        <v>4.0999999999999996</v>
      </c>
      <c r="G12" s="7"/>
    </row>
    <row r="13" spans="1:7" ht="15" thickTop="1" x14ac:dyDescent="0.3">
      <c r="G13" s="7"/>
    </row>
    <row r="14" spans="1:7" x14ac:dyDescent="0.3">
      <c r="A14" t="s">
        <v>8</v>
      </c>
      <c r="G14" s="7"/>
    </row>
    <row r="15" spans="1:7" x14ac:dyDescent="0.3">
      <c r="A15" s="1" t="s">
        <v>0</v>
      </c>
      <c r="B15" s="1" t="s">
        <v>1</v>
      </c>
      <c r="C15" s="1" t="s">
        <v>17</v>
      </c>
      <c r="D15" s="1" t="s">
        <v>2</v>
      </c>
      <c r="G15" s="7"/>
    </row>
    <row r="16" spans="1:7" x14ac:dyDescent="0.3">
      <c r="A16" t="s">
        <v>42</v>
      </c>
      <c r="B16" s="3">
        <v>0.25</v>
      </c>
      <c r="C16">
        <v>4</v>
      </c>
      <c r="D16">
        <f>C16*B16</f>
        <v>1</v>
      </c>
      <c r="G16" s="7"/>
    </row>
    <row r="17" spans="1:7" x14ac:dyDescent="0.3">
      <c r="A17" t="s">
        <v>41</v>
      </c>
      <c r="B17" s="3">
        <v>0.1</v>
      </c>
      <c r="C17">
        <v>5</v>
      </c>
      <c r="D17">
        <f t="shared" ref="D17:D22" si="1">C17*B17</f>
        <v>0.5</v>
      </c>
      <c r="G17" s="7"/>
    </row>
    <row r="18" spans="1:7" x14ac:dyDescent="0.3">
      <c r="A18" t="s">
        <v>40</v>
      </c>
      <c r="B18" s="3">
        <v>0.1</v>
      </c>
      <c r="C18">
        <v>5</v>
      </c>
      <c r="D18">
        <f t="shared" si="1"/>
        <v>0.5</v>
      </c>
      <c r="G18" s="7"/>
    </row>
    <row r="19" spans="1:7" x14ac:dyDescent="0.3">
      <c r="A19" t="s">
        <v>39</v>
      </c>
      <c r="B19" s="3">
        <v>0.1</v>
      </c>
      <c r="C19">
        <v>5</v>
      </c>
      <c r="D19">
        <f t="shared" si="1"/>
        <v>0.5</v>
      </c>
      <c r="G19" s="7"/>
    </row>
    <row r="20" spans="1:7" x14ac:dyDescent="0.3">
      <c r="A20" t="s">
        <v>38</v>
      </c>
      <c r="B20" s="3">
        <v>0.1</v>
      </c>
      <c r="C20">
        <v>3</v>
      </c>
      <c r="D20">
        <f t="shared" si="1"/>
        <v>0.30000000000000004</v>
      </c>
      <c r="G20" s="7"/>
    </row>
    <row r="21" spans="1:7" x14ac:dyDescent="0.3">
      <c r="A21" t="s">
        <v>37</v>
      </c>
      <c r="B21" s="3">
        <v>0.25</v>
      </c>
      <c r="C21">
        <v>4</v>
      </c>
      <c r="D21">
        <f t="shared" si="1"/>
        <v>1</v>
      </c>
      <c r="G21" s="7"/>
    </row>
    <row r="22" spans="1:7" x14ac:dyDescent="0.3">
      <c r="A22" t="s">
        <v>36</v>
      </c>
      <c r="B22" s="3">
        <v>0.1</v>
      </c>
      <c r="C22">
        <v>4</v>
      </c>
      <c r="D22">
        <f t="shared" si="1"/>
        <v>0.4</v>
      </c>
      <c r="G22" s="7"/>
    </row>
    <row r="23" spans="1:7" ht="15" thickBot="1" x14ac:dyDescent="0.35">
      <c r="B23" s="4">
        <f>SUM(B16:B22)</f>
        <v>0.99999999999999989</v>
      </c>
      <c r="D23" s="6">
        <f>SUM(D16:D22)</f>
        <v>4.2</v>
      </c>
      <c r="G23" s="7"/>
    </row>
    <row r="24" spans="1:7" ht="15" thickTop="1" x14ac:dyDescent="0.3">
      <c r="G24" s="7"/>
    </row>
    <row r="25" spans="1:7" x14ac:dyDescent="0.3">
      <c r="A25" t="s">
        <v>9</v>
      </c>
      <c r="G25" s="7"/>
    </row>
    <row r="26" spans="1:7" x14ac:dyDescent="0.3">
      <c r="A26" s="1" t="s">
        <v>0</v>
      </c>
      <c r="B26" s="1" t="s">
        <v>1</v>
      </c>
      <c r="C26" s="1" t="s">
        <v>17</v>
      </c>
      <c r="D26" s="1" t="s">
        <v>2</v>
      </c>
      <c r="G26" s="7"/>
    </row>
    <row r="27" spans="1:7" x14ac:dyDescent="0.3">
      <c r="A27" t="s">
        <v>42</v>
      </c>
      <c r="B27" s="3">
        <v>0.25</v>
      </c>
      <c r="C27">
        <v>4</v>
      </c>
      <c r="D27">
        <f>C27*B27</f>
        <v>1</v>
      </c>
      <c r="G27" s="7"/>
    </row>
    <row r="28" spans="1:7" x14ac:dyDescent="0.3">
      <c r="A28" t="s">
        <v>41</v>
      </c>
      <c r="B28" s="3">
        <v>0.1</v>
      </c>
      <c r="C28">
        <v>5</v>
      </c>
      <c r="D28">
        <f t="shared" ref="D28:D33" si="2">C28*B28</f>
        <v>0.5</v>
      </c>
      <c r="G28" s="7"/>
    </row>
    <row r="29" spans="1:7" x14ac:dyDescent="0.3">
      <c r="A29" t="s">
        <v>40</v>
      </c>
      <c r="B29" s="3">
        <v>0.1</v>
      </c>
      <c r="C29">
        <v>4</v>
      </c>
      <c r="D29">
        <f t="shared" si="2"/>
        <v>0.4</v>
      </c>
      <c r="G29" s="7"/>
    </row>
    <row r="30" spans="1:7" x14ac:dyDescent="0.3">
      <c r="A30" t="s">
        <v>39</v>
      </c>
      <c r="B30" s="3">
        <v>0.1</v>
      </c>
      <c r="C30">
        <v>3</v>
      </c>
      <c r="D30">
        <f t="shared" si="2"/>
        <v>0.30000000000000004</v>
      </c>
      <c r="G30" s="7"/>
    </row>
    <row r="31" spans="1:7" x14ac:dyDescent="0.3">
      <c r="A31" t="s">
        <v>38</v>
      </c>
      <c r="B31" s="3">
        <v>0.1</v>
      </c>
      <c r="C31">
        <v>3</v>
      </c>
      <c r="D31">
        <f t="shared" si="2"/>
        <v>0.30000000000000004</v>
      </c>
      <c r="G31" s="7"/>
    </row>
    <row r="32" spans="1:7" x14ac:dyDescent="0.3">
      <c r="A32" t="s">
        <v>37</v>
      </c>
      <c r="B32" s="3">
        <v>0.25</v>
      </c>
      <c r="C32">
        <v>4</v>
      </c>
      <c r="D32">
        <f t="shared" si="2"/>
        <v>1</v>
      </c>
      <c r="G32" s="7"/>
    </row>
    <row r="33" spans="1:7" x14ac:dyDescent="0.3">
      <c r="A33" t="s">
        <v>36</v>
      </c>
      <c r="B33" s="3">
        <v>0.1</v>
      </c>
      <c r="C33">
        <v>4</v>
      </c>
      <c r="D33">
        <f t="shared" si="2"/>
        <v>0.4</v>
      </c>
      <c r="G33" s="7"/>
    </row>
    <row r="34" spans="1:7" ht="15" thickBot="1" x14ac:dyDescent="0.35">
      <c r="B34" s="4">
        <f>SUM(B27:B33)</f>
        <v>0.99999999999999989</v>
      </c>
      <c r="D34" s="6">
        <f>SUM(D27:D33)</f>
        <v>3.9</v>
      </c>
      <c r="G34" s="7"/>
    </row>
    <row r="35" spans="1:7" ht="15" thickTop="1" x14ac:dyDescent="0.3">
      <c r="G35" s="7"/>
    </row>
    <row r="36" spans="1:7" x14ac:dyDescent="0.3">
      <c r="A36" t="s">
        <v>10</v>
      </c>
      <c r="G36" s="7"/>
    </row>
    <row r="37" spans="1:7" x14ac:dyDescent="0.3">
      <c r="A37" s="1" t="s">
        <v>0</v>
      </c>
      <c r="B37" s="1" t="s">
        <v>1</v>
      </c>
      <c r="C37" s="1" t="s">
        <v>17</v>
      </c>
      <c r="D37" s="1" t="s">
        <v>2</v>
      </c>
      <c r="G37" s="7"/>
    </row>
    <row r="38" spans="1:7" x14ac:dyDescent="0.3">
      <c r="A38" t="s">
        <v>42</v>
      </c>
      <c r="B38" s="3">
        <v>0.25</v>
      </c>
      <c r="C38">
        <v>3</v>
      </c>
      <c r="D38">
        <f>C38*B38</f>
        <v>0.75</v>
      </c>
      <c r="G38" s="7"/>
    </row>
    <row r="39" spans="1:7" x14ac:dyDescent="0.3">
      <c r="A39" t="s">
        <v>41</v>
      </c>
      <c r="B39" s="3">
        <v>0.1</v>
      </c>
      <c r="C39">
        <v>5</v>
      </c>
      <c r="D39">
        <f t="shared" ref="D39:D44" si="3">C39*B39</f>
        <v>0.5</v>
      </c>
      <c r="G39" s="7"/>
    </row>
    <row r="40" spans="1:7" x14ac:dyDescent="0.3">
      <c r="A40" t="s">
        <v>40</v>
      </c>
      <c r="B40" s="3">
        <v>0.1</v>
      </c>
      <c r="C40">
        <v>3</v>
      </c>
      <c r="D40">
        <f t="shared" si="3"/>
        <v>0.30000000000000004</v>
      </c>
      <c r="G40" s="7"/>
    </row>
    <row r="41" spans="1:7" x14ac:dyDescent="0.3">
      <c r="A41" t="s">
        <v>39</v>
      </c>
      <c r="B41" s="3">
        <v>0.1</v>
      </c>
      <c r="C41">
        <v>3</v>
      </c>
      <c r="D41">
        <f t="shared" si="3"/>
        <v>0.30000000000000004</v>
      </c>
      <c r="G41" s="7"/>
    </row>
    <row r="42" spans="1:7" x14ac:dyDescent="0.3">
      <c r="A42" t="s">
        <v>38</v>
      </c>
      <c r="B42" s="3">
        <v>0.1</v>
      </c>
      <c r="C42">
        <v>3</v>
      </c>
      <c r="D42">
        <f t="shared" si="3"/>
        <v>0.30000000000000004</v>
      </c>
      <c r="G42" s="7"/>
    </row>
    <row r="43" spans="1:7" x14ac:dyDescent="0.3">
      <c r="A43" t="s">
        <v>37</v>
      </c>
      <c r="B43" s="3">
        <v>0.25</v>
      </c>
      <c r="C43">
        <v>4</v>
      </c>
      <c r="D43">
        <f t="shared" si="3"/>
        <v>1</v>
      </c>
      <c r="G43" s="7"/>
    </row>
    <row r="44" spans="1:7" x14ac:dyDescent="0.3">
      <c r="A44" t="s">
        <v>36</v>
      </c>
      <c r="B44" s="3">
        <v>0.1</v>
      </c>
      <c r="C44">
        <v>5</v>
      </c>
      <c r="D44">
        <f t="shared" si="3"/>
        <v>0.5</v>
      </c>
      <c r="G44" s="7"/>
    </row>
    <row r="45" spans="1:7" ht="15" thickBot="1" x14ac:dyDescent="0.35">
      <c r="B45" s="4">
        <f>SUM(B38:B44)</f>
        <v>0.99999999999999989</v>
      </c>
      <c r="D45" s="6">
        <f>SUM(D38:D44)</f>
        <v>3.6500000000000004</v>
      </c>
      <c r="G45" s="7"/>
    </row>
    <row r="46" spans="1:7" ht="15" thickTop="1" x14ac:dyDescent="0.3">
      <c r="A46" s="9"/>
      <c r="B46" s="9"/>
      <c r="C46" s="9"/>
      <c r="D46" s="9"/>
      <c r="G46" s="7"/>
    </row>
    <row r="47" spans="1:7" x14ac:dyDescent="0.3">
      <c r="A47" t="s">
        <v>11</v>
      </c>
      <c r="G47" s="7"/>
    </row>
    <row r="48" spans="1:7" x14ac:dyDescent="0.3">
      <c r="A48" s="1" t="s">
        <v>0</v>
      </c>
      <c r="B48" s="1" t="s">
        <v>1</v>
      </c>
      <c r="C48" s="1" t="s">
        <v>17</v>
      </c>
      <c r="D48" s="1" t="s">
        <v>2</v>
      </c>
      <c r="G48" s="7"/>
    </row>
    <row r="49" spans="1:7" x14ac:dyDescent="0.3">
      <c r="A49" t="s">
        <v>42</v>
      </c>
      <c r="B49" s="3">
        <v>0.25</v>
      </c>
      <c r="C49">
        <v>4</v>
      </c>
      <c r="D49">
        <f t="shared" ref="D49:D55" si="4">C49*B49</f>
        <v>1</v>
      </c>
      <c r="G49" s="7"/>
    </row>
    <row r="50" spans="1:7" x14ac:dyDescent="0.3">
      <c r="A50" t="s">
        <v>41</v>
      </c>
      <c r="B50" s="3">
        <v>0.1</v>
      </c>
      <c r="C50">
        <v>5</v>
      </c>
      <c r="D50">
        <f t="shared" si="4"/>
        <v>0.5</v>
      </c>
      <c r="G50" s="7"/>
    </row>
    <row r="51" spans="1:7" x14ac:dyDescent="0.3">
      <c r="A51" t="s">
        <v>40</v>
      </c>
      <c r="B51" s="3">
        <v>0.1</v>
      </c>
      <c r="C51">
        <v>3</v>
      </c>
      <c r="D51">
        <f t="shared" si="4"/>
        <v>0.30000000000000004</v>
      </c>
      <c r="G51" s="7"/>
    </row>
    <row r="52" spans="1:7" x14ac:dyDescent="0.3">
      <c r="A52" t="s">
        <v>39</v>
      </c>
      <c r="B52" s="3">
        <v>0.1</v>
      </c>
      <c r="C52">
        <v>3</v>
      </c>
      <c r="D52">
        <f t="shared" si="4"/>
        <v>0.30000000000000004</v>
      </c>
      <c r="G52" s="7"/>
    </row>
    <row r="53" spans="1:7" x14ac:dyDescent="0.3">
      <c r="A53" t="s">
        <v>38</v>
      </c>
      <c r="B53" s="3">
        <v>0.1</v>
      </c>
      <c r="C53">
        <v>2</v>
      </c>
      <c r="D53">
        <f t="shared" si="4"/>
        <v>0.2</v>
      </c>
      <c r="G53" s="7"/>
    </row>
    <row r="54" spans="1:7" x14ac:dyDescent="0.3">
      <c r="A54" t="s">
        <v>37</v>
      </c>
      <c r="B54" s="3">
        <v>0.25</v>
      </c>
      <c r="C54">
        <v>3</v>
      </c>
      <c r="D54">
        <f t="shared" si="4"/>
        <v>0.75</v>
      </c>
      <c r="G54" s="7"/>
    </row>
    <row r="55" spans="1:7" x14ac:dyDescent="0.3">
      <c r="A55" t="s">
        <v>36</v>
      </c>
      <c r="B55" s="3">
        <v>0.1</v>
      </c>
      <c r="C55">
        <v>4</v>
      </c>
      <c r="D55">
        <f t="shared" si="4"/>
        <v>0.4</v>
      </c>
      <c r="G55" s="7"/>
    </row>
    <row r="56" spans="1:7" ht="15" thickBot="1" x14ac:dyDescent="0.35">
      <c r="B56" s="4">
        <f>SUM(B49:B55)</f>
        <v>0.99999999999999989</v>
      </c>
      <c r="D56" s="6">
        <f>SUM(D49:D55)</f>
        <v>3.45</v>
      </c>
      <c r="G56" s="7"/>
    </row>
    <row r="57" spans="1:7" ht="15" thickTop="1" x14ac:dyDescent="0.3">
      <c r="A57" s="9"/>
      <c r="B57" s="9"/>
      <c r="C57" s="9"/>
      <c r="D57" s="9"/>
      <c r="G57" s="7"/>
    </row>
    <row r="58" spans="1:7" x14ac:dyDescent="0.3">
      <c r="A58" t="s">
        <v>12</v>
      </c>
      <c r="G58" s="7"/>
    </row>
    <row r="59" spans="1:7" x14ac:dyDescent="0.3">
      <c r="A59" s="1" t="s">
        <v>0</v>
      </c>
      <c r="B59" s="1" t="s">
        <v>1</v>
      </c>
      <c r="C59" s="1" t="s">
        <v>17</v>
      </c>
      <c r="D59" s="1" t="s">
        <v>2</v>
      </c>
      <c r="G59" s="7"/>
    </row>
    <row r="60" spans="1:7" x14ac:dyDescent="0.3">
      <c r="A60" t="s">
        <v>42</v>
      </c>
      <c r="B60" s="3">
        <v>0.25</v>
      </c>
      <c r="C60">
        <v>4</v>
      </c>
      <c r="D60">
        <f t="shared" ref="D60:D66" si="5">C60*B60</f>
        <v>1</v>
      </c>
      <c r="G60" s="7"/>
    </row>
    <row r="61" spans="1:7" x14ac:dyDescent="0.3">
      <c r="A61" t="s">
        <v>41</v>
      </c>
      <c r="B61" s="3">
        <v>0.1</v>
      </c>
      <c r="C61">
        <v>5</v>
      </c>
      <c r="D61">
        <f t="shared" si="5"/>
        <v>0.5</v>
      </c>
      <c r="G61" s="7"/>
    </row>
    <row r="62" spans="1:7" x14ac:dyDescent="0.3">
      <c r="A62" t="s">
        <v>40</v>
      </c>
      <c r="B62" s="3">
        <v>0.1</v>
      </c>
      <c r="C62">
        <v>3</v>
      </c>
      <c r="D62">
        <f t="shared" si="5"/>
        <v>0.30000000000000004</v>
      </c>
      <c r="G62" s="7"/>
    </row>
    <row r="63" spans="1:7" x14ac:dyDescent="0.3">
      <c r="A63" t="s">
        <v>39</v>
      </c>
      <c r="B63" s="3">
        <v>0.1</v>
      </c>
      <c r="C63">
        <v>3</v>
      </c>
      <c r="D63">
        <f t="shared" si="5"/>
        <v>0.30000000000000004</v>
      </c>
      <c r="G63" s="7"/>
    </row>
    <row r="64" spans="1:7" x14ac:dyDescent="0.3">
      <c r="A64" t="s">
        <v>38</v>
      </c>
      <c r="B64" s="3">
        <v>0.1</v>
      </c>
      <c r="C64">
        <v>3</v>
      </c>
      <c r="D64">
        <f t="shared" si="5"/>
        <v>0.30000000000000004</v>
      </c>
      <c r="G64" s="7"/>
    </row>
    <row r="65" spans="1:7" x14ac:dyDescent="0.3">
      <c r="A65" t="s">
        <v>37</v>
      </c>
      <c r="B65" s="3">
        <v>0.25</v>
      </c>
      <c r="C65">
        <v>4</v>
      </c>
      <c r="D65">
        <f t="shared" si="5"/>
        <v>1</v>
      </c>
      <c r="G65" s="7"/>
    </row>
    <row r="66" spans="1:7" x14ac:dyDescent="0.3">
      <c r="A66" t="s">
        <v>36</v>
      </c>
      <c r="B66" s="3">
        <v>0.1</v>
      </c>
      <c r="C66">
        <v>4</v>
      </c>
      <c r="D66">
        <f t="shared" si="5"/>
        <v>0.4</v>
      </c>
      <c r="G66" s="7"/>
    </row>
    <row r="67" spans="1:7" ht="15" thickBot="1" x14ac:dyDescent="0.35">
      <c r="B67" s="4">
        <f>SUM(B60:B66)</f>
        <v>0.99999999999999989</v>
      </c>
      <c r="D67" s="6">
        <f>SUM(D60:D66)</f>
        <v>3.8000000000000003</v>
      </c>
      <c r="G67" s="7"/>
    </row>
    <row r="68" spans="1:7" ht="15" thickTop="1" x14ac:dyDescent="0.3">
      <c r="A68" s="9"/>
      <c r="B68" s="9"/>
      <c r="C68" s="9"/>
      <c r="D68" s="9"/>
      <c r="G68" s="7"/>
    </row>
    <row r="69" spans="1:7" x14ac:dyDescent="0.3">
      <c r="A69" t="s">
        <v>13</v>
      </c>
      <c r="G69" s="7"/>
    </row>
    <row r="70" spans="1:7" x14ac:dyDescent="0.3">
      <c r="A70" s="1" t="s">
        <v>0</v>
      </c>
      <c r="B70" s="1" t="s">
        <v>1</v>
      </c>
      <c r="C70" s="1" t="s">
        <v>17</v>
      </c>
      <c r="D70" s="1" t="s">
        <v>2</v>
      </c>
      <c r="G70" s="7"/>
    </row>
    <row r="71" spans="1:7" x14ac:dyDescent="0.3">
      <c r="A71" t="s">
        <v>42</v>
      </c>
      <c r="B71" s="3">
        <v>0.25</v>
      </c>
      <c r="C71">
        <v>3</v>
      </c>
      <c r="D71">
        <f>C71*B71</f>
        <v>0.75</v>
      </c>
      <c r="G71" s="7"/>
    </row>
    <row r="72" spans="1:7" x14ac:dyDescent="0.3">
      <c r="A72" t="s">
        <v>41</v>
      </c>
      <c r="B72" s="3">
        <v>0.1</v>
      </c>
      <c r="C72">
        <v>5</v>
      </c>
      <c r="D72">
        <f t="shared" ref="D72:D77" si="6">C72*B72</f>
        <v>0.5</v>
      </c>
      <c r="G72" s="7"/>
    </row>
    <row r="73" spans="1:7" x14ac:dyDescent="0.3">
      <c r="A73" t="s">
        <v>40</v>
      </c>
      <c r="B73" s="3">
        <v>0.1</v>
      </c>
      <c r="C73">
        <v>3</v>
      </c>
      <c r="D73">
        <f t="shared" si="6"/>
        <v>0.30000000000000004</v>
      </c>
      <c r="G73" s="7"/>
    </row>
    <row r="74" spans="1:7" x14ac:dyDescent="0.3">
      <c r="A74" t="s">
        <v>39</v>
      </c>
      <c r="B74" s="3">
        <v>0.1</v>
      </c>
      <c r="C74">
        <v>3</v>
      </c>
      <c r="D74">
        <f t="shared" si="6"/>
        <v>0.30000000000000004</v>
      </c>
      <c r="G74" s="7"/>
    </row>
    <row r="75" spans="1:7" x14ac:dyDescent="0.3">
      <c r="A75" t="s">
        <v>38</v>
      </c>
      <c r="B75" s="3">
        <v>0.1</v>
      </c>
      <c r="C75">
        <v>4</v>
      </c>
      <c r="D75">
        <f t="shared" si="6"/>
        <v>0.4</v>
      </c>
      <c r="G75" s="7"/>
    </row>
    <row r="76" spans="1:7" x14ac:dyDescent="0.3">
      <c r="A76" t="s">
        <v>37</v>
      </c>
      <c r="B76" s="3">
        <v>0.25</v>
      </c>
      <c r="C76">
        <v>4</v>
      </c>
      <c r="D76">
        <f t="shared" si="6"/>
        <v>1</v>
      </c>
      <c r="G76" s="7"/>
    </row>
    <row r="77" spans="1:7" x14ac:dyDescent="0.3">
      <c r="A77" t="s">
        <v>36</v>
      </c>
      <c r="B77" s="3">
        <v>0.1</v>
      </c>
      <c r="C77">
        <v>4</v>
      </c>
      <c r="D77">
        <f t="shared" si="6"/>
        <v>0.4</v>
      </c>
      <c r="G77" s="7"/>
    </row>
    <row r="78" spans="1:7" ht="15" thickBot="1" x14ac:dyDescent="0.35">
      <c r="B78" s="4">
        <f>SUM(B71:B77)</f>
        <v>0.99999999999999989</v>
      </c>
      <c r="D78" s="6">
        <f>SUM(D71:D77)</f>
        <v>3.65</v>
      </c>
      <c r="G78" s="7"/>
    </row>
    <row r="79" spans="1:7" ht="15" thickTop="1" x14ac:dyDescent="0.3">
      <c r="G79" s="7"/>
    </row>
    <row r="80" spans="1:7" x14ac:dyDescent="0.3">
      <c r="A80" t="s">
        <v>14</v>
      </c>
      <c r="G80" s="7"/>
    </row>
    <row r="81" spans="1:7" x14ac:dyDescent="0.3">
      <c r="A81" s="1" t="s">
        <v>0</v>
      </c>
      <c r="B81" s="1" t="s">
        <v>1</v>
      </c>
      <c r="C81" s="1" t="s">
        <v>17</v>
      </c>
      <c r="D81" s="1" t="s">
        <v>2</v>
      </c>
      <c r="G81" s="7"/>
    </row>
    <row r="82" spans="1:7" x14ac:dyDescent="0.3">
      <c r="A82" t="s">
        <v>42</v>
      </c>
      <c r="B82" s="3">
        <v>0.25</v>
      </c>
      <c r="C82">
        <v>4</v>
      </c>
      <c r="D82">
        <f>C82*B82</f>
        <v>1</v>
      </c>
      <c r="G82" s="7"/>
    </row>
    <row r="83" spans="1:7" x14ac:dyDescent="0.3">
      <c r="A83" t="s">
        <v>41</v>
      </c>
      <c r="B83" s="3">
        <v>0.1</v>
      </c>
      <c r="C83">
        <v>5</v>
      </c>
      <c r="D83">
        <f t="shared" ref="D83:D88" si="7">C83*B83</f>
        <v>0.5</v>
      </c>
    </row>
    <row r="84" spans="1:7" x14ac:dyDescent="0.3">
      <c r="A84" t="s">
        <v>40</v>
      </c>
      <c r="B84" s="3">
        <v>0.1</v>
      </c>
      <c r="C84">
        <v>4</v>
      </c>
      <c r="D84">
        <f t="shared" si="7"/>
        <v>0.4</v>
      </c>
      <c r="G84" s="7"/>
    </row>
    <row r="85" spans="1:7" x14ac:dyDescent="0.3">
      <c r="A85" t="s">
        <v>39</v>
      </c>
      <c r="B85" s="3">
        <v>0.1</v>
      </c>
      <c r="C85">
        <v>4</v>
      </c>
      <c r="D85">
        <f t="shared" si="7"/>
        <v>0.4</v>
      </c>
    </row>
    <row r="86" spans="1:7" x14ac:dyDescent="0.3">
      <c r="A86" t="s">
        <v>38</v>
      </c>
      <c r="B86" s="3">
        <v>0.1</v>
      </c>
      <c r="C86">
        <v>4</v>
      </c>
      <c r="D86">
        <f t="shared" si="7"/>
        <v>0.4</v>
      </c>
      <c r="G86" s="7"/>
    </row>
    <row r="87" spans="1:7" x14ac:dyDescent="0.3">
      <c r="A87" t="s">
        <v>37</v>
      </c>
      <c r="B87" s="3">
        <v>0.25</v>
      </c>
      <c r="C87">
        <v>4</v>
      </c>
      <c r="D87">
        <f t="shared" si="7"/>
        <v>1</v>
      </c>
      <c r="G87" s="8"/>
    </row>
    <row r="88" spans="1:7" x14ac:dyDescent="0.3">
      <c r="A88" t="s">
        <v>36</v>
      </c>
      <c r="B88" s="3">
        <v>0.1</v>
      </c>
      <c r="C88">
        <v>4</v>
      </c>
      <c r="D88">
        <f t="shared" si="7"/>
        <v>0.4</v>
      </c>
      <c r="G88" s="8"/>
    </row>
    <row r="89" spans="1:7" ht="15" thickBot="1" x14ac:dyDescent="0.35">
      <c r="B89" s="4">
        <f>SUM(B82:B88)</f>
        <v>0.99999999999999989</v>
      </c>
      <c r="D89" s="6">
        <f>SUM(D82:D88)</f>
        <v>4.0999999999999996</v>
      </c>
    </row>
    <row r="90" spans="1:7" ht="15" thickTop="1" x14ac:dyDescent="0.3">
      <c r="G90" s="7"/>
    </row>
    <row r="91" spans="1:7" x14ac:dyDescent="0.3">
      <c r="A91" t="s">
        <v>15</v>
      </c>
      <c r="G91" s="8"/>
    </row>
    <row r="92" spans="1:7" x14ac:dyDescent="0.3">
      <c r="A92" s="1" t="s">
        <v>0</v>
      </c>
      <c r="B92" s="1" t="s">
        <v>1</v>
      </c>
      <c r="C92" s="1" t="s">
        <v>17</v>
      </c>
      <c r="D92" s="1" t="s">
        <v>2</v>
      </c>
      <c r="G92" s="8"/>
    </row>
    <row r="93" spans="1:7" x14ac:dyDescent="0.3">
      <c r="A93" t="s">
        <v>42</v>
      </c>
      <c r="B93" s="3">
        <v>0.25</v>
      </c>
      <c r="C93">
        <v>3</v>
      </c>
      <c r="D93">
        <f>C93*B93</f>
        <v>0.75</v>
      </c>
      <c r="G93" s="8"/>
    </row>
    <row r="94" spans="1:7" x14ac:dyDescent="0.3">
      <c r="A94" t="s">
        <v>41</v>
      </c>
      <c r="B94" s="3">
        <v>0.1</v>
      </c>
      <c r="C94">
        <v>5</v>
      </c>
      <c r="D94">
        <f t="shared" ref="D94:D99" si="8">C94*B94</f>
        <v>0.5</v>
      </c>
      <c r="G94" s="8"/>
    </row>
    <row r="95" spans="1:7" x14ac:dyDescent="0.3">
      <c r="A95" t="s">
        <v>40</v>
      </c>
      <c r="B95" s="3">
        <v>0.1</v>
      </c>
      <c r="C95">
        <v>4</v>
      </c>
      <c r="D95">
        <f t="shared" si="8"/>
        <v>0.4</v>
      </c>
      <c r="G95" s="8"/>
    </row>
    <row r="96" spans="1:7" x14ac:dyDescent="0.3">
      <c r="A96" t="s">
        <v>39</v>
      </c>
      <c r="B96" s="3">
        <v>0.1</v>
      </c>
      <c r="C96">
        <v>4</v>
      </c>
      <c r="D96">
        <f t="shared" si="8"/>
        <v>0.4</v>
      </c>
      <c r="G96" s="8"/>
    </row>
    <row r="97" spans="1:7" x14ac:dyDescent="0.3">
      <c r="A97" t="s">
        <v>38</v>
      </c>
      <c r="B97" s="3">
        <v>0.1</v>
      </c>
      <c r="C97">
        <v>4</v>
      </c>
      <c r="D97">
        <f t="shared" si="8"/>
        <v>0.4</v>
      </c>
      <c r="G97" s="8"/>
    </row>
    <row r="98" spans="1:7" x14ac:dyDescent="0.3">
      <c r="A98" t="s">
        <v>37</v>
      </c>
      <c r="B98" s="3">
        <v>0.25</v>
      </c>
      <c r="C98">
        <v>4</v>
      </c>
      <c r="D98">
        <f t="shared" si="8"/>
        <v>1</v>
      </c>
      <c r="G98" s="8"/>
    </row>
    <row r="99" spans="1:7" x14ac:dyDescent="0.3">
      <c r="A99" t="s">
        <v>36</v>
      </c>
      <c r="B99" s="3">
        <v>0.1</v>
      </c>
      <c r="C99">
        <v>4</v>
      </c>
      <c r="D99">
        <f t="shared" si="8"/>
        <v>0.4</v>
      </c>
      <c r="G99" s="8"/>
    </row>
    <row r="100" spans="1:7" ht="15" thickBot="1" x14ac:dyDescent="0.35">
      <c r="B100" s="4">
        <f>SUM(B93:B99)</f>
        <v>0.99999999999999989</v>
      </c>
      <c r="D100" s="6">
        <f>SUM(D93:D99)</f>
        <v>3.8499999999999996</v>
      </c>
      <c r="G100" s="7"/>
    </row>
    <row r="101" spans="1:7" ht="15" thickTop="1" x14ac:dyDescent="0.3"/>
    <row r="102" spans="1:7" x14ac:dyDescent="0.3">
      <c r="G102" s="7"/>
    </row>
    <row r="103" spans="1:7" x14ac:dyDescent="0.3">
      <c r="G103" s="8"/>
    </row>
    <row r="104" spans="1:7" x14ac:dyDescent="0.3">
      <c r="G104" s="8"/>
    </row>
    <row r="105" spans="1:7" x14ac:dyDescent="0.3">
      <c r="G105" s="8"/>
    </row>
    <row r="107" spans="1:7" x14ac:dyDescent="0.3">
      <c r="G107" s="7"/>
    </row>
    <row r="109" spans="1:7" x14ac:dyDescent="0.3">
      <c r="G109" s="7"/>
    </row>
    <row r="110" spans="1:7" x14ac:dyDescent="0.3">
      <c r="G110" s="8"/>
    </row>
    <row r="111" spans="1:7" x14ac:dyDescent="0.3">
      <c r="G111" s="8"/>
    </row>
    <row r="112" spans="1:7" x14ac:dyDescent="0.3">
      <c r="G112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16538-9BA1-4EAB-9912-0635FDE8FF10}">
  <dimension ref="A1:G112"/>
  <sheetViews>
    <sheetView topLeftCell="A82" zoomScale="80" zoomScaleNormal="80" workbookViewId="0">
      <selection activeCell="C100" sqref="C100"/>
    </sheetView>
  </sheetViews>
  <sheetFormatPr defaultRowHeight="14.4" x14ac:dyDescent="0.3"/>
  <cols>
    <col min="1" max="1" width="122.77734375" bestFit="1" customWidth="1"/>
    <col min="2" max="2" width="6.77734375" bestFit="1" customWidth="1"/>
    <col min="3" max="3" width="10.21875" bestFit="1" customWidth="1"/>
    <col min="4" max="4" width="13.88671875" bestFit="1" customWidth="1"/>
    <col min="6" max="6" width="15.33203125" bestFit="1" customWidth="1"/>
  </cols>
  <sheetData>
    <row r="1" spans="1:7" x14ac:dyDescent="0.3">
      <c r="A1" s="2" t="s">
        <v>3</v>
      </c>
      <c r="B1" s="5">
        <v>5</v>
      </c>
    </row>
    <row r="2" spans="1:7" x14ac:dyDescent="0.3">
      <c r="F2" s="10" t="s">
        <v>35</v>
      </c>
      <c r="G2" s="7"/>
    </row>
    <row r="3" spans="1:7" x14ac:dyDescent="0.3">
      <c r="A3" t="s">
        <v>7</v>
      </c>
      <c r="F3">
        <f>D12</f>
        <v>3.75</v>
      </c>
      <c r="G3" s="7"/>
    </row>
    <row r="4" spans="1:7" x14ac:dyDescent="0.3">
      <c r="A4" s="1" t="s">
        <v>0</v>
      </c>
      <c r="B4" s="1" t="s">
        <v>1</v>
      </c>
      <c r="C4" s="1" t="s">
        <v>17</v>
      </c>
      <c r="D4" s="1" t="s">
        <v>2</v>
      </c>
      <c r="F4">
        <f>D23</f>
        <v>4.2</v>
      </c>
      <c r="G4" s="7"/>
    </row>
    <row r="5" spans="1:7" x14ac:dyDescent="0.3">
      <c r="A5" t="s">
        <v>42</v>
      </c>
      <c r="B5" s="3">
        <v>0.25</v>
      </c>
      <c r="C5">
        <v>3</v>
      </c>
      <c r="D5">
        <f>C5*B5</f>
        <v>0.75</v>
      </c>
      <c r="F5">
        <f>D34</f>
        <v>3.9</v>
      </c>
      <c r="G5" s="7"/>
    </row>
    <row r="6" spans="1:7" x14ac:dyDescent="0.3">
      <c r="A6" t="s">
        <v>41</v>
      </c>
      <c r="B6" s="3">
        <v>0.1</v>
      </c>
      <c r="C6">
        <v>5</v>
      </c>
      <c r="D6">
        <f t="shared" ref="D6:D11" si="0">C6*B6</f>
        <v>0.5</v>
      </c>
      <c r="F6">
        <f>D45</f>
        <v>3.9999999999999996</v>
      </c>
      <c r="G6" s="7"/>
    </row>
    <row r="7" spans="1:7" x14ac:dyDescent="0.3">
      <c r="A7" t="s">
        <v>40</v>
      </c>
      <c r="B7" s="3">
        <v>0.1</v>
      </c>
      <c r="C7">
        <v>4</v>
      </c>
      <c r="D7">
        <f t="shared" si="0"/>
        <v>0.4</v>
      </c>
      <c r="F7">
        <f>D56</f>
        <v>3.8000000000000003</v>
      </c>
      <c r="G7" s="7"/>
    </row>
    <row r="8" spans="1:7" x14ac:dyDescent="0.3">
      <c r="A8" t="s">
        <v>39</v>
      </c>
      <c r="B8" s="3">
        <v>0.1</v>
      </c>
      <c r="C8">
        <v>4</v>
      </c>
      <c r="D8">
        <f t="shared" si="0"/>
        <v>0.4</v>
      </c>
      <c r="F8">
        <f>D67</f>
        <v>4.0999999999999996</v>
      </c>
      <c r="G8" s="7"/>
    </row>
    <row r="9" spans="1:7" x14ac:dyDescent="0.3">
      <c r="A9" t="s">
        <v>38</v>
      </c>
      <c r="B9" s="3">
        <v>0.1</v>
      </c>
      <c r="C9">
        <v>2</v>
      </c>
      <c r="D9">
        <f t="shared" si="0"/>
        <v>0.2</v>
      </c>
      <c r="F9">
        <f>D78</f>
        <v>4.5500000000000007</v>
      </c>
      <c r="G9" s="7"/>
    </row>
    <row r="10" spans="1:7" x14ac:dyDescent="0.3">
      <c r="A10" t="s">
        <v>37</v>
      </c>
      <c r="B10" s="3">
        <v>0.25</v>
      </c>
      <c r="C10">
        <v>4</v>
      </c>
      <c r="D10">
        <f t="shared" si="0"/>
        <v>1</v>
      </c>
      <c r="F10">
        <f>D89</f>
        <v>3.9499999999999997</v>
      </c>
      <c r="G10" s="7"/>
    </row>
    <row r="11" spans="1:7" x14ac:dyDescent="0.3">
      <c r="A11" t="s">
        <v>36</v>
      </c>
      <c r="B11" s="3">
        <v>0.1</v>
      </c>
      <c r="C11">
        <v>5</v>
      </c>
      <c r="D11">
        <f t="shared" si="0"/>
        <v>0.5</v>
      </c>
      <c r="F11">
        <f>D100</f>
        <v>3.4</v>
      </c>
      <c r="G11" s="7"/>
    </row>
    <row r="12" spans="1:7" ht="15" thickBot="1" x14ac:dyDescent="0.35">
      <c r="B12" s="4">
        <f>SUM(B5:B11)</f>
        <v>0.99999999999999989</v>
      </c>
      <c r="D12" s="6">
        <f>SUM(D5:D11)</f>
        <v>3.75</v>
      </c>
      <c r="G12" s="7"/>
    </row>
    <row r="13" spans="1:7" ht="15" thickTop="1" x14ac:dyDescent="0.3">
      <c r="G13" s="7"/>
    </row>
    <row r="14" spans="1:7" x14ac:dyDescent="0.3">
      <c r="A14" t="s">
        <v>8</v>
      </c>
      <c r="G14" s="7"/>
    </row>
    <row r="15" spans="1:7" x14ac:dyDescent="0.3">
      <c r="A15" s="1" t="s">
        <v>0</v>
      </c>
      <c r="B15" s="1" t="s">
        <v>1</v>
      </c>
      <c r="C15" s="1" t="s">
        <v>17</v>
      </c>
      <c r="D15" s="1" t="s">
        <v>2</v>
      </c>
      <c r="G15" s="7"/>
    </row>
    <row r="16" spans="1:7" x14ac:dyDescent="0.3">
      <c r="A16" t="s">
        <v>42</v>
      </c>
      <c r="B16" s="3">
        <v>0.25</v>
      </c>
      <c r="C16">
        <v>4</v>
      </c>
      <c r="D16">
        <f>C16*B16</f>
        <v>1</v>
      </c>
      <c r="G16" s="7"/>
    </row>
    <row r="17" spans="1:7" x14ac:dyDescent="0.3">
      <c r="A17" t="s">
        <v>41</v>
      </c>
      <c r="B17" s="3">
        <v>0.1</v>
      </c>
      <c r="C17">
        <v>5</v>
      </c>
      <c r="D17">
        <f t="shared" ref="D17:D22" si="1">C17*B17</f>
        <v>0.5</v>
      </c>
      <c r="G17" s="7"/>
    </row>
    <row r="18" spans="1:7" x14ac:dyDescent="0.3">
      <c r="A18" t="s">
        <v>40</v>
      </c>
      <c r="B18" s="3">
        <v>0.1</v>
      </c>
      <c r="C18">
        <v>4</v>
      </c>
      <c r="D18">
        <f t="shared" si="1"/>
        <v>0.4</v>
      </c>
      <c r="G18" s="7"/>
    </row>
    <row r="19" spans="1:7" x14ac:dyDescent="0.3">
      <c r="A19" t="s">
        <v>39</v>
      </c>
      <c r="B19" s="3">
        <v>0.1</v>
      </c>
      <c r="C19">
        <v>5</v>
      </c>
      <c r="D19">
        <f t="shared" si="1"/>
        <v>0.5</v>
      </c>
      <c r="G19" s="7"/>
    </row>
    <row r="20" spans="1:7" x14ac:dyDescent="0.3">
      <c r="A20" t="s">
        <v>38</v>
      </c>
      <c r="B20" s="3">
        <v>0.1</v>
      </c>
      <c r="C20">
        <v>4</v>
      </c>
      <c r="D20">
        <f t="shared" si="1"/>
        <v>0.4</v>
      </c>
      <c r="G20" s="7"/>
    </row>
    <row r="21" spans="1:7" x14ac:dyDescent="0.3">
      <c r="A21" t="s">
        <v>37</v>
      </c>
      <c r="B21" s="3">
        <v>0.25</v>
      </c>
      <c r="C21">
        <v>4</v>
      </c>
      <c r="D21">
        <f t="shared" si="1"/>
        <v>1</v>
      </c>
      <c r="G21" s="7"/>
    </row>
    <row r="22" spans="1:7" x14ac:dyDescent="0.3">
      <c r="A22" t="s">
        <v>36</v>
      </c>
      <c r="B22" s="3">
        <v>0.1</v>
      </c>
      <c r="C22">
        <v>4</v>
      </c>
      <c r="D22">
        <f t="shared" si="1"/>
        <v>0.4</v>
      </c>
      <c r="G22" s="7"/>
    </row>
    <row r="23" spans="1:7" ht="15" thickBot="1" x14ac:dyDescent="0.35">
      <c r="B23" s="4">
        <f>SUM(B16:B22)</f>
        <v>0.99999999999999989</v>
      </c>
      <c r="D23" s="6">
        <f>SUM(D16:D22)</f>
        <v>4.2</v>
      </c>
      <c r="G23" s="7"/>
    </row>
    <row r="24" spans="1:7" ht="15" thickTop="1" x14ac:dyDescent="0.3">
      <c r="G24" s="7"/>
    </row>
    <row r="25" spans="1:7" x14ac:dyDescent="0.3">
      <c r="A25" t="s">
        <v>9</v>
      </c>
      <c r="G25" s="7"/>
    </row>
    <row r="26" spans="1:7" x14ac:dyDescent="0.3">
      <c r="A26" s="1" t="s">
        <v>0</v>
      </c>
      <c r="B26" s="1" t="s">
        <v>1</v>
      </c>
      <c r="C26" s="1" t="s">
        <v>17</v>
      </c>
      <c r="D26" s="1" t="s">
        <v>2</v>
      </c>
      <c r="G26" s="7"/>
    </row>
    <row r="27" spans="1:7" x14ac:dyDescent="0.3">
      <c r="A27" t="s">
        <v>42</v>
      </c>
      <c r="B27" s="3">
        <v>0.25</v>
      </c>
      <c r="C27">
        <v>4</v>
      </c>
      <c r="D27">
        <f>C27*B27</f>
        <v>1</v>
      </c>
      <c r="G27" s="7"/>
    </row>
    <row r="28" spans="1:7" x14ac:dyDescent="0.3">
      <c r="A28" t="s">
        <v>41</v>
      </c>
      <c r="B28" s="3">
        <v>0.1</v>
      </c>
      <c r="C28">
        <v>5</v>
      </c>
      <c r="D28">
        <f t="shared" ref="D28:D33" si="2">C28*B28</f>
        <v>0.5</v>
      </c>
      <c r="G28" s="7"/>
    </row>
    <row r="29" spans="1:7" x14ac:dyDescent="0.3">
      <c r="A29" t="s">
        <v>40</v>
      </c>
      <c r="B29" s="3">
        <v>0.1</v>
      </c>
      <c r="C29">
        <v>3</v>
      </c>
      <c r="D29">
        <f t="shared" si="2"/>
        <v>0.30000000000000004</v>
      </c>
      <c r="G29" s="7"/>
    </row>
    <row r="30" spans="1:7" x14ac:dyDescent="0.3">
      <c r="A30" t="s">
        <v>39</v>
      </c>
      <c r="B30" s="3">
        <v>0.1</v>
      </c>
      <c r="C30">
        <v>3</v>
      </c>
      <c r="D30">
        <f t="shared" si="2"/>
        <v>0.30000000000000004</v>
      </c>
      <c r="G30" s="7"/>
    </row>
    <row r="31" spans="1:7" x14ac:dyDescent="0.3">
      <c r="A31" t="s">
        <v>38</v>
      </c>
      <c r="B31" s="3">
        <v>0.1</v>
      </c>
      <c r="C31">
        <v>4</v>
      </c>
      <c r="D31">
        <f t="shared" si="2"/>
        <v>0.4</v>
      </c>
      <c r="G31" s="7"/>
    </row>
    <row r="32" spans="1:7" x14ac:dyDescent="0.3">
      <c r="A32" t="s">
        <v>37</v>
      </c>
      <c r="B32" s="3">
        <v>0.25</v>
      </c>
      <c r="C32">
        <v>4</v>
      </c>
      <c r="D32">
        <f t="shared" si="2"/>
        <v>1</v>
      </c>
      <c r="G32" s="7"/>
    </row>
    <row r="33" spans="1:7" x14ac:dyDescent="0.3">
      <c r="A33" t="s">
        <v>36</v>
      </c>
      <c r="B33" s="3">
        <v>0.1</v>
      </c>
      <c r="C33">
        <v>4</v>
      </c>
      <c r="D33">
        <f t="shared" si="2"/>
        <v>0.4</v>
      </c>
      <c r="G33" s="7"/>
    </row>
    <row r="34" spans="1:7" ht="15" thickBot="1" x14ac:dyDescent="0.35">
      <c r="B34" s="4">
        <f>SUM(B27:B33)</f>
        <v>0.99999999999999989</v>
      </c>
      <c r="D34" s="6">
        <f>SUM(D27:D33)</f>
        <v>3.9</v>
      </c>
      <c r="G34" s="7"/>
    </row>
    <row r="35" spans="1:7" ht="15" thickTop="1" x14ac:dyDescent="0.3">
      <c r="G35" s="7"/>
    </row>
    <row r="36" spans="1:7" x14ac:dyDescent="0.3">
      <c r="A36" t="s">
        <v>10</v>
      </c>
      <c r="G36" s="7"/>
    </row>
    <row r="37" spans="1:7" x14ac:dyDescent="0.3">
      <c r="A37" s="1" t="s">
        <v>0</v>
      </c>
      <c r="B37" s="1" t="s">
        <v>1</v>
      </c>
      <c r="C37" s="1" t="s">
        <v>17</v>
      </c>
      <c r="D37" s="1" t="s">
        <v>2</v>
      </c>
      <c r="G37" s="7"/>
    </row>
    <row r="38" spans="1:7" x14ac:dyDescent="0.3">
      <c r="A38" t="s">
        <v>42</v>
      </c>
      <c r="B38" s="3">
        <v>0.25</v>
      </c>
      <c r="C38">
        <v>4</v>
      </c>
      <c r="D38">
        <f>C38*B38</f>
        <v>1</v>
      </c>
      <c r="G38" s="7"/>
    </row>
    <row r="39" spans="1:7" x14ac:dyDescent="0.3">
      <c r="A39" t="s">
        <v>41</v>
      </c>
      <c r="B39" s="3">
        <v>0.1</v>
      </c>
      <c r="C39">
        <v>5</v>
      </c>
      <c r="D39">
        <f t="shared" ref="D39:D44" si="3">C39*B39</f>
        <v>0.5</v>
      </c>
      <c r="G39" s="7"/>
    </row>
    <row r="40" spans="1:7" x14ac:dyDescent="0.3">
      <c r="A40" t="s">
        <v>40</v>
      </c>
      <c r="B40" s="3">
        <v>0.1</v>
      </c>
      <c r="C40">
        <v>4</v>
      </c>
      <c r="D40">
        <f t="shared" si="3"/>
        <v>0.4</v>
      </c>
      <c r="G40" s="7"/>
    </row>
    <row r="41" spans="1:7" x14ac:dyDescent="0.3">
      <c r="A41" t="s">
        <v>39</v>
      </c>
      <c r="B41" s="3">
        <v>0.1</v>
      </c>
      <c r="C41">
        <v>4</v>
      </c>
      <c r="D41">
        <f t="shared" si="3"/>
        <v>0.4</v>
      </c>
      <c r="G41" s="7"/>
    </row>
    <row r="42" spans="1:7" x14ac:dyDescent="0.3">
      <c r="A42" t="s">
        <v>38</v>
      </c>
      <c r="B42" s="3">
        <v>0.1</v>
      </c>
      <c r="C42">
        <v>3</v>
      </c>
      <c r="D42">
        <f t="shared" si="3"/>
        <v>0.30000000000000004</v>
      </c>
      <c r="G42" s="7"/>
    </row>
    <row r="43" spans="1:7" x14ac:dyDescent="0.3">
      <c r="A43" t="s">
        <v>37</v>
      </c>
      <c r="B43" s="3">
        <v>0.25</v>
      </c>
      <c r="C43">
        <v>4</v>
      </c>
      <c r="D43">
        <f t="shared" si="3"/>
        <v>1</v>
      </c>
      <c r="G43" s="7"/>
    </row>
    <row r="44" spans="1:7" x14ac:dyDescent="0.3">
      <c r="A44" t="s">
        <v>36</v>
      </c>
      <c r="B44" s="3">
        <v>0.1</v>
      </c>
      <c r="C44">
        <v>4</v>
      </c>
      <c r="D44">
        <f t="shared" si="3"/>
        <v>0.4</v>
      </c>
      <c r="G44" s="7"/>
    </row>
    <row r="45" spans="1:7" ht="15" thickBot="1" x14ac:dyDescent="0.35">
      <c r="B45" s="4">
        <f>SUM(B38:B44)</f>
        <v>0.99999999999999989</v>
      </c>
      <c r="D45" s="6">
        <f>SUM(D38:D44)</f>
        <v>3.9999999999999996</v>
      </c>
      <c r="G45" s="7"/>
    </row>
    <row r="46" spans="1:7" ht="15" thickTop="1" x14ac:dyDescent="0.3">
      <c r="A46" s="9"/>
      <c r="B46" s="9"/>
      <c r="C46" s="9"/>
      <c r="D46" s="9"/>
      <c r="G46" s="7"/>
    </row>
    <row r="47" spans="1:7" x14ac:dyDescent="0.3">
      <c r="A47" t="s">
        <v>11</v>
      </c>
      <c r="G47" s="7"/>
    </row>
    <row r="48" spans="1:7" x14ac:dyDescent="0.3">
      <c r="A48" s="1" t="s">
        <v>0</v>
      </c>
      <c r="B48" s="1" t="s">
        <v>1</v>
      </c>
      <c r="C48" s="1" t="s">
        <v>17</v>
      </c>
      <c r="D48" s="1" t="s">
        <v>2</v>
      </c>
      <c r="G48" s="7"/>
    </row>
    <row r="49" spans="1:7" x14ac:dyDescent="0.3">
      <c r="A49" t="s">
        <v>42</v>
      </c>
      <c r="B49" s="3">
        <v>0.25</v>
      </c>
      <c r="C49">
        <v>4</v>
      </c>
      <c r="D49">
        <f t="shared" ref="D49:D55" si="4">C49*B49</f>
        <v>1</v>
      </c>
      <c r="G49" s="7"/>
    </row>
    <row r="50" spans="1:7" x14ac:dyDescent="0.3">
      <c r="A50" t="s">
        <v>41</v>
      </c>
      <c r="B50" s="3">
        <v>0.1</v>
      </c>
      <c r="C50">
        <v>5</v>
      </c>
      <c r="D50">
        <f t="shared" si="4"/>
        <v>0.5</v>
      </c>
      <c r="G50" s="7"/>
    </row>
    <row r="51" spans="1:7" x14ac:dyDescent="0.3">
      <c r="A51" t="s">
        <v>40</v>
      </c>
      <c r="B51" s="3">
        <v>0.1</v>
      </c>
      <c r="C51">
        <v>3</v>
      </c>
      <c r="D51">
        <f t="shared" si="4"/>
        <v>0.30000000000000004</v>
      </c>
      <c r="G51" s="7"/>
    </row>
    <row r="52" spans="1:7" x14ac:dyDescent="0.3">
      <c r="A52" t="s">
        <v>39</v>
      </c>
      <c r="B52" s="3">
        <v>0.1</v>
      </c>
      <c r="C52">
        <v>3</v>
      </c>
      <c r="D52">
        <f t="shared" si="4"/>
        <v>0.30000000000000004</v>
      </c>
      <c r="G52" s="7"/>
    </row>
    <row r="53" spans="1:7" x14ac:dyDescent="0.3">
      <c r="A53" t="s">
        <v>38</v>
      </c>
      <c r="B53" s="3">
        <v>0.1</v>
      </c>
      <c r="C53">
        <v>2</v>
      </c>
      <c r="D53">
        <f t="shared" si="4"/>
        <v>0.2</v>
      </c>
      <c r="G53" s="7"/>
    </row>
    <row r="54" spans="1:7" x14ac:dyDescent="0.3">
      <c r="A54" t="s">
        <v>37</v>
      </c>
      <c r="B54" s="3">
        <v>0.25</v>
      </c>
      <c r="C54">
        <v>4</v>
      </c>
      <c r="D54">
        <f t="shared" si="4"/>
        <v>1</v>
      </c>
      <c r="G54" s="7"/>
    </row>
    <row r="55" spans="1:7" x14ac:dyDescent="0.3">
      <c r="A55" t="s">
        <v>36</v>
      </c>
      <c r="B55" s="3">
        <v>0.1</v>
      </c>
      <c r="C55">
        <v>5</v>
      </c>
      <c r="D55">
        <f t="shared" si="4"/>
        <v>0.5</v>
      </c>
      <c r="G55" s="7"/>
    </row>
    <row r="56" spans="1:7" ht="15" thickBot="1" x14ac:dyDescent="0.35">
      <c r="B56" s="4">
        <f>SUM(B49:B55)</f>
        <v>0.99999999999999989</v>
      </c>
      <c r="D56" s="6">
        <f>SUM(D49:D55)</f>
        <v>3.8000000000000003</v>
      </c>
      <c r="G56" s="7"/>
    </row>
    <row r="57" spans="1:7" ht="15" thickTop="1" x14ac:dyDescent="0.3">
      <c r="A57" s="9"/>
      <c r="B57" s="9"/>
      <c r="C57" s="9"/>
      <c r="D57" s="9"/>
      <c r="G57" s="7"/>
    </row>
    <row r="58" spans="1:7" x14ac:dyDescent="0.3">
      <c r="A58" t="s">
        <v>12</v>
      </c>
      <c r="G58" s="7"/>
    </row>
    <row r="59" spans="1:7" x14ac:dyDescent="0.3">
      <c r="A59" s="1" t="s">
        <v>0</v>
      </c>
      <c r="B59" s="1" t="s">
        <v>1</v>
      </c>
      <c r="C59" s="1" t="s">
        <v>17</v>
      </c>
      <c r="D59" s="1" t="s">
        <v>2</v>
      </c>
      <c r="G59" s="7"/>
    </row>
    <row r="60" spans="1:7" x14ac:dyDescent="0.3">
      <c r="A60" t="s">
        <v>42</v>
      </c>
      <c r="B60" s="3">
        <v>0.25</v>
      </c>
      <c r="C60">
        <v>4</v>
      </c>
      <c r="D60">
        <f t="shared" ref="D60:D66" si="5">C60*B60</f>
        <v>1</v>
      </c>
      <c r="G60" s="7"/>
    </row>
    <row r="61" spans="1:7" x14ac:dyDescent="0.3">
      <c r="A61" t="s">
        <v>41</v>
      </c>
      <c r="B61" s="3">
        <v>0.1</v>
      </c>
      <c r="C61">
        <v>5</v>
      </c>
      <c r="D61">
        <f t="shared" si="5"/>
        <v>0.5</v>
      </c>
      <c r="G61" s="7"/>
    </row>
    <row r="62" spans="1:7" x14ac:dyDescent="0.3">
      <c r="A62" t="s">
        <v>40</v>
      </c>
      <c r="B62" s="3">
        <v>0.1</v>
      </c>
      <c r="C62">
        <v>4</v>
      </c>
      <c r="D62">
        <f t="shared" si="5"/>
        <v>0.4</v>
      </c>
      <c r="G62" s="7"/>
    </row>
    <row r="63" spans="1:7" x14ac:dyDescent="0.3">
      <c r="A63" t="s">
        <v>39</v>
      </c>
      <c r="B63" s="3">
        <v>0.1</v>
      </c>
      <c r="C63">
        <v>4</v>
      </c>
      <c r="D63">
        <f t="shared" si="5"/>
        <v>0.4</v>
      </c>
      <c r="G63" s="7"/>
    </row>
    <row r="64" spans="1:7" x14ac:dyDescent="0.3">
      <c r="A64" t="s">
        <v>38</v>
      </c>
      <c r="B64" s="3">
        <v>0.1</v>
      </c>
      <c r="C64">
        <v>4</v>
      </c>
      <c r="D64">
        <f t="shared" si="5"/>
        <v>0.4</v>
      </c>
      <c r="G64" s="7"/>
    </row>
    <row r="65" spans="1:7" x14ac:dyDescent="0.3">
      <c r="A65" t="s">
        <v>37</v>
      </c>
      <c r="B65" s="3">
        <v>0.25</v>
      </c>
      <c r="C65">
        <v>4</v>
      </c>
      <c r="D65">
        <f t="shared" si="5"/>
        <v>1</v>
      </c>
      <c r="G65" s="7"/>
    </row>
    <row r="66" spans="1:7" x14ac:dyDescent="0.3">
      <c r="A66" t="s">
        <v>36</v>
      </c>
      <c r="B66" s="3">
        <v>0.1</v>
      </c>
      <c r="C66">
        <v>4</v>
      </c>
      <c r="D66">
        <f t="shared" si="5"/>
        <v>0.4</v>
      </c>
      <c r="G66" s="7"/>
    </row>
    <row r="67" spans="1:7" ht="15" thickBot="1" x14ac:dyDescent="0.35">
      <c r="B67" s="4">
        <f>SUM(B60:B66)</f>
        <v>0.99999999999999989</v>
      </c>
      <c r="D67" s="6">
        <f>SUM(D60:D66)</f>
        <v>4.0999999999999996</v>
      </c>
      <c r="G67" s="7"/>
    </row>
    <row r="68" spans="1:7" ht="15" thickTop="1" x14ac:dyDescent="0.3">
      <c r="A68" s="9"/>
      <c r="B68" s="9"/>
      <c r="C68" s="9"/>
      <c r="D68" s="9"/>
      <c r="G68" s="7"/>
    </row>
    <row r="69" spans="1:7" x14ac:dyDescent="0.3">
      <c r="A69" t="s">
        <v>13</v>
      </c>
      <c r="G69" s="7"/>
    </row>
    <row r="70" spans="1:7" x14ac:dyDescent="0.3">
      <c r="A70" s="1" t="s">
        <v>0</v>
      </c>
      <c r="B70" s="1" t="s">
        <v>1</v>
      </c>
      <c r="C70" s="1" t="s">
        <v>17</v>
      </c>
      <c r="D70" s="1" t="s">
        <v>2</v>
      </c>
      <c r="G70" s="7"/>
    </row>
    <row r="71" spans="1:7" x14ac:dyDescent="0.3">
      <c r="A71" t="s">
        <v>42</v>
      </c>
      <c r="B71" s="3">
        <v>0.25</v>
      </c>
      <c r="C71">
        <v>4</v>
      </c>
      <c r="D71">
        <f>C71*B71</f>
        <v>1</v>
      </c>
      <c r="G71" s="7"/>
    </row>
    <row r="72" spans="1:7" x14ac:dyDescent="0.3">
      <c r="A72" t="s">
        <v>41</v>
      </c>
      <c r="B72" s="3">
        <v>0.1</v>
      </c>
      <c r="C72">
        <v>5</v>
      </c>
      <c r="D72">
        <f t="shared" ref="D72:D77" si="6">C72*B72</f>
        <v>0.5</v>
      </c>
      <c r="G72" s="7"/>
    </row>
    <row r="73" spans="1:7" x14ac:dyDescent="0.3">
      <c r="A73" t="s">
        <v>40</v>
      </c>
      <c r="B73" s="3">
        <v>0.1</v>
      </c>
      <c r="C73">
        <v>4</v>
      </c>
      <c r="D73">
        <f t="shared" si="6"/>
        <v>0.4</v>
      </c>
      <c r="G73" s="7"/>
    </row>
    <row r="74" spans="1:7" x14ac:dyDescent="0.3">
      <c r="A74" t="s">
        <v>39</v>
      </c>
      <c r="B74" s="3">
        <v>0.1</v>
      </c>
      <c r="C74">
        <v>5</v>
      </c>
      <c r="D74">
        <f t="shared" si="6"/>
        <v>0.5</v>
      </c>
      <c r="G74" s="7"/>
    </row>
    <row r="75" spans="1:7" x14ac:dyDescent="0.3">
      <c r="A75" t="s">
        <v>38</v>
      </c>
      <c r="B75" s="3">
        <v>0.1</v>
      </c>
      <c r="C75">
        <v>5</v>
      </c>
      <c r="D75">
        <f t="shared" si="6"/>
        <v>0.5</v>
      </c>
      <c r="G75" s="7"/>
    </row>
    <row r="76" spans="1:7" x14ac:dyDescent="0.3">
      <c r="A76" t="s">
        <v>37</v>
      </c>
      <c r="B76" s="3">
        <v>0.25</v>
      </c>
      <c r="C76">
        <v>5</v>
      </c>
      <c r="D76">
        <f t="shared" si="6"/>
        <v>1.25</v>
      </c>
      <c r="G76" s="7"/>
    </row>
    <row r="77" spans="1:7" x14ac:dyDescent="0.3">
      <c r="A77" t="s">
        <v>36</v>
      </c>
      <c r="B77" s="3">
        <v>0.1</v>
      </c>
      <c r="C77">
        <v>4</v>
      </c>
      <c r="D77">
        <f t="shared" si="6"/>
        <v>0.4</v>
      </c>
      <c r="G77" s="7"/>
    </row>
    <row r="78" spans="1:7" ht="15" thickBot="1" x14ac:dyDescent="0.35">
      <c r="B78" s="4">
        <f>SUM(B71:B77)</f>
        <v>0.99999999999999989</v>
      </c>
      <c r="D78" s="6">
        <f>SUM(D71:D77)</f>
        <v>4.5500000000000007</v>
      </c>
      <c r="G78" s="7"/>
    </row>
    <row r="79" spans="1:7" ht="15" thickTop="1" x14ac:dyDescent="0.3">
      <c r="G79" s="7"/>
    </row>
    <row r="80" spans="1:7" x14ac:dyDescent="0.3">
      <c r="A80" t="s">
        <v>14</v>
      </c>
      <c r="G80" s="7"/>
    </row>
    <row r="81" spans="1:7" x14ac:dyDescent="0.3">
      <c r="A81" s="1" t="s">
        <v>0</v>
      </c>
      <c r="B81" s="1" t="s">
        <v>1</v>
      </c>
      <c r="C81" s="1" t="s">
        <v>17</v>
      </c>
      <c r="D81" s="1" t="s">
        <v>2</v>
      </c>
      <c r="G81" s="7"/>
    </row>
    <row r="82" spans="1:7" x14ac:dyDescent="0.3">
      <c r="A82" t="s">
        <v>42</v>
      </c>
      <c r="B82" s="3">
        <v>0.25</v>
      </c>
      <c r="C82">
        <v>3</v>
      </c>
      <c r="D82">
        <f>C82*B82</f>
        <v>0.75</v>
      </c>
      <c r="G82" s="7"/>
    </row>
    <row r="83" spans="1:7" x14ac:dyDescent="0.3">
      <c r="A83" t="s">
        <v>41</v>
      </c>
      <c r="B83" s="3">
        <v>0.1</v>
      </c>
      <c r="C83">
        <v>5</v>
      </c>
      <c r="D83">
        <f t="shared" ref="D83:D88" si="7">C83*B83</f>
        <v>0.5</v>
      </c>
    </row>
    <row r="84" spans="1:7" x14ac:dyDescent="0.3">
      <c r="A84" t="s">
        <v>40</v>
      </c>
      <c r="B84" s="3">
        <v>0.1</v>
      </c>
      <c r="C84">
        <v>4</v>
      </c>
      <c r="D84">
        <f t="shared" si="7"/>
        <v>0.4</v>
      </c>
      <c r="G84" s="7"/>
    </row>
    <row r="85" spans="1:7" x14ac:dyDescent="0.3">
      <c r="A85" t="s">
        <v>39</v>
      </c>
      <c r="B85" s="3">
        <v>0.1</v>
      </c>
      <c r="C85">
        <v>4</v>
      </c>
      <c r="D85">
        <f t="shared" si="7"/>
        <v>0.4</v>
      </c>
    </row>
    <row r="86" spans="1:7" x14ac:dyDescent="0.3">
      <c r="A86" t="s">
        <v>38</v>
      </c>
      <c r="B86" s="3">
        <v>0.1</v>
      </c>
      <c r="C86">
        <v>4</v>
      </c>
      <c r="D86">
        <f t="shared" si="7"/>
        <v>0.4</v>
      </c>
      <c r="G86" s="7"/>
    </row>
    <row r="87" spans="1:7" x14ac:dyDescent="0.3">
      <c r="A87" t="s">
        <v>37</v>
      </c>
      <c r="B87" s="3">
        <v>0.25</v>
      </c>
      <c r="C87">
        <v>4</v>
      </c>
      <c r="D87">
        <f t="shared" si="7"/>
        <v>1</v>
      </c>
      <c r="G87" s="8"/>
    </row>
    <row r="88" spans="1:7" x14ac:dyDescent="0.3">
      <c r="A88" t="s">
        <v>36</v>
      </c>
      <c r="B88" s="3">
        <v>0.1</v>
      </c>
      <c r="C88">
        <v>5</v>
      </c>
      <c r="D88">
        <f t="shared" si="7"/>
        <v>0.5</v>
      </c>
      <c r="G88" s="8"/>
    </row>
    <row r="89" spans="1:7" ht="15" thickBot="1" x14ac:dyDescent="0.35">
      <c r="B89" s="4">
        <f>SUM(B82:B88)</f>
        <v>0.99999999999999989</v>
      </c>
      <c r="D89" s="6">
        <f>SUM(D82:D88)</f>
        <v>3.9499999999999997</v>
      </c>
    </row>
    <row r="90" spans="1:7" ht="15" thickTop="1" x14ac:dyDescent="0.3">
      <c r="G90" s="7"/>
    </row>
    <row r="91" spans="1:7" x14ac:dyDescent="0.3">
      <c r="A91" t="s">
        <v>15</v>
      </c>
      <c r="G91" s="8"/>
    </row>
    <row r="92" spans="1:7" x14ac:dyDescent="0.3">
      <c r="A92" s="1" t="s">
        <v>0</v>
      </c>
      <c r="B92" s="1" t="s">
        <v>1</v>
      </c>
      <c r="C92" s="1" t="s">
        <v>17</v>
      </c>
      <c r="D92" s="1" t="s">
        <v>2</v>
      </c>
      <c r="G92" s="8"/>
    </row>
    <row r="93" spans="1:7" x14ac:dyDescent="0.3">
      <c r="A93" t="s">
        <v>42</v>
      </c>
      <c r="B93" s="3">
        <v>0.25</v>
      </c>
      <c r="C93">
        <v>3</v>
      </c>
      <c r="D93">
        <f>C93*B93</f>
        <v>0.75</v>
      </c>
      <c r="G93" s="8"/>
    </row>
    <row r="94" spans="1:7" x14ac:dyDescent="0.3">
      <c r="A94" t="s">
        <v>41</v>
      </c>
      <c r="B94" s="3">
        <v>0.1</v>
      </c>
      <c r="C94">
        <v>5</v>
      </c>
      <c r="D94">
        <f t="shared" ref="D94:D99" si="8">C94*B94</f>
        <v>0.5</v>
      </c>
      <c r="G94" s="8"/>
    </row>
    <row r="95" spans="1:7" x14ac:dyDescent="0.3">
      <c r="A95" t="s">
        <v>40</v>
      </c>
      <c r="B95" s="3">
        <v>0.1</v>
      </c>
      <c r="C95">
        <v>3</v>
      </c>
      <c r="D95">
        <f t="shared" si="8"/>
        <v>0.30000000000000004</v>
      </c>
      <c r="G95" s="8"/>
    </row>
    <row r="96" spans="1:7" x14ac:dyDescent="0.3">
      <c r="A96" t="s">
        <v>39</v>
      </c>
      <c r="B96" s="3">
        <v>0.1</v>
      </c>
      <c r="C96">
        <v>3</v>
      </c>
      <c r="D96">
        <f t="shared" si="8"/>
        <v>0.30000000000000004</v>
      </c>
      <c r="G96" s="8"/>
    </row>
    <row r="97" spans="1:7" x14ac:dyDescent="0.3">
      <c r="A97" t="s">
        <v>38</v>
      </c>
      <c r="B97" s="3">
        <v>0.1</v>
      </c>
      <c r="C97">
        <v>4</v>
      </c>
      <c r="D97">
        <f t="shared" si="8"/>
        <v>0.4</v>
      </c>
      <c r="G97" s="8"/>
    </row>
    <row r="98" spans="1:7" x14ac:dyDescent="0.3">
      <c r="A98" t="s">
        <v>37</v>
      </c>
      <c r="B98" s="3">
        <v>0.25</v>
      </c>
      <c r="C98">
        <v>3</v>
      </c>
      <c r="D98">
        <f t="shared" si="8"/>
        <v>0.75</v>
      </c>
      <c r="G98" s="8"/>
    </row>
    <row r="99" spans="1:7" x14ac:dyDescent="0.3">
      <c r="A99" t="s">
        <v>36</v>
      </c>
      <c r="B99" s="3">
        <v>0.1</v>
      </c>
      <c r="C99">
        <v>4</v>
      </c>
      <c r="D99">
        <f t="shared" si="8"/>
        <v>0.4</v>
      </c>
      <c r="G99" s="8"/>
    </row>
    <row r="100" spans="1:7" ht="15" thickBot="1" x14ac:dyDescent="0.35">
      <c r="B100" s="4">
        <f>SUM(B93:B99)</f>
        <v>0.99999999999999989</v>
      </c>
      <c r="D100" s="6">
        <f>SUM(D93:D99)</f>
        <v>3.4</v>
      </c>
      <c r="G100" s="7"/>
    </row>
    <row r="101" spans="1:7" ht="15" thickTop="1" x14ac:dyDescent="0.3"/>
    <row r="102" spans="1:7" x14ac:dyDescent="0.3">
      <c r="G102" s="7"/>
    </row>
    <row r="103" spans="1:7" x14ac:dyDescent="0.3">
      <c r="G103" s="8"/>
    </row>
    <row r="104" spans="1:7" x14ac:dyDescent="0.3">
      <c r="G104" s="8"/>
    </row>
    <row r="105" spans="1:7" x14ac:dyDescent="0.3">
      <c r="G105" s="8"/>
    </row>
    <row r="107" spans="1:7" x14ac:dyDescent="0.3">
      <c r="G107" s="7"/>
    </row>
    <row r="109" spans="1:7" x14ac:dyDescent="0.3">
      <c r="G109" s="7"/>
    </row>
    <row r="110" spans="1:7" x14ac:dyDescent="0.3">
      <c r="G110" s="8"/>
    </row>
    <row r="111" spans="1:7" x14ac:dyDescent="0.3">
      <c r="G111" s="8"/>
    </row>
    <row r="112" spans="1:7" x14ac:dyDescent="0.3">
      <c r="G112" s="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37D61-DE3C-40E2-A526-07D23CD55E87}">
  <dimension ref="A1:G112"/>
  <sheetViews>
    <sheetView topLeftCell="A77" zoomScale="80" zoomScaleNormal="80" workbookViewId="0">
      <selection activeCell="C97" sqref="C97"/>
    </sheetView>
  </sheetViews>
  <sheetFormatPr defaultRowHeight="14.4" x14ac:dyDescent="0.3"/>
  <cols>
    <col min="1" max="1" width="122.77734375" bestFit="1" customWidth="1"/>
    <col min="2" max="2" width="6.77734375" bestFit="1" customWidth="1"/>
    <col min="3" max="3" width="10.21875" bestFit="1" customWidth="1"/>
    <col min="4" max="4" width="13.88671875" bestFit="1" customWidth="1"/>
    <col min="6" max="6" width="15.33203125" bestFit="1" customWidth="1"/>
  </cols>
  <sheetData>
    <row r="1" spans="1:7" x14ac:dyDescent="0.3">
      <c r="A1" s="2" t="s">
        <v>3</v>
      </c>
      <c r="B1" s="5">
        <v>5</v>
      </c>
    </row>
    <row r="2" spans="1:7" x14ac:dyDescent="0.3">
      <c r="F2" s="10" t="s">
        <v>35</v>
      </c>
      <c r="G2" s="7"/>
    </row>
    <row r="3" spans="1:7" x14ac:dyDescent="0.3">
      <c r="A3" t="s">
        <v>7</v>
      </c>
      <c r="F3">
        <f>D12</f>
        <v>2.95</v>
      </c>
      <c r="G3" s="7"/>
    </row>
    <row r="4" spans="1:7" x14ac:dyDescent="0.3">
      <c r="A4" s="1" t="s">
        <v>0</v>
      </c>
      <c r="B4" s="1" t="s">
        <v>1</v>
      </c>
      <c r="C4" s="1" t="s">
        <v>17</v>
      </c>
      <c r="D4" s="1" t="s">
        <v>2</v>
      </c>
      <c r="F4">
        <f>D23</f>
        <v>3.6500000000000004</v>
      </c>
      <c r="G4" s="7"/>
    </row>
    <row r="5" spans="1:7" x14ac:dyDescent="0.3">
      <c r="A5" t="s">
        <v>42</v>
      </c>
      <c r="B5" s="3">
        <v>0.25</v>
      </c>
      <c r="C5">
        <v>2</v>
      </c>
      <c r="D5">
        <f>C5*B5</f>
        <v>0.5</v>
      </c>
      <c r="F5">
        <f>D34</f>
        <v>3.9</v>
      </c>
      <c r="G5" s="7"/>
    </row>
    <row r="6" spans="1:7" x14ac:dyDescent="0.3">
      <c r="A6" t="s">
        <v>41</v>
      </c>
      <c r="B6" s="3">
        <v>0.1</v>
      </c>
      <c r="C6">
        <v>4</v>
      </c>
      <c r="D6">
        <f t="shared" ref="D6:D11" si="0">C6*B6</f>
        <v>0.4</v>
      </c>
      <c r="F6">
        <f>D45</f>
        <v>4</v>
      </c>
      <c r="G6" s="7"/>
    </row>
    <row r="7" spans="1:7" x14ac:dyDescent="0.3">
      <c r="A7" t="s">
        <v>40</v>
      </c>
      <c r="B7" s="3">
        <v>0.1</v>
      </c>
      <c r="C7">
        <v>3</v>
      </c>
      <c r="D7">
        <f t="shared" si="0"/>
        <v>0.30000000000000004</v>
      </c>
      <c r="F7">
        <f>D56</f>
        <v>4.0999999999999996</v>
      </c>
      <c r="G7" s="7"/>
    </row>
    <row r="8" spans="1:7" x14ac:dyDescent="0.3">
      <c r="A8" t="s">
        <v>39</v>
      </c>
      <c r="B8" s="3">
        <v>0.1</v>
      </c>
      <c r="C8">
        <v>3</v>
      </c>
      <c r="D8">
        <f t="shared" si="0"/>
        <v>0.30000000000000004</v>
      </c>
      <c r="F8">
        <f>D67</f>
        <v>4.1999999999999993</v>
      </c>
      <c r="G8" s="7"/>
    </row>
    <row r="9" spans="1:7" x14ac:dyDescent="0.3">
      <c r="A9" t="s">
        <v>38</v>
      </c>
      <c r="B9" s="3">
        <v>0.1</v>
      </c>
      <c r="C9">
        <v>3</v>
      </c>
      <c r="D9">
        <f t="shared" si="0"/>
        <v>0.30000000000000004</v>
      </c>
      <c r="F9">
        <f>D78</f>
        <v>3.65</v>
      </c>
      <c r="G9" s="7"/>
    </row>
    <row r="10" spans="1:7" x14ac:dyDescent="0.3">
      <c r="A10" t="s">
        <v>37</v>
      </c>
      <c r="B10" s="3">
        <v>0.25</v>
      </c>
      <c r="C10">
        <v>3</v>
      </c>
      <c r="D10">
        <f t="shared" si="0"/>
        <v>0.75</v>
      </c>
      <c r="F10">
        <f>D89</f>
        <v>4.3</v>
      </c>
      <c r="G10" s="7"/>
    </row>
    <row r="11" spans="1:7" x14ac:dyDescent="0.3">
      <c r="A11" t="s">
        <v>36</v>
      </c>
      <c r="B11" s="3">
        <v>0.1</v>
      </c>
      <c r="C11">
        <v>4</v>
      </c>
      <c r="D11">
        <f t="shared" si="0"/>
        <v>0.4</v>
      </c>
      <c r="F11">
        <f>D100</f>
        <v>3.5500000000000003</v>
      </c>
      <c r="G11" s="7"/>
    </row>
    <row r="12" spans="1:7" ht="15" thickBot="1" x14ac:dyDescent="0.35">
      <c r="B12" s="4">
        <f>SUM(B5:B11)</f>
        <v>0.99999999999999989</v>
      </c>
      <c r="D12" s="6">
        <f>SUM(D5:D11)</f>
        <v>2.95</v>
      </c>
      <c r="G12" s="7"/>
    </row>
    <row r="13" spans="1:7" ht="15" thickTop="1" x14ac:dyDescent="0.3">
      <c r="G13" s="7"/>
    </row>
    <row r="14" spans="1:7" x14ac:dyDescent="0.3">
      <c r="A14" t="s">
        <v>8</v>
      </c>
      <c r="G14" s="7"/>
    </row>
    <row r="15" spans="1:7" x14ac:dyDescent="0.3">
      <c r="A15" s="1" t="s">
        <v>0</v>
      </c>
      <c r="B15" s="1" t="s">
        <v>1</v>
      </c>
      <c r="C15" s="1" t="s">
        <v>17</v>
      </c>
      <c r="D15" s="1" t="s">
        <v>2</v>
      </c>
      <c r="G15" s="7"/>
    </row>
    <row r="16" spans="1:7" x14ac:dyDescent="0.3">
      <c r="A16" t="s">
        <v>42</v>
      </c>
      <c r="B16" s="3">
        <v>0.25</v>
      </c>
      <c r="C16">
        <v>3</v>
      </c>
      <c r="D16">
        <f>C16*B16</f>
        <v>0.75</v>
      </c>
      <c r="G16" s="7"/>
    </row>
    <row r="17" spans="1:7" x14ac:dyDescent="0.3">
      <c r="A17" t="s">
        <v>41</v>
      </c>
      <c r="B17" s="3">
        <v>0.1</v>
      </c>
      <c r="C17">
        <v>5</v>
      </c>
      <c r="D17">
        <f t="shared" ref="D17:D22" si="1">C17*B17</f>
        <v>0.5</v>
      </c>
      <c r="G17" s="7"/>
    </row>
    <row r="18" spans="1:7" x14ac:dyDescent="0.3">
      <c r="A18" t="s">
        <v>40</v>
      </c>
      <c r="B18" s="3">
        <v>0.1</v>
      </c>
      <c r="C18">
        <v>3</v>
      </c>
      <c r="D18">
        <f t="shared" si="1"/>
        <v>0.30000000000000004</v>
      </c>
      <c r="G18" s="7"/>
    </row>
    <row r="19" spans="1:7" x14ac:dyDescent="0.3">
      <c r="A19" t="s">
        <v>39</v>
      </c>
      <c r="B19" s="3">
        <v>0.1</v>
      </c>
      <c r="C19">
        <v>3</v>
      </c>
      <c r="D19">
        <f t="shared" si="1"/>
        <v>0.30000000000000004</v>
      </c>
      <c r="G19" s="7"/>
    </row>
    <row r="20" spans="1:7" x14ac:dyDescent="0.3">
      <c r="A20" t="s">
        <v>38</v>
      </c>
      <c r="B20" s="3">
        <v>0.1</v>
      </c>
      <c r="C20">
        <v>3</v>
      </c>
      <c r="D20">
        <f t="shared" si="1"/>
        <v>0.30000000000000004</v>
      </c>
      <c r="G20" s="7"/>
    </row>
    <row r="21" spans="1:7" x14ac:dyDescent="0.3">
      <c r="A21" t="s">
        <v>37</v>
      </c>
      <c r="B21" s="3">
        <v>0.25</v>
      </c>
      <c r="C21">
        <v>4</v>
      </c>
      <c r="D21">
        <f t="shared" si="1"/>
        <v>1</v>
      </c>
      <c r="G21" s="7"/>
    </row>
    <row r="22" spans="1:7" x14ac:dyDescent="0.3">
      <c r="A22" t="s">
        <v>36</v>
      </c>
      <c r="B22" s="3">
        <v>0.1</v>
      </c>
      <c r="C22">
        <v>5</v>
      </c>
      <c r="D22">
        <f t="shared" si="1"/>
        <v>0.5</v>
      </c>
      <c r="G22" s="7"/>
    </row>
    <row r="23" spans="1:7" ht="15" thickBot="1" x14ac:dyDescent="0.35">
      <c r="B23" s="4">
        <f>SUM(B16:B22)</f>
        <v>0.99999999999999989</v>
      </c>
      <c r="D23" s="6">
        <f>SUM(D16:D22)</f>
        <v>3.6500000000000004</v>
      </c>
      <c r="G23" s="7"/>
    </row>
    <row r="24" spans="1:7" ht="15" thickTop="1" x14ac:dyDescent="0.3">
      <c r="G24" s="7"/>
    </row>
    <row r="25" spans="1:7" x14ac:dyDescent="0.3">
      <c r="A25" t="s">
        <v>9</v>
      </c>
      <c r="G25" s="7"/>
    </row>
    <row r="26" spans="1:7" x14ac:dyDescent="0.3">
      <c r="A26" s="1" t="s">
        <v>0</v>
      </c>
      <c r="B26" s="1" t="s">
        <v>1</v>
      </c>
      <c r="C26" s="1" t="s">
        <v>17</v>
      </c>
      <c r="D26" s="1" t="s">
        <v>2</v>
      </c>
      <c r="G26" s="7"/>
    </row>
    <row r="27" spans="1:7" x14ac:dyDescent="0.3">
      <c r="A27" t="s">
        <v>42</v>
      </c>
      <c r="B27" s="3">
        <v>0.25</v>
      </c>
      <c r="C27">
        <v>4</v>
      </c>
      <c r="D27">
        <f>C27*B27</f>
        <v>1</v>
      </c>
      <c r="G27" s="7"/>
    </row>
    <row r="28" spans="1:7" x14ac:dyDescent="0.3">
      <c r="A28" t="s">
        <v>41</v>
      </c>
      <c r="B28" s="3">
        <v>0.1</v>
      </c>
      <c r="C28">
        <v>5</v>
      </c>
      <c r="D28">
        <f t="shared" ref="D28:D33" si="2">C28*B28</f>
        <v>0.5</v>
      </c>
      <c r="G28" s="7"/>
    </row>
    <row r="29" spans="1:7" x14ac:dyDescent="0.3">
      <c r="A29" t="s">
        <v>40</v>
      </c>
      <c r="B29" s="3">
        <v>0.1</v>
      </c>
      <c r="C29">
        <v>3</v>
      </c>
      <c r="D29">
        <f t="shared" si="2"/>
        <v>0.30000000000000004</v>
      </c>
      <c r="G29" s="7"/>
    </row>
    <row r="30" spans="1:7" x14ac:dyDescent="0.3">
      <c r="A30" t="s">
        <v>39</v>
      </c>
      <c r="B30" s="3">
        <v>0.1</v>
      </c>
      <c r="C30">
        <v>3</v>
      </c>
      <c r="D30">
        <f t="shared" si="2"/>
        <v>0.30000000000000004</v>
      </c>
      <c r="G30" s="7"/>
    </row>
    <row r="31" spans="1:7" x14ac:dyDescent="0.3">
      <c r="A31" t="s">
        <v>38</v>
      </c>
      <c r="B31" s="3">
        <v>0.1</v>
      </c>
      <c r="C31">
        <v>4</v>
      </c>
      <c r="D31">
        <f t="shared" si="2"/>
        <v>0.4</v>
      </c>
      <c r="G31" s="7"/>
    </row>
    <row r="32" spans="1:7" x14ac:dyDescent="0.3">
      <c r="A32" t="s">
        <v>37</v>
      </c>
      <c r="B32" s="3">
        <v>0.25</v>
      </c>
      <c r="C32">
        <v>4</v>
      </c>
      <c r="D32">
        <f t="shared" si="2"/>
        <v>1</v>
      </c>
      <c r="G32" s="7"/>
    </row>
    <row r="33" spans="1:7" x14ac:dyDescent="0.3">
      <c r="A33" t="s">
        <v>36</v>
      </c>
      <c r="B33" s="3">
        <v>0.1</v>
      </c>
      <c r="C33">
        <v>4</v>
      </c>
      <c r="D33">
        <f t="shared" si="2"/>
        <v>0.4</v>
      </c>
      <c r="G33" s="7"/>
    </row>
    <row r="34" spans="1:7" ht="15" thickBot="1" x14ac:dyDescent="0.35">
      <c r="B34" s="4">
        <f>SUM(B27:B33)</f>
        <v>0.99999999999999989</v>
      </c>
      <c r="D34" s="6">
        <f>SUM(D27:D33)</f>
        <v>3.9</v>
      </c>
      <c r="G34" s="7"/>
    </row>
    <row r="35" spans="1:7" ht="15" thickTop="1" x14ac:dyDescent="0.3">
      <c r="G35" s="7"/>
    </row>
    <row r="36" spans="1:7" x14ac:dyDescent="0.3">
      <c r="A36" t="s">
        <v>10</v>
      </c>
      <c r="G36" s="7"/>
    </row>
    <row r="37" spans="1:7" x14ac:dyDescent="0.3">
      <c r="A37" s="1" t="s">
        <v>0</v>
      </c>
      <c r="B37" s="1" t="s">
        <v>1</v>
      </c>
      <c r="C37" s="1" t="s">
        <v>17</v>
      </c>
      <c r="D37" s="1" t="s">
        <v>2</v>
      </c>
      <c r="G37" s="7"/>
    </row>
    <row r="38" spans="1:7" x14ac:dyDescent="0.3">
      <c r="A38" t="s">
        <v>42</v>
      </c>
      <c r="B38" s="3">
        <v>0.25</v>
      </c>
      <c r="C38">
        <v>4</v>
      </c>
      <c r="D38">
        <f>C38*B38</f>
        <v>1</v>
      </c>
      <c r="G38" s="7"/>
    </row>
    <row r="39" spans="1:7" x14ac:dyDescent="0.3">
      <c r="A39" t="s">
        <v>41</v>
      </c>
      <c r="B39" s="3">
        <v>0.1</v>
      </c>
      <c r="C39">
        <v>5</v>
      </c>
      <c r="D39">
        <f t="shared" ref="D39:D44" si="3">C39*B39</f>
        <v>0.5</v>
      </c>
      <c r="G39" s="7"/>
    </row>
    <row r="40" spans="1:7" x14ac:dyDescent="0.3">
      <c r="A40" t="s">
        <v>40</v>
      </c>
      <c r="B40" s="3">
        <v>0.1</v>
      </c>
      <c r="C40">
        <v>3</v>
      </c>
      <c r="D40">
        <f t="shared" si="3"/>
        <v>0.30000000000000004</v>
      </c>
      <c r="G40" s="7"/>
    </row>
    <row r="41" spans="1:7" x14ac:dyDescent="0.3">
      <c r="A41" t="s">
        <v>39</v>
      </c>
      <c r="B41" s="3">
        <v>0.1</v>
      </c>
      <c r="C41">
        <v>4</v>
      </c>
      <c r="D41">
        <f t="shared" si="3"/>
        <v>0.4</v>
      </c>
      <c r="G41" s="7"/>
    </row>
    <row r="42" spans="1:7" x14ac:dyDescent="0.3">
      <c r="A42" t="s">
        <v>38</v>
      </c>
      <c r="B42" s="3">
        <v>0.1</v>
      </c>
      <c r="C42">
        <v>3</v>
      </c>
      <c r="D42">
        <f t="shared" si="3"/>
        <v>0.30000000000000004</v>
      </c>
      <c r="G42" s="7"/>
    </row>
    <row r="43" spans="1:7" x14ac:dyDescent="0.3">
      <c r="A43" t="s">
        <v>37</v>
      </c>
      <c r="B43" s="3">
        <v>0.25</v>
      </c>
      <c r="C43">
        <v>4</v>
      </c>
      <c r="D43">
        <f t="shared" si="3"/>
        <v>1</v>
      </c>
      <c r="G43" s="7"/>
    </row>
    <row r="44" spans="1:7" x14ac:dyDescent="0.3">
      <c r="A44" t="s">
        <v>36</v>
      </c>
      <c r="B44" s="3">
        <v>0.1</v>
      </c>
      <c r="C44">
        <v>5</v>
      </c>
      <c r="D44">
        <f t="shared" si="3"/>
        <v>0.5</v>
      </c>
      <c r="G44" s="7"/>
    </row>
    <row r="45" spans="1:7" ht="15" thickBot="1" x14ac:dyDescent="0.35">
      <c r="B45" s="4">
        <f>SUM(B38:B44)</f>
        <v>0.99999999999999989</v>
      </c>
      <c r="D45" s="6">
        <f>SUM(D38:D44)</f>
        <v>4</v>
      </c>
      <c r="G45" s="7"/>
    </row>
    <row r="46" spans="1:7" ht="15" thickTop="1" x14ac:dyDescent="0.3">
      <c r="A46" s="9"/>
      <c r="B46" s="9"/>
      <c r="C46" s="9"/>
      <c r="D46" s="9"/>
      <c r="G46" s="7"/>
    </row>
    <row r="47" spans="1:7" x14ac:dyDescent="0.3">
      <c r="A47" t="s">
        <v>11</v>
      </c>
      <c r="G47" s="7"/>
    </row>
    <row r="48" spans="1:7" x14ac:dyDescent="0.3">
      <c r="A48" s="1" t="s">
        <v>0</v>
      </c>
      <c r="B48" s="1" t="s">
        <v>1</v>
      </c>
      <c r="C48" s="1" t="s">
        <v>17</v>
      </c>
      <c r="D48" s="1" t="s">
        <v>2</v>
      </c>
      <c r="G48" s="7"/>
    </row>
    <row r="49" spans="1:7" x14ac:dyDescent="0.3">
      <c r="A49" t="s">
        <v>42</v>
      </c>
      <c r="B49" s="3">
        <v>0.25</v>
      </c>
      <c r="C49">
        <v>4</v>
      </c>
      <c r="D49">
        <f t="shared" ref="D49:D55" si="4">C49*B49</f>
        <v>1</v>
      </c>
      <c r="G49" s="7"/>
    </row>
    <row r="50" spans="1:7" x14ac:dyDescent="0.3">
      <c r="A50" t="s">
        <v>41</v>
      </c>
      <c r="B50" s="3">
        <v>0.1</v>
      </c>
      <c r="C50">
        <v>5</v>
      </c>
      <c r="D50">
        <f t="shared" si="4"/>
        <v>0.5</v>
      </c>
      <c r="G50" s="7"/>
    </row>
    <row r="51" spans="1:7" x14ac:dyDescent="0.3">
      <c r="A51" t="s">
        <v>40</v>
      </c>
      <c r="B51" s="3">
        <v>0.1</v>
      </c>
      <c r="C51">
        <v>3</v>
      </c>
      <c r="D51">
        <f t="shared" si="4"/>
        <v>0.30000000000000004</v>
      </c>
      <c r="G51" s="7"/>
    </row>
    <row r="52" spans="1:7" x14ac:dyDescent="0.3">
      <c r="A52" t="s">
        <v>39</v>
      </c>
      <c r="B52" s="3">
        <v>0.1</v>
      </c>
      <c r="C52">
        <v>4</v>
      </c>
      <c r="D52">
        <f t="shared" si="4"/>
        <v>0.4</v>
      </c>
      <c r="G52" s="7"/>
    </row>
    <row r="53" spans="1:7" x14ac:dyDescent="0.3">
      <c r="A53" t="s">
        <v>38</v>
      </c>
      <c r="B53" s="3">
        <v>0.1</v>
      </c>
      <c r="C53">
        <v>4</v>
      </c>
      <c r="D53">
        <f t="shared" si="4"/>
        <v>0.4</v>
      </c>
      <c r="G53" s="7"/>
    </row>
    <row r="54" spans="1:7" x14ac:dyDescent="0.3">
      <c r="A54" t="s">
        <v>37</v>
      </c>
      <c r="B54" s="3">
        <v>0.25</v>
      </c>
      <c r="C54">
        <v>4</v>
      </c>
      <c r="D54">
        <f t="shared" si="4"/>
        <v>1</v>
      </c>
      <c r="G54" s="7"/>
    </row>
    <row r="55" spans="1:7" x14ac:dyDescent="0.3">
      <c r="A55" t="s">
        <v>36</v>
      </c>
      <c r="B55" s="3">
        <v>0.1</v>
      </c>
      <c r="C55">
        <v>5</v>
      </c>
      <c r="D55">
        <f t="shared" si="4"/>
        <v>0.5</v>
      </c>
      <c r="G55" s="7"/>
    </row>
    <row r="56" spans="1:7" ht="15" thickBot="1" x14ac:dyDescent="0.35">
      <c r="B56" s="4">
        <f>SUM(B49:B55)</f>
        <v>0.99999999999999989</v>
      </c>
      <c r="D56" s="6">
        <f>SUM(D49:D55)</f>
        <v>4.0999999999999996</v>
      </c>
      <c r="G56" s="7"/>
    </row>
    <row r="57" spans="1:7" ht="15" thickTop="1" x14ac:dyDescent="0.3">
      <c r="A57" s="9"/>
      <c r="B57" s="9"/>
      <c r="C57" s="9"/>
      <c r="D57" s="9"/>
      <c r="G57" s="7"/>
    </row>
    <row r="58" spans="1:7" x14ac:dyDescent="0.3">
      <c r="A58" t="s">
        <v>12</v>
      </c>
      <c r="G58" s="7"/>
    </row>
    <row r="59" spans="1:7" x14ac:dyDescent="0.3">
      <c r="A59" s="1" t="s">
        <v>0</v>
      </c>
      <c r="B59" s="1" t="s">
        <v>1</v>
      </c>
      <c r="C59" s="1" t="s">
        <v>17</v>
      </c>
      <c r="D59" s="1" t="s">
        <v>2</v>
      </c>
      <c r="G59" s="7"/>
    </row>
    <row r="60" spans="1:7" x14ac:dyDescent="0.3">
      <c r="A60" t="s">
        <v>42</v>
      </c>
      <c r="B60" s="3">
        <v>0.25</v>
      </c>
      <c r="C60">
        <v>4</v>
      </c>
      <c r="D60">
        <f t="shared" ref="D60:D66" si="5">C60*B60</f>
        <v>1</v>
      </c>
      <c r="G60" s="7"/>
    </row>
    <row r="61" spans="1:7" x14ac:dyDescent="0.3">
      <c r="A61" t="s">
        <v>41</v>
      </c>
      <c r="B61" s="3">
        <v>0.1</v>
      </c>
      <c r="C61">
        <v>5</v>
      </c>
      <c r="D61">
        <f t="shared" si="5"/>
        <v>0.5</v>
      </c>
      <c r="G61" s="7"/>
    </row>
    <row r="62" spans="1:7" x14ac:dyDescent="0.3">
      <c r="A62" t="s">
        <v>40</v>
      </c>
      <c r="B62" s="3">
        <v>0.1</v>
      </c>
      <c r="C62">
        <v>4</v>
      </c>
      <c r="D62">
        <f t="shared" si="5"/>
        <v>0.4</v>
      </c>
      <c r="G62" s="7"/>
    </row>
    <row r="63" spans="1:7" x14ac:dyDescent="0.3">
      <c r="A63" t="s">
        <v>39</v>
      </c>
      <c r="B63" s="3">
        <v>0.1</v>
      </c>
      <c r="C63">
        <v>4</v>
      </c>
      <c r="D63">
        <f t="shared" si="5"/>
        <v>0.4</v>
      </c>
      <c r="G63" s="7"/>
    </row>
    <row r="64" spans="1:7" x14ac:dyDescent="0.3">
      <c r="A64" t="s">
        <v>38</v>
      </c>
      <c r="B64" s="3">
        <v>0.1</v>
      </c>
      <c r="C64">
        <v>4</v>
      </c>
      <c r="D64">
        <f t="shared" si="5"/>
        <v>0.4</v>
      </c>
      <c r="G64" s="7"/>
    </row>
    <row r="65" spans="1:7" x14ac:dyDescent="0.3">
      <c r="A65" t="s">
        <v>37</v>
      </c>
      <c r="B65" s="3">
        <v>0.25</v>
      </c>
      <c r="C65">
        <v>4</v>
      </c>
      <c r="D65">
        <f t="shared" si="5"/>
        <v>1</v>
      </c>
      <c r="G65" s="7"/>
    </row>
    <row r="66" spans="1:7" x14ac:dyDescent="0.3">
      <c r="A66" t="s">
        <v>36</v>
      </c>
      <c r="B66" s="3">
        <v>0.1</v>
      </c>
      <c r="C66">
        <v>5</v>
      </c>
      <c r="D66">
        <f t="shared" si="5"/>
        <v>0.5</v>
      </c>
      <c r="G66" s="7"/>
    </row>
    <row r="67" spans="1:7" ht="15" thickBot="1" x14ac:dyDescent="0.35">
      <c r="B67" s="4">
        <f>SUM(B60:B66)</f>
        <v>0.99999999999999989</v>
      </c>
      <c r="D67" s="6">
        <f>SUM(D60:D66)</f>
        <v>4.1999999999999993</v>
      </c>
      <c r="G67" s="7"/>
    </row>
    <row r="68" spans="1:7" ht="15" thickTop="1" x14ac:dyDescent="0.3">
      <c r="A68" s="9"/>
      <c r="B68" s="9"/>
      <c r="C68" s="9"/>
      <c r="D68" s="9"/>
      <c r="G68" s="7"/>
    </row>
    <row r="69" spans="1:7" x14ac:dyDescent="0.3">
      <c r="A69" t="s">
        <v>13</v>
      </c>
      <c r="G69" s="7"/>
    </row>
    <row r="70" spans="1:7" x14ac:dyDescent="0.3">
      <c r="A70" s="1" t="s">
        <v>0</v>
      </c>
      <c r="B70" s="1" t="s">
        <v>1</v>
      </c>
      <c r="C70" s="1" t="s">
        <v>17</v>
      </c>
      <c r="D70" s="1" t="s">
        <v>2</v>
      </c>
      <c r="G70" s="7"/>
    </row>
    <row r="71" spans="1:7" x14ac:dyDescent="0.3">
      <c r="A71" t="s">
        <v>42</v>
      </c>
      <c r="B71" s="3">
        <v>0.25</v>
      </c>
      <c r="C71">
        <v>3</v>
      </c>
      <c r="D71">
        <f>C71*B71</f>
        <v>0.75</v>
      </c>
      <c r="G71" s="7"/>
    </row>
    <row r="72" spans="1:7" x14ac:dyDescent="0.3">
      <c r="A72" t="s">
        <v>41</v>
      </c>
      <c r="B72" s="3">
        <v>0.1</v>
      </c>
      <c r="C72">
        <v>5</v>
      </c>
      <c r="D72">
        <f t="shared" ref="D72:D77" si="6">C72*B72</f>
        <v>0.5</v>
      </c>
      <c r="G72" s="7"/>
    </row>
    <row r="73" spans="1:7" x14ac:dyDescent="0.3">
      <c r="A73" t="s">
        <v>40</v>
      </c>
      <c r="B73" s="3">
        <v>0.1</v>
      </c>
      <c r="C73">
        <v>3</v>
      </c>
      <c r="D73">
        <f t="shared" si="6"/>
        <v>0.30000000000000004</v>
      </c>
      <c r="G73" s="7"/>
    </row>
    <row r="74" spans="1:7" x14ac:dyDescent="0.3">
      <c r="A74" t="s">
        <v>39</v>
      </c>
      <c r="B74" s="3">
        <v>0.1</v>
      </c>
      <c r="C74">
        <v>4</v>
      </c>
      <c r="D74">
        <f t="shared" si="6"/>
        <v>0.4</v>
      </c>
      <c r="G74" s="7"/>
    </row>
    <row r="75" spans="1:7" x14ac:dyDescent="0.3">
      <c r="A75" t="s">
        <v>38</v>
      </c>
      <c r="B75" s="3">
        <v>0.1</v>
      </c>
      <c r="C75">
        <v>3</v>
      </c>
      <c r="D75">
        <f t="shared" si="6"/>
        <v>0.30000000000000004</v>
      </c>
      <c r="G75" s="7"/>
    </row>
    <row r="76" spans="1:7" x14ac:dyDescent="0.3">
      <c r="A76" t="s">
        <v>37</v>
      </c>
      <c r="B76" s="3">
        <v>0.25</v>
      </c>
      <c r="C76">
        <v>4</v>
      </c>
      <c r="D76">
        <f t="shared" si="6"/>
        <v>1</v>
      </c>
      <c r="G76" s="7"/>
    </row>
    <row r="77" spans="1:7" x14ac:dyDescent="0.3">
      <c r="A77" t="s">
        <v>36</v>
      </c>
      <c r="B77" s="3">
        <v>0.1</v>
      </c>
      <c r="C77">
        <v>4</v>
      </c>
      <c r="D77">
        <f t="shared" si="6"/>
        <v>0.4</v>
      </c>
      <c r="G77" s="7"/>
    </row>
    <row r="78" spans="1:7" ht="15" thickBot="1" x14ac:dyDescent="0.35">
      <c r="B78" s="4">
        <f>SUM(B71:B77)</f>
        <v>0.99999999999999989</v>
      </c>
      <c r="D78" s="6">
        <f>SUM(D71:D77)</f>
        <v>3.65</v>
      </c>
      <c r="G78" s="7"/>
    </row>
    <row r="79" spans="1:7" ht="15" thickTop="1" x14ac:dyDescent="0.3">
      <c r="G79" s="7"/>
    </row>
    <row r="80" spans="1:7" x14ac:dyDescent="0.3">
      <c r="A80" t="s">
        <v>14</v>
      </c>
      <c r="G80" s="7"/>
    </row>
    <row r="81" spans="1:7" x14ac:dyDescent="0.3">
      <c r="A81" s="1" t="s">
        <v>0</v>
      </c>
      <c r="B81" s="1" t="s">
        <v>1</v>
      </c>
      <c r="C81" s="1" t="s">
        <v>17</v>
      </c>
      <c r="D81" s="1" t="s">
        <v>2</v>
      </c>
      <c r="G81" s="7"/>
    </row>
    <row r="82" spans="1:7" x14ac:dyDescent="0.3">
      <c r="A82" t="s">
        <v>42</v>
      </c>
      <c r="B82" s="3">
        <v>0.25</v>
      </c>
      <c r="C82">
        <v>4</v>
      </c>
      <c r="D82">
        <f>C82*B82</f>
        <v>1</v>
      </c>
      <c r="G82" s="7"/>
    </row>
    <row r="83" spans="1:7" x14ac:dyDescent="0.3">
      <c r="A83" t="s">
        <v>41</v>
      </c>
      <c r="B83" s="3">
        <v>0.1</v>
      </c>
      <c r="C83">
        <v>5</v>
      </c>
      <c r="D83">
        <f t="shared" ref="D83:D88" si="7">C83*B83</f>
        <v>0.5</v>
      </c>
    </row>
    <row r="84" spans="1:7" x14ac:dyDescent="0.3">
      <c r="A84" t="s">
        <v>40</v>
      </c>
      <c r="B84" s="3">
        <v>0.1</v>
      </c>
      <c r="C84">
        <v>4</v>
      </c>
      <c r="D84">
        <f t="shared" si="7"/>
        <v>0.4</v>
      </c>
      <c r="G84" s="7"/>
    </row>
    <row r="85" spans="1:7" x14ac:dyDescent="0.3">
      <c r="A85" t="s">
        <v>39</v>
      </c>
      <c r="B85" s="3">
        <v>0.1</v>
      </c>
      <c r="C85">
        <v>5</v>
      </c>
      <c r="D85">
        <f t="shared" si="7"/>
        <v>0.5</v>
      </c>
    </row>
    <row r="86" spans="1:7" x14ac:dyDescent="0.3">
      <c r="A86" t="s">
        <v>38</v>
      </c>
      <c r="B86" s="3">
        <v>0.1</v>
      </c>
      <c r="C86">
        <v>4</v>
      </c>
      <c r="D86">
        <f t="shared" si="7"/>
        <v>0.4</v>
      </c>
      <c r="G86" s="7"/>
    </row>
    <row r="87" spans="1:7" x14ac:dyDescent="0.3">
      <c r="A87" t="s">
        <v>37</v>
      </c>
      <c r="B87" s="3">
        <v>0.25</v>
      </c>
      <c r="C87">
        <v>4</v>
      </c>
      <c r="D87">
        <f t="shared" si="7"/>
        <v>1</v>
      </c>
      <c r="G87" s="8"/>
    </row>
    <row r="88" spans="1:7" x14ac:dyDescent="0.3">
      <c r="A88" t="s">
        <v>36</v>
      </c>
      <c r="B88" s="3">
        <v>0.1</v>
      </c>
      <c r="C88">
        <v>5</v>
      </c>
      <c r="D88">
        <f t="shared" si="7"/>
        <v>0.5</v>
      </c>
      <c r="G88" s="8"/>
    </row>
    <row r="89" spans="1:7" ht="15" thickBot="1" x14ac:dyDescent="0.35">
      <c r="B89" s="4">
        <f>SUM(B82:B88)</f>
        <v>0.99999999999999989</v>
      </c>
      <c r="D89" s="6">
        <f>SUM(D82:D88)</f>
        <v>4.3</v>
      </c>
    </row>
    <row r="90" spans="1:7" ht="15" thickTop="1" x14ac:dyDescent="0.3">
      <c r="G90" s="7"/>
    </row>
    <row r="91" spans="1:7" x14ac:dyDescent="0.3">
      <c r="A91" t="s">
        <v>15</v>
      </c>
      <c r="G91" s="8"/>
    </row>
    <row r="92" spans="1:7" x14ac:dyDescent="0.3">
      <c r="A92" s="1" t="s">
        <v>0</v>
      </c>
      <c r="B92" s="1" t="s">
        <v>1</v>
      </c>
      <c r="C92" s="1" t="s">
        <v>17</v>
      </c>
      <c r="D92" s="1" t="s">
        <v>2</v>
      </c>
      <c r="G92" s="8"/>
    </row>
    <row r="93" spans="1:7" x14ac:dyDescent="0.3">
      <c r="A93" t="s">
        <v>42</v>
      </c>
      <c r="B93" s="3">
        <v>0.25</v>
      </c>
      <c r="C93">
        <v>3</v>
      </c>
      <c r="D93">
        <f>C93*B93</f>
        <v>0.75</v>
      </c>
      <c r="G93" s="8"/>
    </row>
    <row r="94" spans="1:7" x14ac:dyDescent="0.3">
      <c r="A94" t="s">
        <v>41</v>
      </c>
      <c r="B94" s="3">
        <v>0.1</v>
      </c>
      <c r="C94">
        <v>5</v>
      </c>
      <c r="D94">
        <f t="shared" ref="D94:D99" si="8">C94*B94</f>
        <v>0.5</v>
      </c>
      <c r="G94" s="8"/>
    </row>
    <row r="95" spans="1:7" x14ac:dyDescent="0.3">
      <c r="A95" t="s">
        <v>40</v>
      </c>
      <c r="B95" s="3">
        <v>0.1</v>
      </c>
      <c r="C95">
        <v>3</v>
      </c>
      <c r="D95">
        <f t="shared" si="8"/>
        <v>0.30000000000000004</v>
      </c>
      <c r="G95" s="8"/>
    </row>
    <row r="96" spans="1:7" x14ac:dyDescent="0.3">
      <c r="A96" t="s">
        <v>39</v>
      </c>
      <c r="B96" s="3">
        <v>0.1</v>
      </c>
      <c r="C96">
        <v>3</v>
      </c>
      <c r="D96">
        <f t="shared" si="8"/>
        <v>0.30000000000000004</v>
      </c>
      <c r="G96" s="8"/>
    </row>
    <row r="97" spans="1:7" x14ac:dyDescent="0.3">
      <c r="A97" t="s">
        <v>38</v>
      </c>
      <c r="B97" s="3">
        <v>0.1</v>
      </c>
      <c r="C97">
        <v>3</v>
      </c>
      <c r="D97">
        <f t="shared" si="8"/>
        <v>0.30000000000000004</v>
      </c>
      <c r="G97" s="8"/>
    </row>
    <row r="98" spans="1:7" x14ac:dyDescent="0.3">
      <c r="A98" t="s">
        <v>37</v>
      </c>
      <c r="B98" s="3">
        <v>0.25</v>
      </c>
      <c r="C98">
        <v>4</v>
      </c>
      <c r="D98">
        <f t="shared" si="8"/>
        <v>1</v>
      </c>
      <c r="G98" s="8"/>
    </row>
    <row r="99" spans="1:7" x14ac:dyDescent="0.3">
      <c r="A99" t="s">
        <v>36</v>
      </c>
      <c r="B99" s="3">
        <v>0.1</v>
      </c>
      <c r="C99">
        <v>4</v>
      </c>
      <c r="D99">
        <f t="shared" si="8"/>
        <v>0.4</v>
      </c>
      <c r="G99" s="8"/>
    </row>
    <row r="100" spans="1:7" ht="15" thickBot="1" x14ac:dyDescent="0.35">
      <c r="B100" s="4">
        <f>SUM(B93:B99)</f>
        <v>0.99999999999999989</v>
      </c>
      <c r="D100" s="6">
        <f>SUM(D93:D99)</f>
        <v>3.5500000000000003</v>
      </c>
      <c r="G100" s="7"/>
    </row>
    <row r="101" spans="1:7" ht="15" thickTop="1" x14ac:dyDescent="0.3"/>
    <row r="102" spans="1:7" x14ac:dyDescent="0.3">
      <c r="G102" s="7"/>
    </row>
    <row r="103" spans="1:7" x14ac:dyDescent="0.3">
      <c r="G103" s="8"/>
    </row>
    <row r="104" spans="1:7" x14ac:dyDescent="0.3">
      <c r="G104" s="8"/>
    </row>
    <row r="105" spans="1:7" x14ac:dyDescent="0.3">
      <c r="G105" s="8"/>
    </row>
    <row r="107" spans="1:7" x14ac:dyDescent="0.3">
      <c r="G107" s="7"/>
    </row>
    <row r="109" spans="1:7" x14ac:dyDescent="0.3">
      <c r="G109" s="7"/>
    </row>
    <row r="110" spans="1:7" x14ac:dyDescent="0.3">
      <c r="G110" s="8"/>
    </row>
    <row r="111" spans="1:7" x14ac:dyDescent="0.3">
      <c r="G111" s="8"/>
    </row>
    <row r="112" spans="1:7" x14ac:dyDescent="0.3">
      <c r="G112" s="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89FE8-4657-4B78-AEB1-764119994021}">
  <dimension ref="A1:G112"/>
  <sheetViews>
    <sheetView topLeftCell="A79" zoomScale="80" zoomScaleNormal="80" workbookViewId="0">
      <selection activeCell="C53" sqref="C53"/>
    </sheetView>
  </sheetViews>
  <sheetFormatPr defaultRowHeight="14.4" x14ac:dyDescent="0.3"/>
  <cols>
    <col min="1" max="1" width="122.77734375" bestFit="1" customWidth="1"/>
    <col min="2" max="2" width="6.77734375" bestFit="1" customWidth="1"/>
    <col min="3" max="3" width="10.21875" bestFit="1" customWidth="1"/>
    <col min="4" max="4" width="13.88671875" bestFit="1" customWidth="1"/>
    <col min="6" max="6" width="15.33203125" bestFit="1" customWidth="1"/>
  </cols>
  <sheetData>
    <row r="1" spans="1:7" x14ac:dyDescent="0.3">
      <c r="A1" s="2" t="s">
        <v>3</v>
      </c>
      <c r="B1" s="5">
        <v>5</v>
      </c>
    </row>
    <row r="2" spans="1:7" x14ac:dyDescent="0.3">
      <c r="F2" s="10" t="s">
        <v>35</v>
      </c>
      <c r="G2" s="7"/>
    </row>
    <row r="3" spans="1:7" x14ac:dyDescent="0.3">
      <c r="A3" t="s">
        <v>7</v>
      </c>
      <c r="F3">
        <f>D12</f>
        <v>4.0999999999999996</v>
      </c>
      <c r="G3" s="7"/>
    </row>
    <row r="4" spans="1:7" x14ac:dyDescent="0.3">
      <c r="A4" s="1" t="s">
        <v>0</v>
      </c>
      <c r="B4" s="1" t="s">
        <v>1</v>
      </c>
      <c r="C4" s="1" t="s">
        <v>17</v>
      </c>
      <c r="D4" s="1" t="s">
        <v>2</v>
      </c>
      <c r="F4">
        <f>D23</f>
        <v>4.0999999999999996</v>
      </c>
      <c r="G4" s="7"/>
    </row>
    <row r="5" spans="1:7" x14ac:dyDescent="0.3">
      <c r="A5" t="s">
        <v>42</v>
      </c>
      <c r="B5" s="3">
        <v>0.25</v>
      </c>
      <c r="C5">
        <v>4</v>
      </c>
      <c r="D5">
        <f>C5*B5</f>
        <v>1</v>
      </c>
      <c r="F5">
        <f>D34</f>
        <v>4.1999999999999993</v>
      </c>
      <c r="G5" s="7"/>
    </row>
    <row r="6" spans="1:7" x14ac:dyDescent="0.3">
      <c r="A6" t="s">
        <v>41</v>
      </c>
      <c r="B6" s="3">
        <v>0.1</v>
      </c>
      <c r="C6">
        <v>5</v>
      </c>
      <c r="D6">
        <f t="shared" ref="D6:D11" si="0">C6*B6</f>
        <v>0.5</v>
      </c>
      <c r="F6">
        <f>D45</f>
        <v>4.0999999999999996</v>
      </c>
      <c r="G6" s="7"/>
    </row>
    <row r="7" spans="1:7" x14ac:dyDescent="0.3">
      <c r="A7" t="s">
        <v>40</v>
      </c>
      <c r="B7" s="3">
        <v>0.1</v>
      </c>
      <c r="C7">
        <v>4</v>
      </c>
      <c r="D7">
        <f t="shared" si="0"/>
        <v>0.4</v>
      </c>
      <c r="F7">
        <f>D56</f>
        <v>3.9</v>
      </c>
      <c r="G7" s="7"/>
    </row>
    <row r="8" spans="1:7" x14ac:dyDescent="0.3">
      <c r="A8" t="s">
        <v>39</v>
      </c>
      <c r="B8" s="3">
        <v>0.1</v>
      </c>
      <c r="C8">
        <v>4</v>
      </c>
      <c r="D8">
        <f t="shared" si="0"/>
        <v>0.4</v>
      </c>
      <c r="F8">
        <f>D67</f>
        <v>4.6999999999999993</v>
      </c>
      <c r="G8" s="7"/>
    </row>
    <row r="9" spans="1:7" x14ac:dyDescent="0.3">
      <c r="A9" t="s">
        <v>38</v>
      </c>
      <c r="B9" s="3">
        <v>0.1</v>
      </c>
      <c r="C9">
        <v>3</v>
      </c>
      <c r="D9">
        <f t="shared" si="0"/>
        <v>0.30000000000000004</v>
      </c>
      <c r="F9">
        <f>D78</f>
        <v>4.5500000000000007</v>
      </c>
      <c r="G9" s="7"/>
    </row>
    <row r="10" spans="1:7" x14ac:dyDescent="0.3">
      <c r="A10" t="s">
        <v>37</v>
      </c>
      <c r="B10" s="3">
        <v>0.25</v>
      </c>
      <c r="C10">
        <v>4</v>
      </c>
      <c r="D10">
        <f t="shared" si="0"/>
        <v>1</v>
      </c>
      <c r="F10">
        <f>D89</f>
        <v>3.8499999999999996</v>
      </c>
      <c r="G10" s="7"/>
    </row>
    <row r="11" spans="1:7" x14ac:dyDescent="0.3">
      <c r="A11" t="s">
        <v>36</v>
      </c>
      <c r="B11" s="3">
        <v>0.1</v>
      </c>
      <c r="C11">
        <v>5</v>
      </c>
      <c r="D11">
        <f t="shared" si="0"/>
        <v>0.5</v>
      </c>
      <c r="F11">
        <f>D100</f>
        <v>4.4000000000000004</v>
      </c>
      <c r="G11" s="7"/>
    </row>
    <row r="12" spans="1:7" ht="15" thickBot="1" x14ac:dyDescent="0.35">
      <c r="B12" s="4">
        <f>SUM(B5:B11)</f>
        <v>0.99999999999999989</v>
      </c>
      <c r="D12" s="6">
        <f>SUM(D5:D11)</f>
        <v>4.0999999999999996</v>
      </c>
      <c r="G12" s="7"/>
    </row>
    <row r="13" spans="1:7" ht="15" thickTop="1" x14ac:dyDescent="0.3">
      <c r="G13" s="7"/>
    </row>
    <row r="14" spans="1:7" x14ac:dyDescent="0.3">
      <c r="A14" t="s">
        <v>8</v>
      </c>
      <c r="G14" s="7"/>
    </row>
    <row r="15" spans="1:7" x14ac:dyDescent="0.3">
      <c r="A15" s="1" t="s">
        <v>0</v>
      </c>
      <c r="B15" s="1" t="s">
        <v>1</v>
      </c>
      <c r="C15" s="1" t="s">
        <v>17</v>
      </c>
      <c r="D15" s="1" t="s">
        <v>2</v>
      </c>
      <c r="G15" s="7"/>
    </row>
    <row r="16" spans="1:7" x14ac:dyDescent="0.3">
      <c r="A16" t="s">
        <v>42</v>
      </c>
      <c r="B16" s="3">
        <v>0.25</v>
      </c>
      <c r="C16">
        <v>4</v>
      </c>
      <c r="D16">
        <f>C16*B16</f>
        <v>1</v>
      </c>
      <c r="G16" s="7"/>
    </row>
    <row r="17" spans="1:7" x14ac:dyDescent="0.3">
      <c r="A17" t="s">
        <v>41</v>
      </c>
      <c r="B17" s="3">
        <v>0.1</v>
      </c>
      <c r="C17">
        <v>5</v>
      </c>
      <c r="D17">
        <f t="shared" ref="D17:D22" si="1">C17*B17</f>
        <v>0.5</v>
      </c>
      <c r="G17" s="7"/>
    </row>
    <row r="18" spans="1:7" x14ac:dyDescent="0.3">
      <c r="A18" t="s">
        <v>40</v>
      </c>
      <c r="B18" s="3">
        <v>0.1</v>
      </c>
      <c r="C18">
        <v>4</v>
      </c>
      <c r="D18">
        <f t="shared" si="1"/>
        <v>0.4</v>
      </c>
      <c r="G18" s="7"/>
    </row>
    <row r="19" spans="1:7" x14ac:dyDescent="0.3">
      <c r="A19" t="s">
        <v>39</v>
      </c>
      <c r="B19" s="3">
        <v>0.1</v>
      </c>
      <c r="C19">
        <v>4</v>
      </c>
      <c r="D19">
        <f t="shared" si="1"/>
        <v>0.4</v>
      </c>
      <c r="G19" s="7"/>
    </row>
    <row r="20" spans="1:7" x14ac:dyDescent="0.3">
      <c r="A20" t="s">
        <v>38</v>
      </c>
      <c r="B20" s="3">
        <v>0.1</v>
      </c>
      <c r="C20">
        <v>3</v>
      </c>
      <c r="D20">
        <f t="shared" si="1"/>
        <v>0.30000000000000004</v>
      </c>
      <c r="G20" s="7"/>
    </row>
    <row r="21" spans="1:7" x14ac:dyDescent="0.3">
      <c r="A21" t="s">
        <v>37</v>
      </c>
      <c r="B21" s="3">
        <v>0.25</v>
      </c>
      <c r="C21">
        <v>4</v>
      </c>
      <c r="D21">
        <f t="shared" si="1"/>
        <v>1</v>
      </c>
      <c r="G21" s="7"/>
    </row>
    <row r="22" spans="1:7" x14ac:dyDescent="0.3">
      <c r="A22" t="s">
        <v>36</v>
      </c>
      <c r="B22" s="3">
        <v>0.1</v>
      </c>
      <c r="C22">
        <v>5</v>
      </c>
      <c r="D22">
        <f t="shared" si="1"/>
        <v>0.5</v>
      </c>
      <c r="G22" s="7"/>
    </row>
    <row r="23" spans="1:7" ht="15" thickBot="1" x14ac:dyDescent="0.35">
      <c r="B23" s="4">
        <f>SUM(B16:B22)</f>
        <v>0.99999999999999989</v>
      </c>
      <c r="D23" s="6">
        <f>SUM(D16:D22)</f>
        <v>4.0999999999999996</v>
      </c>
      <c r="G23" s="7"/>
    </row>
    <row r="24" spans="1:7" ht="15" thickTop="1" x14ac:dyDescent="0.3">
      <c r="G24" s="7"/>
    </row>
    <row r="25" spans="1:7" x14ac:dyDescent="0.3">
      <c r="A25" t="s">
        <v>9</v>
      </c>
      <c r="G25" s="7"/>
    </row>
    <row r="26" spans="1:7" x14ac:dyDescent="0.3">
      <c r="A26" s="1" t="s">
        <v>0</v>
      </c>
      <c r="B26" s="1" t="s">
        <v>1</v>
      </c>
      <c r="C26" s="1" t="s">
        <v>17</v>
      </c>
      <c r="D26" s="1" t="s">
        <v>2</v>
      </c>
      <c r="G26" s="7"/>
    </row>
    <row r="27" spans="1:7" x14ac:dyDescent="0.3">
      <c r="A27" t="s">
        <v>42</v>
      </c>
      <c r="B27" s="3">
        <v>0.25</v>
      </c>
      <c r="C27">
        <v>4</v>
      </c>
      <c r="D27">
        <f>C27*B27</f>
        <v>1</v>
      </c>
      <c r="G27" s="7"/>
    </row>
    <row r="28" spans="1:7" x14ac:dyDescent="0.3">
      <c r="A28" t="s">
        <v>41</v>
      </c>
      <c r="B28" s="3">
        <v>0.1</v>
      </c>
      <c r="C28">
        <v>5</v>
      </c>
      <c r="D28">
        <f t="shared" ref="D28:D33" si="2">C28*B28</f>
        <v>0.5</v>
      </c>
      <c r="G28" s="7"/>
    </row>
    <row r="29" spans="1:7" x14ac:dyDescent="0.3">
      <c r="A29" t="s">
        <v>40</v>
      </c>
      <c r="B29" s="3">
        <v>0.1</v>
      </c>
      <c r="C29">
        <v>4</v>
      </c>
      <c r="D29">
        <f t="shared" si="2"/>
        <v>0.4</v>
      </c>
      <c r="G29" s="7"/>
    </row>
    <row r="30" spans="1:7" x14ac:dyDescent="0.3">
      <c r="A30" t="s">
        <v>39</v>
      </c>
      <c r="B30" s="3">
        <v>0.1</v>
      </c>
      <c r="C30">
        <v>4</v>
      </c>
      <c r="D30">
        <f t="shared" si="2"/>
        <v>0.4</v>
      </c>
      <c r="G30" s="7"/>
    </row>
    <row r="31" spans="1:7" x14ac:dyDescent="0.3">
      <c r="A31" t="s">
        <v>38</v>
      </c>
      <c r="B31" s="3">
        <v>0.1</v>
      </c>
      <c r="C31">
        <v>4</v>
      </c>
      <c r="D31">
        <f t="shared" si="2"/>
        <v>0.4</v>
      </c>
      <c r="G31" s="7"/>
    </row>
    <row r="32" spans="1:7" x14ac:dyDescent="0.3">
      <c r="A32" t="s">
        <v>37</v>
      </c>
      <c r="B32" s="3">
        <v>0.25</v>
      </c>
      <c r="C32">
        <v>4</v>
      </c>
      <c r="D32">
        <f t="shared" si="2"/>
        <v>1</v>
      </c>
      <c r="G32" s="7"/>
    </row>
    <row r="33" spans="1:7" x14ac:dyDescent="0.3">
      <c r="A33" t="s">
        <v>36</v>
      </c>
      <c r="B33" s="3">
        <v>0.1</v>
      </c>
      <c r="C33">
        <v>5</v>
      </c>
      <c r="D33">
        <f t="shared" si="2"/>
        <v>0.5</v>
      </c>
      <c r="G33" s="7"/>
    </row>
    <row r="34" spans="1:7" ht="15" thickBot="1" x14ac:dyDescent="0.35">
      <c r="B34" s="4">
        <f>SUM(B27:B33)</f>
        <v>0.99999999999999989</v>
      </c>
      <c r="D34" s="6">
        <f>SUM(D27:D33)</f>
        <v>4.1999999999999993</v>
      </c>
      <c r="G34" s="7"/>
    </row>
    <row r="35" spans="1:7" ht="15" thickTop="1" x14ac:dyDescent="0.3">
      <c r="G35" s="7"/>
    </row>
    <row r="36" spans="1:7" x14ac:dyDescent="0.3">
      <c r="A36" t="s">
        <v>10</v>
      </c>
      <c r="G36" s="7"/>
    </row>
    <row r="37" spans="1:7" x14ac:dyDescent="0.3">
      <c r="A37" s="1" t="s">
        <v>0</v>
      </c>
      <c r="B37" s="1" t="s">
        <v>1</v>
      </c>
      <c r="C37" s="1" t="s">
        <v>17</v>
      </c>
      <c r="D37" s="1" t="s">
        <v>2</v>
      </c>
      <c r="G37" s="7"/>
    </row>
    <row r="38" spans="1:7" x14ac:dyDescent="0.3">
      <c r="A38" t="s">
        <v>42</v>
      </c>
      <c r="B38" s="3">
        <v>0.25</v>
      </c>
      <c r="C38">
        <v>4</v>
      </c>
      <c r="D38">
        <f>C38*B38</f>
        <v>1</v>
      </c>
      <c r="G38" s="7"/>
    </row>
    <row r="39" spans="1:7" x14ac:dyDescent="0.3">
      <c r="A39" t="s">
        <v>41</v>
      </c>
      <c r="B39" s="3">
        <v>0.1</v>
      </c>
      <c r="C39">
        <v>5</v>
      </c>
      <c r="D39">
        <f t="shared" ref="D39:D44" si="3">C39*B39</f>
        <v>0.5</v>
      </c>
      <c r="G39" s="7"/>
    </row>
    <row r="40" spans="1:7" x14ac:dyDescent="0.3">
      <c r="A40" t="s">
        <v>40</v>
      </c>
      <c r="B40" s="3">
        <v>0.1</v>
      </c>
      <c r="C40">
        <v>4</v>
      </c>
      <c r="D40">
        <f t="shared" si="3"/>
        <v>0.4</v>
      </c>
      <c r="G40" s="7"/>
    </row>
    <row r="41" spans="1:7" x14ac:dyDescent="0.3">
      <c r="A41" t="s">
        <v>39</v>
      </c>
      <c r="B41" s="3">
        <v>0.1</v>
      </c>
      <c r="C41">
        <v>4</v>
      </c>
      <c r="D41">
        <f t="shared" si="3"/>
        <v>0.4</v>
      </c>
      <c r="G41" s="7"/>
    </row>
    <row r="42" spans="1:7" x14ac:dyDescent="0.3">
      <c r="A42" t="s">
        <v>38</v>
      </c>
      <c r="B42" s="3">
        <v>0.1</v>
      </c>
      <c r="C42">
        <v>4</v>
      </c>
      <c r="D42">
        <f t="shared" si="3"/>
        <v>0.4</v>
      </c>
      <c r="G42" s="7"/>
    </row>
    <row r="43" spans="1:7" x14ac:dyDescent="0.3">
      <c r="A43" t="s">
        <v>37</v>
      </c>
      <c r="B43" s="3">
        <v>0.25</v>
      </c>
      <c r="C43">
        <v>4</v>
      </c>
      <c r="D43">
        <f t="shared" si="3"/>
        <v>1</v>
      </c>
      <c r="G43" s="7"/>
    </row>
    <row r="44" spans="1:7" x14ac:dyDescent="0.3">
      <c r="A44" t="s">
        <v>36</v>
      </c>
      <c r="B44" s="3">
        <v>0.1</v>
      </c>
      <c r="C44">
        <v>4</v>
      </c>
      <c r="D44">
        <f t="shared" si="3"/>
        <v>0.4</v>
      </c>
      <c r="G44" s="7"/>
    </row>
    <row r="45" spans="1:7" ht="15" thickBot="1" x14ac:dyDescent="0.35">
      <c r="B45" s="4">
        <f>SUM(B38:B44)</f>
        <v>0.99999999999999989</v>
      </c>
      <c r="D45" s="6">
        <f>SUM(D38:D44)</f>
        <v>4.0999999999999996</v>
      </c>
      <c r="G45" s="7"/>
    </row>
    <row r="46" spans="1:7" ht="15" thickTop="1" x14ac:dyDescent="0.3">
      <c r="A46" s="9"/>
      <c r="B46" s="9"/>
      <c r="C46" s="9"/>
      <c r="D46" s="9"/>
      <c r="G46" s="7"/>
    </row>
    <row r="47" spans="1:7" x14ac:dyDescent="0.3">
      <c r="A47" t="s">
        <v>11</v>
      </c>
      <c r="G47" s="7"/>
    </row>
    <row r="48" spans="1:7" x14ac:dyDescent="0.3">
      <c r="A48" s="1" t="s">
        <v>0</v>
      </c>
      <c r="B48" s="1" t="s">
        <v>1</v>
      </c>
      <c r="C48" s="1" t="s">
        <v>17</v>
      </c>
      <c r="D48" s="1" t="s">
        <v>2</v>
      </c>
      <c r="G48" s="7"/>
    </row>
    <row r="49" spans="1:7" x14ac:dyDescent="0.3">
      <c r="A49" t="s">
        <v>42</v>
      </c>
      <c r="B49" s="3">
        <v>0.25</v>
      </c>
      <c r="C49">
        <v>4</v>
      </c>
      <c r="D49">
        <f t="shared" ref="D49:D55" si="4">C49*B49</f>
        <v>1</v>
      </c>
      <c r="G49" s="7"/>
    </row>
    <row r="50" spans="1:7" x14ac:dyDescent="0.3">
      <c r="A50" t="s">
        <v>41</v>
      </c>
      <c r="B50" s="3">
        <v>0.1</v>
      </c>
      <c r="C50">
        <v>5</v>
      </c>
      <c r="D50">
        <f t="shared" si="4"/>
        <v>0.5</v>
      </c>
      <c r="G50" s="7"/>
    </row>
    <row r="51" spans="1:7" x14ac:dyDescent="0.3">
      <c r="A51" t="s">
        <v>40</v>
      </c>
      <c r="B51" s="3">
        <v>0.1</v>
      </c>
      <c r="C51">
        <v>3</v>
      </c>
      <c r="D51">
        <f t="shared" si="4"/>
        <v>0.30000000000000004</v>
      </c>
      <c r="G51" s="7"/>
    </row>
    <row r="52" spans="1:7" x14ac:dyDescent="0.3">
      <c r="A52" t="s">
        <v>39</v>
      </c>
      <c r="B52" s="3">
        <v>0.1</v>
      </c>
      <c r="C52">
        <v>3</v>
      </c>
      <c r="D52">
        <f t="shared" si="4"/>
        <v>0.30000000000000004</v>
      </c>
      <c r="G52" s="7"/>
    </row>
    <row r="53" spans="1:7" x14ac:dyDescent="0.3">
      <c r="A53" t="s">
        <v>38</v>
      </c>
      <c r="B53" s="3">
        <v>0.1</v>
      </c>
      <c r="C53">
        <v>4</v>
      </c>
      <c r="D53">
        <f t="shared" si="4"/>
        <v>0.4</v>
      </c>
      <c r="G53" s="7"/>
    </row>
    <row r="54" spans="1:7" x14ac:dyDescent="0.3">
      <c r="A54" t="s">
        <v>37</v>
      </c>
      <c r="B54" s="3">
        <v>0.25</v>
      </c>
      <c r="C54">
        <v>4</v>
      </c>
      <c r="D54">
        <f t="shared" si="4"/>
        <v>1</v>
      </c>
      <c r="G54" s="7"/>
    </row>
    <row r="55" spans="1:7" x14ac:dyDescent="0.3">
      <c r="A55" t="s">
        <v>36</v>
      </c>
      <c r="B55" s="3">
        <v>0.1</v>
      </c>
      <c r="C55">
        <v>4</v>
      </c>
      <c r="D55">
        <f t="shared" si="4"/>
        <v>0.4</v>
      </c>
      <c r="G55" s="7"/>
    </row>
    <row r="56" spans="1:7" ht="15" thickBot="1" x14ac:dyDescent="0.35">
      <c r="B56" s="4">
        <f>SUM(B49:B55)</f>
        <v>0.99999999999999989</v>
      </c>
      <c r="D56" s="6">
        <f>SUM(D49:D55)</f>
        <v>3.9</v>
      </c>
      <c r="G56" s="7"/>
    </row>
    <row r="57" spans="1:7" ht="15" thickTop="1" x14ac:dyDescent="0.3">
      <c r="A57" s="9"/>
      <c r="B57" s="9"/>
      <c r="C57" s="9"/>
      <c r="D57" s="9"/>
      <c r="G57" s="7"/>
    </row>
    <row r="58" spans="1:7" x14ac:dyDescent="0.3">
      <c r="A58" t="s">
        <v>12</v>
      </c>
      <c r="G58" s="7"/>
    </row>
    <row r="59" spans="1:7" x14ac:dyDescent="0.3">
      <c r="A59" s="1" t="s">
        <v>0</v>
      </c>
      <c r="B59" s="1" t="s">
        <v>1</v>
      </c>
      <c r="C59" s="1" t="s">
        <v>17</v>
      </c>
      <c r="D59" s="1" t="s">
        <v>2</v>
      </c>
      <c r="G59" s="7"/>
    </row>
    <row r="60" spans="1:7" x14ac:dyDescent="0.3">
      <c r="A60" t="s">
        <v>42</v>
      </c>
      <c r="B60" s="3">
        <v>0.25</v>
      </c>
      <c r="C60">
        <v>5</v>
      </c>
      <c r="D60">
        <f t="shared" ref="D60:D66" si="5">C60*B60</f>
        <v>1.25</v>
      </c>
      <c r="G60" s="7"/>
    </row>
    <row r="61" spans="1:7" x14ac:dyDescent="0.3">
      <c r="A61" t="s">
        <v>41</v>
      </c>
      <c r="B61" s="3">
        <v>0.1</v>
      </c>
      <c r="C61">
        <v>5</v>
      </c>
      <c r="D61">
        <f t="shared" si="5"/>
        <v>0.5</v>
      </c>
      <c r="G61" s="7"/>
    </row>
    <row r="62" spans="1:7" x14ac:dyDescent="0.3">
      <c r="A62" t="s">
        <v>40</v>
      </c>
      <c r="B62" s="3">
        <v>0.1</v>
      </c>
      <c r="C62">
        <v>4</v>
      </c>
      <c r="D62">
        <f t="shared" si="5"/>
        <v>0.4</v>
      </c>
      <c r="G62" s="7"/>
    </row>
    <row r="63" spans="1:7" x14ac:dyDescent="0.3">
      <c r="A63" t="s">
        <v>39</v>
      </c>
      <c r="B63" s="3">
        <v>0.1</v>
      </c>
      <c r="C63">
        <v>4</v>
      </c>
      <c r="D63">
        <f t="shared" si="5"/>
        <v>0.4</v>
      </c>
      <c r="G63" s="7"/>
    </row>
    <row r="64" spans="1:7" x14ac:dyDescent="0.3">
      <c r="A64" t="s">
        <v>38</v>
      </c>
      <c r="B64" s="3">
        <v>0.1</v>
      </c>
      <c r="C64">
        <v>4</v>
      </c>
      <c r="D64">
        <f t="shared" si="5"/>
        <v>0.4</v>
      </c>
      <c r="G64" s="7"/>
    </row>
    <row r="65" spans="1:7" x14ac:dyDescent="0.3">
      <c r="A65" t="s">
        <v>37</v>
      </c>
      <c r="B65" s="3">
        <v>0.25</v>
      </c>
      <c r="C65">
        <v>5</v>
      </c>
      <c r="D65">
        <f t="shared" si="5"/>
        <v>1.25</v>
      </c>
      <c r="G65" s="7"/>
    </row>
    <row r="66" spans="1:7" x14ac:dyDescent="0.3">
      <c r="A66" t="s">
        <v>36</v>
      </c>
      <c r="B66" s="3">
        <v>0.1</v>
      </c>
      <c r="C66">
        <v>5</v>
      </c>
      <c r="D66">
        <f t="shared" si="5"/>
        <v>0.5</v>
      </c>
      <c r="G66" s="7"/>
    </row>
    <row r="67" spans="1:7" ht="15" thickBot="1" x14ac:dyDescent="0.35">
      <c r="B67" s="4">
        <f>SUM(B60:B66)</f>
        <v>0.99999999999999989</v>
      </c>
      <c r="D67" s="6">
        <f>SUM(D60:D66)</f>
        <v>4.6999999999999993</v>
      </c>
      <c r="G67" s="7"/>
    </row>
    <row r="68" spans="1:7" ht="15" thickTop="1" x14ac:dyDescent="0.3">
      <c r="A68" s="9"/>
      <c r="B68" s="9"/>
      <c r="C68" s="9"/>
      <c r="D68" s="9"/>
      <c r="G68" s="7"/>
    </row>
    <row r="69" spans="1:7" x14ac:dyDescent="0.3">
      <c r="A69" t="s">
        <v>13</v>
      </c>
      <c r="G69" s="7"/>
    </row>
    <row r="70" spans="1:7" x14ac:dyDescent="0.3">
      <c r="A70" s="1" t="s">
        <v>0</v>
      </c>
      <c r="B70" s="1" t="s">
        <v>1</v>
      </c>
      <c r="C70" s="1" t="s">
        <v>17</v>
      </c>
      <c r="D70" s="1" t="s">
        <v>2</v>
      </c>
      <c r="G70" s="7"/>
    </row>
    <row r="71" spans="1:7" x14ac:dyDescent="0.3">
      <c r="A71" t="s">
        <v>42</v>
      </c>
      <c r="B71" s="3">
        <v>0.25</v>
      </c>
      <c r="C71">
        <v>4</v>
      </c>
      <c r="D71">
        <f>C71*B71</f>
        <v>1</v>
      </c>
      <c r="G71" s="7"/>
    </row>
    <row r="72" spans="1:7" x14ac:dyDescent="0.3">
      <c r="A72" t="s">
        <v>41</v>
      </c>
      <c r="B72" s="3">
        <v>0.1</v>
      </c>
      <c r="C72">
        <v>5</v>
      </c>
      <c r="D72">
        <f t="shared" ref="D72:D77" si="6">C72*B72</f>
        <v>0.5</v>
      </c>
      <c r="G72" s="7"/>
    </row>
    <row r="73" spans="1:7" x14ac:dyDescent="0.3">
      <c r="A73" t="s">
        <v>40</v>
      </c>
      <c r="B73" s="3">
        <v>0.1</v>
      </c>
      <c r="C73">
        <v>5</v>
      </c>
      <c r="D73">
        <f t="shared" si="6"/>
        <v>0.5</v>
      </c>
      <c r="G73" s="7"/>
    </row>
    <row r="74" spans="1:7" x14ac:dyDescent="0.3">
      <c r="A74" t="s">
        <v>39</v>
      </c>
      <c r="B74" s="3">
        <v>0.1</v>
      </c>
      <c r="C74">
        <v>4</v>
      </c>
      <c r="D74">
        <f t="shared" si="6"/>
        <v>0.4</v>
      </c>
      <c r="G74" s="7"/>
    </row>
    <row r="75" spans="1:7" x14ac:dyDescent="0.3">
      <c r="A75" t="s">
        <v>38</v>
      </c>
      <c r="B75" s="3">
        <v>0.1</v>
      </c>
      <c r="C75">
        <v>5</v>
      </c>
      <c r="D75">
        <f t="shared" si="6"/>
        <v>0.5</v>
      </c>
      <c r="G75" s="7"/>
    </row>
    <row r="76" spans="1:7" x14ac:dyDescent="0.3">
      <c r="A76" t="s">
        <v>37</v>
      </c>
      <c r="B76" s="3">
        <v>0.25</v>
      </c>
      <c r="C76">
        <v>5</v>
      </c>
      <c r="D76">
        <f t="shared" si="6"/>
        <v>1.25</v>
      </c>
      <c r="G76" s="7"/>
    </row>
    <row r="77" spans="1:7" x14ac:dyDescent="0.3">
      <c r="A77" t="s">
        <v>36</v>
      </c>
      <c r="B77" s="3">
        <v>0.1</v>
      </c>
      <c r="C77">
        <v>4</v>
      </c>
      <c r="D77">
        <f t="shared" si="6"/>
        <v>0.4</v>
      </c>
      <c r="G77" s="7"/>
    </row>
    <row r="78" spans="1:7" ht="15" thickBot="1" x14ac:dyDescent="0.35">
      <c r="B78" s="4">
        <f>SUM(B71:B77)</f>
        <v>0.99999999999999989</v>
      </c>
      <c r="D78" s="6">
        <f>SUM(D71:D77)</f>
        <v>4.5500000000000007</v>
      </c>
      <c r="G78" s="7"/>
    </row>
    <row r="79" spans="1:7" ht="15" thickTop="1" x14ac:dyDescent="0.3">
      <c r="G79" s="7"/>
    </row>
    <row r="80" spans="1:7" x14ac:dyDescent="0.3">
      <c r="A80" t="s">
        <v>14</v>
      </c>
      <c r="G80" s="7"/>
    </row>
    <row r="81" spans="1:7" x14ac:dyDescent="0.3">
      <c r="A81" s="1" t="s">
        <v>0</v>
      </c>
      <c r="B81" s="1" t="s">
        <v>1</v>
      </c>
      <c r="C81" s="1" t="s">
        <v>17</v>
      </c>
      <c r="D81" s="1" t="s">
        <v>2</v>
      </c>
      <c r="G81" s="7"/>
    </row>
    <row r="82" spans="1:7" x14ac:dyDescent="0.3">
      <c r="A82" t="s">
        <v>42</v>
      </c>
      <c r="B82" s="3">
        <v>0.25</v>
      </c>
      <c r="C82">
        <v>3</v>
      </c>
      <c r="D82">
        <f>C82*B82</f>
        <v>0.75</v>
      </c>
      <c r="G82" s="7"/>
    </row>
    <row r="83" spans="1:7" x14ac:dyDescent="0.3">
      <c r="A83" t="s">
        <v>41</v>
      </c>
      <c r="B83" s="3">
        <v>0.1</v>
      </c>
      <c r="C83">
        <v>5</v>
      </c>
      <c r="D83">
        <f t="shared" ref="D83:D88" si="7">C83*B83</f>
        <v>0.5</v>
      </c>
    </row>
    <row r="84" spans="1:7" x14ac:dyDescent="0.3">
      <c r="A84" t="s">
        <v>40</v>
      </c>
      <c r="B84" s="3">
        <v>0.1</v>
      </c>
      <c r="C84">
        <v>4</v>
      </c>
      <c r="D84">
        <f t="shared" si="7"/>
        <v>0.4</v>
      </c>
      <c r="G84" s="7"/>
    </row>
    <row r="85" spans="1:7" x14ac:dyDescent="0.3">
      <c r="A85" t="s">
        <v>39</v>
      </c>
      <c r="B85" s="3">
        <v>0.1</v>
      </c>
      <c r="C85">
        <v>4</v>
      </c>
      <c r="D85">
        <f t="shared" si="7"/>
        <v>0.4</v>
      </c>
    </row>
    <row r="86" spans="1:7" x14ac:dyDescent="0.3">
      <c r="A86" t="s">
        <v>38</v>
      </c>
      <c r="B86" s="3">
        <v>0.1</v>
      </c>
      <c r="C86">
        <v>4</v>
      </c>
      <c r="D86">
        <f t="shared" si="7"/>
        <v>0.4</v>
      </c>
      <c r="G86" s="7"/>
    </row>
    <row r="87" spans="1:7" x14ac:dyDescent="0.3">
      <c r="A87" t="s">
        <v>37</v>
      </c>
      <c r="B87" s="3">
        <v>0.25</v>
      </c>
      <c r="C87">
        <v>4</v>
      </c>
      <c r="D87">
        <f t="shared" si="7"/>
        <v>1</v>
      </c>
      <c r="G87" s="8"/>
    </row>
    <row r="88" spans="1:7" x14ac:dyDescent="0.3">
      <c r="A88" t="s">
        <v>36</v>
      </c>
      <c r="B88" s="3">
        <v>0.1</v>
      </c>
      <c r="C88">
        <v>4</v>
      </c>
      <c r="D88">
        <f t="shared" si="7"/>
        <v>0.4</v>
      </c>
      <c r="G88" s="8"/>
    </row>
    <row r="89" spans="1:7" ht="15" thickBot="1" x14ac:dyDescent="0.35">
      <c r="B89" s="4">
        <f>SUM(B82:B88)</f>
        <v>0.99999999999999989</v>
      </c>
      <c r="D89" s="6">
        <f>SUM(D82:D88)</f>
        <v>3.8499999999999996</v>
      </c>
    </row>
    <row r="90" spans="1:7" ht="15" thickTop="1" x14ac:dyDescent="0.3">
      <c r="G90" s="7"/>
    </row>
    <row r="91" spans="1:7" x14ac:dyDescent="0.3">
      <c r="A91" t="s">
        <v>15</v>
      </c>
      <c r="G91" s="8"/>
    </row>
    <row r="92" spans="1:7" x14ac:dyDescent="0.3">
      <c r="A92" s="1" t="s">
        <v>0</v>
      </c>
      <c r="B92" s="1" t="s">
        <v>1</v>
      </c>
      <c r="C92" s="1" t="s">
        <v>17</v>
      </c>
      <c r="D92" s="1" t="s">
        <v>2</v>
      </c>
      <c r="G92" s="8"/>
    </row>
    <row r="93" spans="1:7" x14ac:dyDescent="0.3">
      <c r="A93" t="s">
        <v>42</v>
      </c>
      <c r="B93" s="3">
        <v>0.25</v>
      </c>
      <c r="C93">
        <v>4</v>
      </c>
      <c r="D93">
        <f>C93*B93</f>
        <v>1</v>
      </c>
      <c r="G93" s="8"/>
    </row>
    <row r="94" spans="1:7" x14ac:dyDescent="0.3">
      <c r="A94" t="s">
        <v>41</v>
      </c>
      <c r="B94" s="3">
        <v>0.1</v>
      </c>
      <c r="C94">
        <v>5</v>
      </c>
      <c r="D94">
        <f t="shared" ref="D94:D99" si="8">C94*B94</f>
        <v>0.5</v>
      </c>
      <c r="G94" s="8"/>
    </row>
    <row r="95" spans="1:7" x14ac:dyDescent="0.3">
      <c r="A95" t="s">
        <v>40</v>
      </c>
      <c r="B95" s="3">
        <v>0.1</v>
      </c>
      <c r="C95">
        <v>5</v>
      </c>
      <c r="D95">
        <f t="shared" si="8"/>
        <v>0.5</v>
      </c>
      <c r="G95" s="8"/>
    </row>
    <row r="96" spans="1:7" x14ac:dyDescent="0.3">
      <c r="A96" t="s">
        <v>39</v>
      </c>
      <c r="B96" s="3">
        <v>0.1</v>
      </c>
      <c r="C96">
        <v>5</v>
      </c>
      <c r="D96">
        <f t="shared" si="8"/>
        <v>0.5</v>
      </c>
      <c r="G96" s="8"/>
    </row>
    <row r="97" spans="1:7" x14ac:dyDescent="0.3">
      <c r="A97" t="s">
        <v>38</v>
      </c>
      <c r="B97" s="3">
        <v>0.1</v>
      </c>
      <c r="C97">
        <v>5</v>
      </c>
      <c r="D97">
        <f t="shared" si="8"/>
        <v>0.5</v>
      </c>
      <c r="G97" s="8"/>
    </row>
    <row r="98" spans="1:7" x14ac:dyDescent="0.3">
      <c r="A98" t="s">
        <v>37</v>
      </c>
      <c r="B98" s="3">
        <v>0.25</v>
      </c>
      <c r="C98">
        <v>4</v>
      </c>
      <c r="D98">
        <f t="shared" si="8"/>
        <v>1</v>
      </c>
      <c r="G98" s="8"/>
    </row>
    <row r="99" spans="1:7" x14ac:dyDescent="0.3">
      <c r="A99" t="s">
        <v>36</v>
      </c>
      <c r="B99" s="3">
        <v>0.1</v>
      </c>
      <c r="C99">
        <v>4</v>
      </c>
      <c r="D99">
        <f t="shared" si="8"/>
        <v>0.4</v>
      </c>
      <c r="G99" s="8"/>
    </row>
    <row r="100" spans="1:7" ht="15" thickBot="1" x14ac:dyDescent="0.35">
      <c r="B100" s="4">
        <f>SUM(B93:B99)</f>
        <v>0.99999999999999989</v>
      </c>
      <c r="D100" s="6">
        <f>SUM(D93:D99)</f>
        <v>4.4000000000000004</v>
      </c>
      <c r="G100" s="7"/>
    </row>
    <row r="101" spans="1:7" ht="15" thickTop="1" x14ac:dyDescent="0.3"/>
    <row r="102" spans="1:7" x14ac:dyDescent="0.3">
      <c r="G102" s="7"/>
    </row>
    <row r="103" spans="1:7" x14ac:dyDescent="0.3">
      <c r="G103" s="8"/>
    </row>
    <row r="104" spans="1:7" x14ac:dyDescent="0.3">
      <c r="G104" s="8"/>
    </row>
    <row r="105" spans="1:7" x14ac:dyDescent="0.3">
      <c r="G105" s="8"/>
    </row>
    <row r="107" spans="1:7" x14ac:dyDescent="0.3">
      <c r="G107" s="7"/>
    </row>
    <row r="109" spans="1:7" x14ac:dyDescent="0.3">
      <c r="G109" s="7"/>
    </row>
    <row r="110" spans="1:7" x14ac:dyDescent="0.3">
      <c r="G110" s="8"/>
    </row>
    <row r="111" spans="1:7" x14ac:dyDescent="0.3">
      <c r="G111" s="8"/>
    </row>
    <row r="112" spans="1:7" x14ac:dyDescent="0.3">
      <c r="G112" s="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A1209-458A-4973-9F2D-ECD2659795BF}">
  <dimension ref="A1:G112"/>
  <sheetViews>
    <sheetView zoomScale="80" zoomScaleNormal="80" workbookViewId="0">
      <selection activeCell="B107" sqref="B107"/>
    </sheetView>
  </sheetViews>
  <sheetFormatPr defaultRowHeight="14.4" x14ac:dyDescent="0.3"/>
  <cols>
    <col min="1" max="1" width="122.77734375" bestFit="1" customWidth="1"/>
    <col min="2" max="2" width="6.77734375" bestFit="1" customWidth="1"/>
    <col min="3" max="3" width="10.21875" bestFit="1" customWidth="1"/>
    <col min="4" max="4" width="13.88671875" bestFit="1" customWidth="1"/>
    <col min="6" max="6" width="15.33203125" bestFit="1" customWidth="1"/>
  </cols>
  <sheetData>
    <row r="1" spans="1:7" x14ac:dyDescent="0.3">
      <c r="A1" s="2" t="s">
        <v>3</v>
      </c>
      <c r="B1" s="5">
        <v>5</v>
      </c>
    </row>
    <row r="2" spans="1:7" x14ac:dyDescent="0.3">
      <c r="F2" s="10" t="s">
        <v>35</v>
      </c>
      <c r="G2" s="7"/>
    </row>
    <row r="3" spans="1:7" x14ac:dyDescent="0.3">
      <c r="A3" t="s">
        <v>7</v>
      </c>
      <c r="F3">
        <f>D12</f>
        <v>3.9000000000000004</v>
      </c>
      <c r="G3" s="7"/>
    </row>
    <row r="4" spans="1:7" x14ac:dyDescent="0.3">
      <c r="A4" s="1" t="s">
        <v>0</v>
      </c>
      <c r="B4" s="1" t="s">
        <v>1</v>
      </c>
      <c r="C4" s="1" t="s">
        <v>17</v>
      </c>
      <c r="D4" s="1" t="s">
        <v>2</v>
      </c>
      <c r="F4">
        <f>D23</f>
        <v>4.0999999999999996</v>
      </c>
      <c r="G4" s="7"/>
    </row>
    <row r="5" spans="1:7" x14ac:dyDescent="0.3">
      <c r="A5" t="s">
        <v>42</v>
      </c>
      <c r="B5" s="3">
        <v>0.25</v>
      </c>
      <c r="C5">
        <v>4</v>
      </c>
      <c r="D5">
        <f>C5*B5</f>
        <v>1</v>
      </c>
      <c r="F5">
        <f>D34</f>
        <v>3.9000000000000004</v>
      </c>
      <c r="G5" s="7"/>
    </row>
    <row r="6" spans="1:7" x14ac:dyDescent="0.3">
      <c r="A6" t="s">
        <v>41</v>
      </c>
      <c r="B6" s="3">
        <v>0.1</v>
      </c>
      <c r="C6">
        <v>5</v>
      </c>
      <c r="D6">
        <f t="shared" ref="D6:D11" si="0">C6*B6</f>
        <v>0.5</v>
      </c>
      <c r="F6">
        <f>D45</f>
        <v>4</v>
      </c>
      <c r="G6" s="7"/>
    </row>
    <row r="7" spans="1:7" x14ac:dyDescent="0.3">
      <c r="A7" t="s">
        <v>40</v>
      </c>
      <c r="B7" s="3">
        <v>0.1</v>
      </c>
      <c r="C7">
        <v>3</v>
      </c>
      <c r="D7">
        <f t="shared" si="0"/>
        <v>0.30000000000000004</v>
      </c>
      <c r="F7">
        <f>D56</f>
        <v>3.1999999999999997</v>
      </c>
      <c r="G7" s="7"/>
    </row>
    <row r="8" spans="1:7" x14ac:dyDescent="0.3">
      <c r="A8" t="s">
        <v>39</v>
      </c>
      <c r="B8" s="3">
        <v>0.1</v>
      </c>
      <c r="C8">
        <v>3</v>
      </c>
      <c r="D8">
        <f t="shared" si="0"/>
        <v>0.30000000000000004</v>
      </c>
      <c r="F8">
        <f>D67</f>
        <v>4.2</v>
      </c>
      <c r="G8" s="7"/>
    </row>
    <row r="9" spans="1:7" x14ac:dyDescent="0.3">
      <c r="A9" t="s">
        <v>38</v>
      </c>
      <c r="B9" s="3">
        <v>0.1</v>
      </c>
      <c r="C9">
        <v>3</v>
      </c>
      <c r="D9">
        <f t="shared" si="0"/>
        <v>0.30000000000000004</v>
      </c>
      <c r="F9">
        <f>D78</f>
        <v>3.65</v>
      </c>
      <c r="G9" s="7"/>
    </row>
    <row r="10" spans="1:7" x14ac:dyDescent="0.3">
      <c r="A10" t="s">
        <v>37</v>
      </c>
      <c r="B10" s="3">
        <v>0.25</v>
      </c>
      <c r="C10">
        <v>4</v>
      </c>
      <c r="D10">
        <f t="shared" si="0"/>
        <v>1</v>
      </c>
      <c r="F10">
        <f>D89</f>
        <v>4.0999999999999996</v>
      </c>
      <c r="G10" s="7"/>
    </row>
    <row r="11" spans="1:7" x14ac:dyDescent="0.3">
      <c r="A11" t="s">
        <v>36</v>
      </c>
      <c r="B11" s="3">
        <v>0.1</v>
      </c>
      <c r="C11">
        <v>5</v>
      </c>
      <c r="D11">
        <f t="shared" si="0"/>
        <v>0.5</v>
      </c>
      <c r="F11">
        <f>D100</f>
        <v>3.65</v>
      </c>
      <c r="G11" s="7"/>
    </row>
    <row r="12" spans="1:7" ht="15" thickBot="1" x14ac:dyDescent="0.35">
      <c r="B12" s="4">
        <f>SUM(B5:B11)</f>
        <v>0.99999999999999989</v>
      </c>
      <c r="D12" s="6">
        <f>SUM(D5:D11)</f>
        <v>3.9000000000000004</v>
      </c>
      <c r="G12" s="7"/>
    </row>
    <row r="13" spans="1:7" ht="15" thickTop="1" x14ac:dyDescent="0.3">
      <c r="G13" s="7"/>
    </row>
    <row r="14" spans="1:7" x14ac:dyDescent="0.3">
      <c r="A14" t="s">
        <v>8</v>
      </c>
      <c r="G14" s="7"/>
    </row>
    <row r="15" spans="1:7" x14ac:dyDescent="0.3">
      <c r="A15" s="1" t="s">
        <v>0</v>
      </c>
      <c r="B15" s="1" t="s">
        <v>1</v>
      </c>
      <c r="C15" s="1" t="s">
        <v>17</v>
      </c>
      <c r="D15" s="1" t="s">
        <v>2</v>
      </c>
      <c r="G15" s="7"/>
    </row>
    <row r="16" spans="1:7" x14ac:dyDescent="0.3">
      <c r="A16" t="s">
        <v>42</v>
      </c>
      <c r="B16" s="3">
        <v>0.25</v>
      </c>
      <c r="C16">
        <v>4</v>
      </c>
      <c r="D16">
        <f>C16*B16</f>
        <v>1</v>
      </c>
      <c r="G16" s="7"/>
    </row>
    <row r="17" spans="1:7" x14ac:dyDescent="0.3">
      <c r="A17" t="s">
        <v>41</v>
      </c>
      <c r="B17" s="3">
        <v>0.1</v>
      </c>
      <c r="C17">
        <v>5</v>
      </c>
      <c r="D17">
        <f t="shared" ref="D17:D22" si="1">C17*B17</f>
        <v>0.5</v>
      </c>
      <c r="G17" s="7"/>
    </row>
    <row r="18" spans="1:7" x14ac:dyDescent="0.3">
      <c r="A18" t="s">
        <v>40</v>
      </c>
      <c r="B18" s="3">
        <v>0.1</v>
      </c>
      <c r="C18">
        <v>3</v>
      </c>
      <c r="D18">
        <f t="shared" si="1"/>
        <v>0.30000000000000004</v>
      </c>
      <c r="G18" s="7"/>
    </row>
    <row r="19" spans="1:7" x14ac:dyDescent="0.3">
      <c r="A19" t="s">
        <v>39</v>
      </c>
      <c r="B19" s="3">
        <v>0.1</v>
      </c>
      <c r="C19">
        <v>4</v>
      </c>
      <c r="D19">
        <f t="shared" si="1"/>
        <v>0.4</v>
      </c>
      <c r="G19" s="7"/>
    </row>
    <row r="20" spans="1:7" x14ac:dyDescent="0.3">
      <c r="A20" t="s">
        <v>38</v>
      </c>
      <c r="B20" s="3">
        <v>0.1</v>
      </c>
      <c r="C20">
        <v>4</v>
      </c>
      <c r="D20">
        <f t="shared" si="1"/>
        <v>0.4</v>
      </c>
      <c r="G20" s="7"/>
    </row>
    <row r="21" spans="1:7" x14ac:dyDescent="0.3">
      <c r="A21" t="s">
        <v>37</v>
      </c>
      <c r="B21" s="3">
        <v>0.25</v>
      </c>
      <c r="C21">
        <v>4</v>
      </c>
      <c r="D21">
        <f t="shared" si="1"/>
        <v>1</v>
      </c>
      <c r="G21" s="7"/>
    </row>
    <row r="22" spans="1:7" x14ac:dyDescent="0.3">
      <c r="A22" t="s">
        <v>36</v>
      </c>
      <c r="B22" s="3">
        <v>0.1</v>
      </c>
      <c r="C22">
        <v>5</v>
      </c>
      <c r="D22">
        <f t="shared" si="1"/>
        <v>0.5</v>
      </c>
      <c r="G22" s="7"/>
    </row>
    <row r="23" spans="1:7" ht="15" thickBot="1" x14ac:dyDescent="0.35">
      <c r="B23" s="4">
        <f>SUM(B16:B22)</f>
        <v>0.99999999999999989</v>
      </c>
      <c r="D23" s="6">
        <f>SUM(D16:D22)</f>
        <v>4.0999999999999996</v>
      </c>
      <c r="G23" s="7"/>
    </row>
    <row r="24" spans="1:7" ht="15" thickTop="1" x14ac:dyDescent="0.3">
      <c r="G24" s="7"/>
    </row>
    <row r="25" spans="1:7" x14ac:dyDescent="0.3">
      <c r="A25" t="s">
        <v>9</v>
      </c>
      <c r="G25" s="7"/>
    </row>
    <row r="26" spans="1:7" x14ac:dyDescent="0.3">
      <c r="A26" s="1" t="s">
        <v>0</v>
      </c>
      <c r="B26" s="1" t="s">
        <v>1</v>
      </c>
      <c r="C26" s="1" t="s">
        <v>17</v>
      </c>
      <c r="D26" s="1" t="s">
        <v>2</v>
      </c>
      <c r="G26" s="7"/>
    </row>
    <row r="27" spans="1:7" x14ac:dyDescent="0.3">
      <c r="A27" t="s">
        <v>42</v>
      </c>
      <c r="B27" s="3">
        <v>0.25</v>
      </c>
      <c r="C27">
        <v>4</v>
      </c>
      <c r="D27">
        <f>C27*B27</f>
        <v>1</v>
      </c>
      <c r="G27" s="7"/>
    </row>
    <row r="28" spans="1:7" x14ac:dyDescent="0.3">
      <c r="A28" t="s">
        <v>41</v>
      </c>
      <c r="B28" s="3">
        <v>0.1</v>
      </c>
      <c r="C28">
        <v>5</v>
      </c>
      <c r="D28">
        <f t="shared" ref="D28:D33" si="2">C28*B28</f>
        <v>0.5</v>
      </c>
      <c r="G28" s="7"/>
    </row>
    <row r="29" spans="1:7" x14ac:dyDescent="0.3">
      <c r="A29" t="s">
        <v>40</v>
      </c>
      <c r="B29" s="3">
        <v>0.1</v>
      </c>
      <c r="C29">
        <v>3</v>
      </c>
      <c r="D29">
        <f t="shared" si="2"/>
        <v>0.30000000000000004</v>
      </c>
      <c r="G29" s="7"/>
    </row>
    <row r="30" spans="1:7" x14ac:dyDescent="0.3">
      <c r="A30" t="s">
        <v>39</v>
      </c>
      <c r="B30" s="3">
        <v>0.1</v>
      </c>
      <c r="C30">
        <v>4</v>
      </c>
      <c r="D30">
        <f t="shared" si="2"/>
        <v>0.4</v>
      </c>
      <c r="G30" s="7"/>
    </row>
    <row r="31" spans="1:7" x14ac:dyDescent="0.3">
      <c r="A31" t="s">
        <v>38</v>
      </c>
      <c r="B31" s="3">
        <v>0.1</v>
      </c>
      <c r="C31">
        <v>2</v>
      </c>
      <c r="D31">
        <f t="shared" si="2"/>
        <v>0.2</v>
      </c>
      <c r="G31" s="7"/>
    </row>
    <row r="32" spans="1:7" x14ac:dyDescent="0.3">
      <c r="A32" t="s">
        <v>37</v>
      </c>
      <c r="B32" s="3">
        <v>0.25</v>
      </c>
      <c r="C32">
        <v>4</v>
      </c>
      <c r="D32">
        <f t="shared" si="2"/>
        <v>1</v>
      </c>
      <c r="G32" s="7"/>
    </row>
    <row r="33" spans="1:7" x14ac:dyDescent="0.3">
      <c r="A33" t="s">
        <v>36</v>
      </c>
      <c r="B33" s="3">
        <v>0.1</v>
      </c>
      <c r="C33">
        <v>5</v>
      </c>
      <c r="D33">
        <f t="shared" si="2"/>
        <v>0.5</v>
      </c>
      <c r="G33" s="7"/>
    </row>
    <row r="34" spans="1:7" ht="15" thickBot="1" x14ac:dyDescent="0.35">
      <c r="B34" s="4">
        <f>SUM(B27:B33)</f>
        <v>0.99999999999999989</v>
      </c>
      <c r="D34" s="6">
        <f>SUM(D27:D33)</f>
        <v>3.9000000000000004</v>
      </c>
      <c r="G34" s="7"/>
    </row>
    <row r="35" spans="1:7" ht="15" thickTop="1" x14ac:dyDescent="0.3">
      <c r="G35" s="7"/>
    </row>
    <row r="36" spans="1:7" x14ac:dyDescent="0.3">
      <c r="A36" t="s">
        <v>10</v>
      </c>
      <c r="G36" s="7"/>
    </row>
    <row r="37" spans="1:7" x14ac:dyDescent="0.3">
      <c r="A37" s="1" t="s">
        <v>0</v>
      </c>
      <c r="B37" s="1" t="s">
        <v>1</v>
      </c>
      <c r="C37" s="1" t="s">
        <v>17</v>
      </c>
      <c r="D37" s="1" t="s">
        <v>2</v>
      </c>
      <c r="G37" s="7"/>
    </row>
    <row r="38" spans="1:7" x14ac:dyDescent="0.3">
      <c r="A38" t="s">
        <v>42</v>
      </c>
      <c r="B38" s="3">
        <v>0.25</v>
      </c>
      <c r="C38">
        <v>4</v>
      </c>
      <c r="D38">
        <f>C38*B38</f>
        <v>1</v>
      </c>
      <c r="G38" s="7"/>
    </row>
    <row r="39" spans="1:7" x14ac:dyDescent="0.3">
      <c r="A39" t="s">
        <v>41</v>
      </c>
      <c r="B39" s="3">
        <v>0.1</v>
      </c>
      <c r="C39">
        <v>5</v>
      </c>
      <c r="D39">
        <f t="shared" ref="D39:D44" si="3">C39*B39</f>
        <v>0.5</v>
      </c>
      <c r="G39" s="7"/>
    </row>
    <row r="40" spans="1:7" x14ac:dyDescent="0.3">
      <c r="A40" t="s">
        <v>40</v>
      </c>
      <c r="B40" s="3">
        <v>0.1</v>
      </c>
      <c r="C40">
        <v>3</v>
      </c>
      <c r="D40">
        <f t="shared" si="3"/>
        <v>0.30000000000000004</v>
      </c>
      <c r="G40" s="7"/>
    </row>
    <row r="41" spans="1:7" x14ac:dyDescent="0.3">
      <c r="A41" t="s">
        <v>39</v>
      </c>
      <c r="B41" s="3">
        <v>0.1</v>
      </c>
      <c r="C41">
        <v>3</v>
      </c>
      <c r="D41">
        <f t="shared" si="3"/>
        <v>0.30000000000000004</v>
      </c>
      <c r="G41" s="7"/>
    </row>
    <row r="42" spans="1:7" x14ac:dyDescent="0.3">
      <c r="A42" t="s">
        <v>38</v>
      </c>
      <c r="B42" s="3">
        <v>0.1</v>
      </c>
      <c r="C42">
        <v>4</v>
      </c>
      <c r="D42">
        <f t="shared" si="3"/>
        <v>0.4</v>
      </c>
      <c r="G42" s="7"/>
    </row>
    <row r="43" spans="1:7" x14ac:dyDescent="0.3">
      <c r="A43" t="s">
        <v>37</v>
      </c>
      <c r="B43" s="3">
        <v>0.25</v>
      </c>
      <c r="C43">
        <v>4</v>
      </c>
      <c r="D43">
        <f t="shared" si="3"/>
        <v>1</v>
      </c>
      <c r="G43" s="7"/>
    </row>
    <row r="44" spans="1:7" x14ac:dyDescent="0.3">
      <c r="A44" t="s">
        <v>36</v>
      </c>
      <c r="B44" s="3">
        <v>0.1</v>
      </c>
      <c r="C44">
        <v>5</v>
      </c>
      <c r="D44">
        <f t="shared" si="3"/>
        <v>0.5</v>
      </c>
      <c r="G44" s="7"/>
    </row>
    <row r="45" spans="1:7" ht="15" thickBot="1" x14ac:dyDescent="0.35">
      <c r="B45" s="4">
        <f>SUM(B38:B44)</f>
        <v>0.99999999999999989</v>
      </c>
      <c r="D45" s="6">
        <f>SUM(D38:D44)</f>
        <v>4</v>
      </c>
      <c r="G45" s="7"/>
    </row>
    <row r="46" spans="1:7" ht="15" thickTop="1" x14ac:dyDescent="0.3">
      <c r="A46" s="9"/>
      <c r="B46" s="9"/>
      <c r="C46" s="9"/>
      <c r="D46" s="9"/>
      <c r="G46" s="7"/>
    </row>
    <row r="47" spans="1:7" x14ac:dyDescent="0.3">
      <c r="A47" t="s">
        <v>11</v>
      </c>
      <c r="G47" s="7"/>
    </row>
    <row r="48" spans="1:7" x14ac:dyDescent="0.3">
      <c r="A48" s="1" t="s">
        <v>0</v>
      </c>
      <c r="B48" s="1" t="s">
        <v>1</v>
      </c>
      <c r="C48" s="1" t="s">
        <v>17</v>
      </c>
      <c r="D48" s="1" t="s">
        <v>2</v>
      </c>
      <c r="G48" s="7"/>
    </row>
    <row r="49" spans="1:7" x14ac:dyDescent="0.3">
      <c r="A49" t="s">
        <v>42</v>
      </c>
      <c r="B49" s="3">
        <v>0.25</v>
      </c>
      <c r="C49">
        <v>3</v>
      </c>
      <c r="D49">
        <f t="shared" ref="D49:D55" si="4">C49*B49</f>
        <v>0.75</v>
      </c>
      <c r="G49" s="7"/>
    </row>
    <row r="50" spans="1:7" x14ac:dyDescent="0.3">
      <c r="A50" t="s">
        <v>41</v>
      </c>
      <c r="B50" s="3">
        <v>0.1</v>
      </c>
      <c r="C50">
        <v>4</v>
      </c>
      <c r="D50">
        <f t="shared" si="4"/>
        <v>0.4</v>
      </c>
      <c r="G50" s="7"/>
    </row>
    <row r="51" spans="1:7" x14ac:dyDescent="0.3">
      <c r="A51" t="s">
        <v>40</v>
      </c>
      <c r="B51" s="3">
        <v>0.1</v>
      </c>
      <c r="C51">
        <v>3</v>
      </c>
      <c r="D51">
        <f t="shared" si="4"/>
        <v>0.30000000000000004</v>
      </c>
      <c r="G51" s="7"/>
    </row>
    <row r="52" spans="1:7" x14ac:dyDescent="0.3">
      <c r="A52" t="s">
        <v>39</v>
      </c>
      <c r="B52" s="3">
        <v>0.1</v>
      </c>
      <c r="C52">
        <v>3</v>
      </c>
      <c r="D52">
        <f t="shared" si="4"/>
        <v>0.30000000000000004</v>
      </c>
      <c r="G52" s="7"/>
    </row>
    <row r="53" spans="1:7" x14ac:dyDescent="0.3">
      <c r="A53" t="s">
        <v>38</v>
      </c>
      <c r="B53" s="3">
        <v>0.1</v>
      </c>
      <c r="C53">
        <v>3</v>
      </c>
      <c r="D53">
        <f t="shared" si="4"/>
        <v>0.30000000000000004</v>
      </c>
      <c r="G53" s="7"/>
    </row>
    <row r="54" spans="1:7" x14ac:dyDescent="0.3">
      <c r="A54" t="s">
        <v>37</v>
      </c>
      <c r="B54" s="3">
        <v>0.25</v>
      </c>
      <c r="C54">
        <v>3</v>
      </c>
      <c r="D54">
        <f t="shared" si="4"/>
        <v>0.75</v>
      </c>
      <c r="G54" s="7"/>
    </row>
    <row r="55" spans="1:7" x14ac:dyDescent="0.3">
      <c r="A55" t="s">
        <v>36</v>
      </c>
      <c r="B55" s="3">
        <v>0.1</v>
      </c>
      <c r="C55">
        <v>4</v>
      </c>
      <c r="D55">
        <f t="shared" si="4"/>
        <v>0.4</v>
      </c>
      <c r="G55" s="7"/>
    </row>
    <row r="56" spans="1:7" ht="15" thickBot="1" x14ac:dyDescent="0.35">
      <c r="B56" s="4">
        <f>SUM(B49:B55)</f>
        <v>0.99999999999999989</v>
      </c>
      <c r="D56" s="6">
        <f>SUM(D49:D55)</f>
        <v>3.1999999999999997</v>
      </c>
      <c r="G56" s="7"/>
    </row>
    <row r="57" spans="1:7" ht="15" thickTop="1" x14ac:dyDescent="0.3">
      <c r="A57" s="9"/>
      <c r="B57" s="9"/>
      <c r="C57" s="9"/>
      <c r="D57" s="9"/>
      <c r="G57" s="7"/>
    </row>
    <row r="58" spans="1:7" x14ac:dyDescent="0.3">
      <c r="A58" t="s">
        <v>12</v>
      </c>
      <c r="G58" s="7"/>
    </row>
    <row r="59" spans="1:7" x14ac:dyDescent="0.3">
      <c r="A59" s="1" t="s">
        <v>0</v>
      </c>
      <c r="B59" s="1" t="s">
        <v>1</v>
      </c>
      <c r="C59" s="1" t="s">
        <v>17</v>
      </c>
      <c r="D59" s="1" t="s">
        <v>2</v>
      </c>
      <c r="G59" s="7"/>
    </row>
    <row r="60" spans="1:7" x14ac:dyDescent="0.3">
      <c r="A60" t="s">
        <v>42</v>
      </c>
      <c r="B60" s="3">
        <v>0.25</v>
      </c>
      <c r="C60">
        <v>4</v>
      </c>
      <c r="D60">
        <f t="shared" ref="D60:D66" si="5">C60*B60</f>
        <v>1</v>
      </c>
      <c r="G60" s="7"/>
    </row>
    <row r="61" spans="1:7" x14ac:dyDescent="0.3">
      <c r="A61" t="s">
        <v>41</v>
      </c>
      <c r="B61" s="3">
        <v>0.1</v>
      </c>
      <c r="C61">
        <v>5</v>
      </c>
      <c r="D61">
        <f t="shared" si="5"/>
        <v>0.5</v>
      </c>
      <c r="G61" s="7"/>
    </row>
    <row r="62" spans="1:7" x14ac:dyDescent="0.3">
      <c r="A62" t="s">
        <v>40</v>
      </c>
      <c r="B62" s="3">
        <v>0.1</v>
      </c>
      <c r="C62">
        <v>4</v>
      </c>
      <c r="D62">
        <f t="shared" si="5"/>
        <v>0.4</v>
      </c>
      <c r="G62" s="7"/>
    </row>
    <row r="63" spans="1:7" x14ac:dyDescent="0.3">
      <c r="A63" t="s">
        <v>39</v>
      </c>
      <c r="B63" s="3">
        <v>0.1</v>
      </c>
      <c r="C63">
        <v>4</v>
      </c>
      <c r="D63">
        <f t="shared" si="5"/>
        <v>0.4</v>
      </c>
      <c r="G63" s="7"/>
    </row>
    <row r="64" spans="1:7" x14ac:dyDescent="0.3">
      <c r="A64" t="s">
        <v>38</v>
      </c>
      <c r="B64" s="3">
        <v>0.1</v>
      </c>
      <c r="C64">
        <v>5</v>
      </c>
      <c r="D64">
        <f t="shared" si="5"/>
        <v>0.5</v>
      </c>
      <c r="G64" s="7"/>
    </row>
    <row r="65" spans="1:7" x14ac:dyDescent="0.3">
      <c r="A65" t="s">
        <v>37</v>
      </c>
      <c r="B65" s="3">
        <v>0.25</v>
      </c>
      <c r="C65">
        <v>4</v>
      </c>
      <c r="D65">
        <f t="shared" si="5"/>
        <v>1</v>
      </c>
      <c r="G65" s="7"/>
    </row>
    <row r="66" spans="1:7" x14ac:dyDescent="0.3">
      <c r="A66" t="s">
        <v>36</v>
      </c>
      <c r="B66" s="3">
        <v>0.1</v>
      </c>
      <c r="C66">
        <v>4</v>
      </c>
      <c r="D66">
        <f t="shared" si="5"/>
        <v>0.4</v>
      </c>
      <c r="G66" s="7"/>
    </row>
    <row r="67" spans="1:7" ht="15" thickBot="1" x14ac:dyDescent="0.35">
      <c r="B67" s="4">
        <f>SUM(B60:B66)</f>
        <v>0.99999999999999989</v>
      </c>
      <c r="D67" s="6">
        <f>SUM(D60:D66)</f>
        <v>4.2</v>
      </c>
      <c r="G67" s="7"/>
    </row>
    <row r="68" spans="1:7" ht="15" thickTop="1" x14ac:dyDescent="0.3">
      <c r="A68" s="9"/>
      <c r="B68" s="9"/>
      <c r="C68" s="9"/>
      <c r="D68" s="9"/>
      <c r="G68" s="7"/>
    </row>
    <row r="69" spans="1:7" x14ac:dyDescent="0.3">
      <c r="A69" t="s">
        <v>13</v>
      </c>
      <c r="G69" s="7"/>
    </row>
    <row r="70" spans="1:7" x14ac:dyDescent="0.3">
      <c r="A70" s="1" t="s">
        <v>0</v>
      </c>
      <c r="B70" s="1" t="s">
        <v>1</v>
      </c>
      <c r="C70" s="1" t="s">
        <v>17</v>
      </c>
      <c r="D70" s="1" t="s">
        <v>2</v>
      </c>
      <c r="G70" s="7"/>
    </row>
    <row r="71" spans="1:7" x14ac:dyDescent="0.3">
      <c r="A71" t="s">
        <v>42</v>
      </c>
      <c r="B71" s="3">
        <v>0.25</v>
      </c>
      <c r="C71">
        <v>3</v>
      </c>
      <c r="D71">
        <f>C71*B71</f>
        <v>0.75</v>
      </c>
      <c r="G71" s="7"/>
    </row>
    <row r="72" spans="1:7" x14ac:dyDescent="0.3">
      <c r="A72" t="s">
        <v>41</v>
      </c>
      <c r="B72" s="3">
        <v>0.1</v>
      </c>
      <c r="C72">
        <v>5</v>
      </c>
      <c r="D72">
        <f t="shared" ref="D72:D77" si="6">C72*B72</f>
        <v>0.5</v>
      </c>
      <c r="G72" s="7"/>
    </row>
    <row r="73" spans="1:7" x14ac:dyDescent="0.3">
      <c r="A73" t="s">
        <v>40</v>
      </c>
      <c r="B73" s="3">
        <v>0.1</v>
      </c>
      <c r="C73">
        <v>3</v>
      </c>
      <c r="D73">
        <f t="shared" si="6"/>
        <v>0.30000000000000004</v>
      </c>
      <c r="G73" s="7"/>
    </row>
    <row r="74" spans="1:7" x14ac:dyDescent="0.3">
      <c r="A74" t="s">
        <v>39</v>
      </c>
      <c r="B74" s="3">
        <v>0.1</v>
      </c>
      <c r="C74">
        <v>3</v>
      </c>
      <c r="D74">
        <f t="shared" si="6"/>
        <v>0.30000000000000004</v>
      </c>
      <c r="G74" s="7"/>
    </row>
    <row r="75" spans="1:7" x14ac:dyDescent="0.3">
      <c r="A75" t="s">
        <v>38</v>
      </c>
      <c r="B75" s="3">
        <v>0.1</v>
      </c>
      <c r="C75">
        <v>4</v>
      </c>
      <c r="D75">
        <f t="shared" si="6"/>
        <v>0.4</v>
      </c>
      <c r="G75" s="7"/>
    </row>
    <row r="76" spans="1:7" x14ac:dyDescent="0.3">
      <c r="A76" t="s">
        <v>37</v>
      </c>
      <c r="B76" s="3">
        <v>0.25</v>
      </c>
      <c r="C76">
        <v>4</v>
      </c>
      <c r="D76">
        <f t="shared" si="6"/>
        <v>1</v>
      </c>
      <c r="G76" s="7"/>
    </row>
    <row r="77" spans="1:7" x14ac:dyDescent="0.3">
      <c r="A77" t="s">
        <v>36</v>
      </c>
      <c r="B77" s="3">
        <v>0.1</v>
      </c>
      <c r="C77">
        <v>4</v>
      </c>
      <c r="D77">
        <f t="shared" si="6"/>
        <v>0.4</v>
      </c>
      <c r="G77" s="7"/>
    </row>
    <row r="78" spans="1:7" ht="15" thickBot="1" x14ac:dyDescent="0.35">
      <c r="B78" s="4">
        <f>SUM(B71:B77)</f>
        <v>0.99999999999999989</v>
      </c>
      <c r="D78" s="6">
        <f>SUM(D71:D77)</f>
        <v>3.65</v>
      </c>
      <c r="G78" s="7"/>
    </row>
    <row r="79" spans="1:7" ht="15" thickTop="1" x14ac:dyDescent="0.3">
      <c r="G79" s="7"/>
    </row>
    <row r="80" spans="1:7" x14ac:dyDescent="0.3">
      <c r="A80" t="s">
        <v>14</v>
      </c>
      <c r="G80" s="7"/>
    </row>
    <row r="81" spans="1:7" x14ac:dyDescent="0.3">
      <c r="A81" s="1" t="s">
        <v>0</v>
      </c>
      <c r="B81" s="1" t="s">
        <v>1</v>
      </c>
      <c r="C81" s="1" t="s">
        <v>17</v>
      </c>
      <c r="D81" s="1" t="s">
        <v>2</v>
      </c>
      <c r="G81" s="7"/>
    </row>
    <row r="82" spans="1:7" x14ac:dyDescent="0.3">
      <c r="A82" t="s">
        <v>42</v>
      </c>
      <c r="B82" s="3">
        <v>0.25</v>
      </c>
      <c r="C82">
        <v>4</v>
      </c>
      <c r="D82">
        <f>C82*B82</f>
        <v>1</v>
      </c>
      <c r="G82" s="7"/>
    </row>
    <row r="83" spans="1:7" x14ac:dyDescent="0.3">
      <c r="A83" t="s">
        <v>41</v>
      </c>
      <c r="B83" s="3">
        <v>0.1</v>
      </c>
      <c r="C83">
        <v>5</v>
      </c>
      <c r="D83">
        <f t="shared" ref="D83:D88" si="7">C83*B83</f>
        <v>0.5</v>
      </c>
    </row>
    <row r="84" spans="1:7" x14ac:dyDescent="0.3">
      <c r="A84" t="s">
        <v>40</v>
      </c>
      <c r="B84" s="3">
        <v>0.1</v>
      </c>
      <c r="C84">
        <v>4</v>
      </c>
      <c r="D84">
        <f t="shared" si="7"/>
        <v>0.4</v>
      </c>
      <c r="G84" s="7"/>
    </row>
    <row r="85" spans="1:7" x14ac:dyDescent="0.3">
      <c r="A85" t="s">
        <v>39</v>
      </c>
      <c r="B85" s="3">
        <v>0.1</v>
      </c>
      <c r="C85">
        <v>4</v>
      </c>
      <c r="D85">
        <f t="shared" si="7"/>
        <v>0.4</v>
      </c>
    </row>
    <row r="86" spans="1:7" x14ac:dyDescent="0.3">
      <c r="A86" t="s">
        <v>38</v>
      </c>
      <c r="B86" s="3">
        <v>0.1</v>
      </c>
      <c r="C86">
        <v>4</v>
      </c>
      <c r="D86">
        <f t="shared" si="7"/>
        <v>0.4</v>
      </c>
      <c r="G86" s="7"/>
    </row>
    <row r="87" spans="1:7" x14ac:dyDescent="0.3">
      <c r="A87" t="s">
        <v>37</v>
      </c>
      <c r="B87" s="3">
        <v>0.25</v>
      </c>
      <c r="C87">
        <v>4</v>
      </c>
      <c r="D87">
        <f t="shared" si="7"/>
        <v>1</v>
      </c>
      <c r="G87" s="8"/>
    </row>
    <row r="88" spans="1:7" x14ac:dyDescent="0.3">
      <c r="A88" t="s">
        <v>36</v>
      </c>
      <c r="B88" s="3">
        <v>0.1</v>
      </c>
      <c r="C88">
        <v>4</v>
      </c>
      <c r="D88">
        <f t="shared" si="7"/>
        <v>0.4</v>
      </c>
      <c r="G88" s="8"/>
    </row>
    <row r="89" spans="1:7" ht="15" thickBot="1" x14ac:dyDescent="0.35">
      <c r="B89" s="4">
        <f>SUM(B82:B88)</f>
        <v>0.99999999999999989</v>
      </c>
      <c r="D89" s="6">
        <f>SUM(D82:D88)</f>
        <v>4.0999999999999996</v>
      </c>
    </row>
    <row r="90" spans="1:7" ht="15" thickTop="1" x14ac:dyDescent="0.3">
      <c r="G90" s="7"/>
    </row>
    <row r="91" spans="1:7" x14ac:dyDescent="0.3">
      <c r="A91" t="s">
        <v>15</v>
      </c>
      <c r="G91" s="8"/>
    </row>
    <row r="92" spans="1:7" x14ac:dyDescent="0.3">
      <c r="A92" s="1" t="s">
        <v>0</v>
      </c>
      <c r="B92" s="1" t="s">
        <v>1</v>
      </c>
      <c r="C92" s="1" t="s">
        <v>17</v>
      </c>
      <c r="D92" s="1" t="s">
        <v>2</v>
      </c>
      <c r="G92" s="8"/>
    </row>
    <row r="93" spans="1:7" x14ac:dyDescent="0.3">
      <c r="A93" t="s">
        <v>42</v>
      </c>
      <c r="B93" s="3">
        <v>0.25</v>
      </c>
      <c r="C93">
        <v>3</v>
      </c>
      <c r="D93">
        <f>C93*B93</f>
        <v>0.75</v>
      </c>
      <c r="G93" s="8"/>
    </row>
    <row r="94" spans="1:7" x14ac:dyDescent="0.3">
      <c r="A94" t="s">
        <v>41</v>
      </c>
      <c r="B94" s="3">
        <v>0.1</v>
      </c>
      <c r="C94">
        <v>5</v>
      </c>
      <c r="D94">
        <f t="shared" ref="D94:D99" si="8">C94*B94</f>
        <v>0.5</v>
      </c>
      <c r="G94" s="8"/>
    </row>
    <row r="95" spans="1:7" x14ac:dyDescent="0.3">
      <c r="A95" t="s">
        <v>40</v>
      </c>
      <c r="B95" s="3">
        <v>0.1</v>
      </c>
      <c r="C95">
        <v>3</v>
      </c>
      <c r="D95">
        <f t="shared" si="8"/>
        <v>0.30000000000000004</v>
      </c>
      <c r="G95" s="8"/>
    </row>
    <row r="96" spans="1:7" x14ac:dyDescent="0.3">
      <c r="A96" t="s">
        <v>39</v>
      </c>
      <c r="B96" s="3">
        <v>0.1</v>
      </c>
      <c r="C96">
        <v>3</v>
      </c>
      <c r="D96">
        <f t="shared" si="8"/>
        <v>0.30000000000000004</v>
      </c>
      <c r="G96" s="8"/>
    </row>
    <row r="97" spans="1:7" x14ac:dyDescent="0.3">
      <c r="A97" t="s">
        <v>38</v>
      </c>
      <c r="B97" s="3">
        <v>0.1</v>
      </c>
      <c r="C97">
        <v>4</v>
      </c>
      <c r="D97">
        <f t="shared" si="8"/>
        <v>0.4</v>
      </c>
      <c r="G97" s="8"/>
    </row>
    <row r="98" spans="1:7" x14ac:dyDescent="0.3">
      <c r="A98" t="s">
        <v>37</v>
      </c>
      <c r="B98" s="3">
        <v>0.25</v>
      </c>
      <c r="C98">
        <v>4</v>
      </c>
      <c r="D98">
        <f t="shared" si="8"/>
        <v>1</v>
      </c>
      <c r="G98" s="8"/>
    </row>
    <row r="99" spans="1:7" x14ac:dyDescent="0.3">
      <c r="A99" t="s">
        <v>36</v>
      </c>
      <c r="B99" s="3">
        <v>0.1</v>
      </c>
      <c r="C99">
        <v>4</v>
      </c>
      <c r="D99">
        <f t="shared" si="8"/>
        <v>0.4</v>
      </c>
      <c r="G99" s="8"/>
    </row>
    <row r="100" spans="1:7" ht="15" thickBot="1" x14ac:dyDescent="0.35">
      <c r="B100" s="4">
        <f>SUM(B93:B99)</f>
        <v>0.99999999999999989</v>
      </c>
      <c r="D100" s="6">
        <f>SUM(D93:D99)</f>
        <v>3.65</v>
      </c>
      <c r="G100" s="7"/>
    </row>
    <row r="101" spans="1:7" ht="15" thickTop="1" x14ac:dyDescent="0.3"/>
    <row r="102" spans="1:7" x14ac:dyDescent="0.3">
      <c r="G102" s="7"/>
    </row>
    <row r="103" spans="1:7" x14ac:dyDescent="0.3">
      <c r="G103" s="8"/>
    </row>
    <row r="104" spans="1:7" x14ac:dyDescent="0.3">
      <c r="G104" s="8"/>
    </row>
    <row r="105" spans="1:7" x14ac:dyDescent="0.3">
      <c r="G105" s="8"/>
    </row>
    <row r="107" spans="1:7" x14ac:dyDescent="0.3">
      <c r="G107" s="7"/>
    </row>
    <row r="109" spans="1:7" x14ac:dyDescent="0.3">
      <c r="G109" s="7"/>
    </row>
    <row r="110" spans="1:7" x14ac:dyDescent="0.3">
      <c r="G110" s="8"/>
    </row>
    <row r="111" spans="1:7" x14ac:dyDescent="0.3">
      <c r="G111" s="8"/>
    </row>
    <row r="112" spans="1:7" x14ac:dyDescent="0.3">
      <c r="G112" s="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9EC8F-A6C7-41F6-A6E9-D3EA40BAA45E}">
  <dimension ref="A1:G112"/>
  <sheetViews>
    <sheetView topLeftCell="A84" zoomScale="80" zoomScaleNormal="80" workbookViewId="0">
      <selection activeCell="C100" sqref="C100"/>
    </sheetView>
  </sheetViews>
  <sheetFormatPr defaultRowHeight="14.4" x14ac:dyDescent="0.3"/>
  <cols>
    <col min="1" max="1" width="122.77734375" bestFit="1" customWidth="1"/>
    <col min="2" max="2" width="6.77734375" bestFit="1" customWidth="1"/>
    <col min="3" max="3" width="10.21875" bestFit="1" customWidth="1"/>
    <col min="4" max="4" width="13.88671875" bestFit="1" customWidth="1"/>
    <col min="6" max="6" width="15.33203125" bestFit="1" customWidth="1"/>
  </cols>
  <sheetData>
    <row r="1" spans="1:7" x14ac:dyDescent="0.3">
      <c r="A1" s="2" t="s">
        <v>3</v>
      </c>
      <c r="B1" s="5">
        <v>5</v>
      </c>
    </row>
    <row r="2" spans="1:7" x14ac:dyDescent="0.3">
      <c r="F2" s="10" t="s">
        <v>35</v>
      </c>
      <c r="G2" s="7"/>
    </row>
    <row r="3" spans="1:7" x14ac:dyDescent="0.3">
      <c r="A3" t="s">
        <v>7</v>
      </c>
      <c r="F3">
        <f>D12</f>
        <v>4.0999999999999996</v>
      </c>
      <c r="G3" s="7"/>
    </row>
    <row r="4" spans="1:7" x14ac:dyDescent="0.3">
      <c r="A4" s="1" t="s">
        <v>0</v>
      </c>
      <c r="B4" s="1" t="s">
        <v>1</v>
      </c>
      <c r="C4" s="1" t="s">
        <v>17</v>
      </c>
      <c r="D4" s="1" t="s">
        <v>2</v>
      </c>
      <c r="F4">
        <f>D23</f>
        <v>3.65</v>
      </c>
      <c r="G4" s="7"/>
    </row>
    <row r="5" spans="1:7" x14ac:dyDescent="0.3">
      <c r="A5" t="s">
        <v>42</v>
      </c>
      <c r="B5" s="3">
        <v>0.25</v>
      </c>
      <c r="C5">
        <v>4</v>
      </c>
      <c r="D5">
        <f>C5*B5</f>
        <v>1</v>
      </c>
      <c r="F5">
        <f>D34</f>
        <v>3.75</v>
      </c>
      <c r="G5" s="7"/>
    </row>
    <row r="6" spans="1:7" x14ac:dyDescent="0.3">
      <c r="A6" t="s">
        <v>41</v>
      </c>
      <c r="B6" s="3">
        <v>0.1</v>
      </c>
      <c r="C6">
        <v>5</v>
      </c>
      <c r="D6">
        <f t="shared" ref="D6:D11" si="0">C6*B6</f>
        <v>0.5</v>
      </c>
      <c r="F6">
        <f>D45</f>
        <v>3.3</v>
      </c>
      <c r="G6" s="7"/>
    </row>
    <row r="7" spans="1:7" x14ac:dyDescent="0.3">
      <c r="A7" t="s">
        <v>40</v>
      </c>
      <c r="B7" s="3">
        <v>0.1</v>
      </c>
      <c r="C7">
        <v>4</v>
      </c>
      <c r="D7">
        <f t="shared" si="0"/>
        <v>0.4</v>
      </c>
      <c r="F7">
        <f>D56</f>
        <v>4.0999999999999996</v>
      </c>
      <c r="G7" s="7"/>
    </row>
    <row r="8" spans="1:7" x14ac:dyDescent="0.3">
      <c r="A8" t="s">
        <v>39</v>
      </c>
      <c r="B8" s="3">
        <v>0.1</v>
      </c>
      <c r="C8">
        <v>4</v>
      </c>
      <c r="D8">
        <f t="shared" si="0"/>
        <v>0.4</v>
      </c>
      <c r="F8">
        <f>D67</f>
        <v>3.9999999999999996</v>
      </c>
      <c r="G8" s="7"/>
    </row>
    <row r="9" spans="1:7" x14ac:dyDescent="0.3">
      <c r="A9" t="s">
        <v>38</v>
      </c>
      <c r="B9" s="3">
        <v>0.1</v>
      </c>
      <c r="C9">
        <v>4</v>
      </c>
      <c r="D9">
        <f t="shared" si="0"/>
        <v>0.4</v>
      </c>
      <c r="F9">
        <f>D78</f>
        <v>4.9000000000000004</v>
      </c>
      <c r="G9" s="7"/>
    </row>
    <row r="10" spans="1:7" x14ac:dyDescent="0.3">
      <c r="A10" t="s">
        <v>37</v>
      </c>
      <c r="B10" s="3">
        <v>0.25</v>
      </c>
      <c r="C10">
        <v>4</v>
      </c>
      <c r="D10">
        <f t="shared" si="0"/>
        <v>1</v>
      </c>
      <c r="F10">
        <f>D89</f>
        <v>4.0999999999999996</v>
      </c>
      <c r="G10" s="7"/>
    </row>
    <row r="11" spans="1:7" x14ac:dyDescent="0.3">
      <c r="A11" t="s">
        <v>36</v>
      </c>
      <c r="B11" s="3">
        <v>0.1</v>
      </c>
      <c r="C11">
        <v>4</v>
      </c>
      <c r="D11">
        <f t="shared" si="0"/>
        <v>0.4</v>
      </c>
      <c r="F11">
        <f>D100</f>
        <v>4.6500000000000004</v>
      </c>
      <c r="G11" s="7"/>
    </row>
    <row r="12" spans="1:7" ht="15" thickBot="1" x14ac:dyDescent="0.35">
      <c r="B12" s="4">
        <f>SUM(B5:B11)</f>
        <v>0.99999999999999989</v>
      </c>
      <c r="D12" s="6">
        <f>SUM(D5:D11)</f>
        <v>4.0999999999999996</v>
      </c>
      <c r="G12" s="7"/>
    </row>
    <row r="13" spans="1:7" ht="15" thickTop="1" x14ac:dyDescent="0.3">
      <c r="G13" s="7"/>
    </row>
    <row r="14" spans="1:7" x14ac:dyDescent="0.3">
      <c r="A14" t="s">
        <v>8</v>
      </c>
      <c r="G14" s="7"/>
    </row>
    <row r="15" spans="1:7" x14ac:dyDescent="0.3">
      <c r="A15" s="1" t="s">
        <v>0</v>
      </c>
      <c r="B15" s="1" t="s">
        <v>1</v>
      </c>
      <c r="C15" s="1" t="s">
        <v>17</v>
      </c>
      <c r="D15" s="1" t="s">
        <v>2</v>
      </c>
      <c r="G15" s="7"/>
    </row>
    <row r="16" spans="1:7" x14ac:dyDescent="0.3">
      <c r="A16" t="s">
        <v>42</v>
      </c>
      <c r="B16" s="3">
        <v>0.25</v>
      </c>
      <c r="C16">
        <v>3</v>
      </c>
      <c r="D16">
        <f>C16*B16</f>
        <v>0.75</v>
      </c>
      <c r="G16" s="7"/>
    </row>
    <row r="17" spans="1:7" x14ac:dyDescent="0.3">
      <c r="A17" t="s">
        <v>41</v>
      </c>
      <c r="B17" s="3">
        <v>0.1</v>
      </c>
      <c r="C17">
        <v>5</v>
      </c>
      <c r="D17">
        <f t="shared" ref="D17:D22" si="1">C17*B17</f>
        <v>0.5</v>
      </c>
      <c r="G17" s="7"/>
    </row>
    <row r="18" spans="1:7" x14ac:dyDescent="0.3">
      <c r="A18" t="s">
        <v>40</v>
      </c>
      <c r="B18" s="3">
        <v>0.1</v>
      </c>
      <c r="C18">
        <v>3</v>
      </c>
      <c r="D18">
        <f t="shared" si="1"/>
        <v>0.30000000000000004</v>
      </c>
      <c r="G18" s="7"/>
    </row>
    <row r="19" spans="1:7" x14ac:dyDescent="0.3">
      <c r="A19" t="s">
        <v>39</v>
      </c>
      <c r="B19" s="3">
        <v>0.1</v>
      </c>
      <c r="C19">
        <v>3</v>
      </c>
      <c r="D19">
        <f t="shared" si="1"/>
        <v>0.30000000000000004</v>
      </c>
      <c r="G19" s="7"/>
    </row>
    <row r="20" spans="1:7" x14ac:dyDescent="0.3">
      <c r="A20" t="s">
        <v>38</v>
      </c>
      <c r="B20" s="3">
        <v>0.1</v>
      </c>
      <c r="C20">
        <v>4</v>
      </c>
      <c r="D20">
        <f t="shared" si="1"/>
        <v>0.4</v>
      </c>
      <c r="G20" s="7"/>
    </row>
    <row r="21" spans="1:7" x14ac:dyDescent="0.3">
      <c r="A21" t="s">
        <v>37</v>
      </c>
      <c r="B21" s="3">
        <v>0.25</v>
      </c>
      <c r="C21">
        <v>4</v>
      </c>
      <c r="D21">
        <f t="shared" si="1"/>
        <v>1</v>
      </c>
      <c r="G21" s="7"/>
    </row>
    <row r="22" spans="1:7" x14ac:dyDescent="0.3">
      <c r="A22" t="s">
        <v>36</v>
      </c>
      <c r="B22" s="3">
        <v>0.1</v>
      </c>
      <c r="C22">
        <v>4</v>
      </c>
      <c r="D22">
        <f t="shared" si="1"/>
        <v>0.4</v>
      </c>
      <c r="G22" s="7"/>
    </row>
    <row r="23" spans="1:7" ht="15" thickBot="1" x14ac:dyDescent="0.35">
      <c r="B23" s="4">
        <f>SUM(B16:B22)</f>
        <v>0.99999999999999989</v>
      </c>
      <c r="D23" s="6">
        <f>SUM(D16:D22)</f>
        <v>3.65</v>
      </c>
      <c r="G23" s="7"/>
    </row>
    <row r="24" spans="1:7" ht="15" thickTop="1" x14ac:dyDescent="0.3">
      <c r="G24" s="7"/>
    </row>
    <row r="25" spans="1:7" x14ac:dyDescent="0.3">
      <c r="A25" t="s">
        <v>9</v>
      </c>
      <c r="G25" s="7"/>
    </row>
    <row r="26" spans="1:7" x14ac:dyDescent="0.3">
      <c r="A26" s="1" t="s">
        <v>0</v>
      </c>
      <c r="B26" s="1" t="s">
        <v>1</v>
      </c>
      <c r="C26" s="1" t="s">
        <v>17</v>
      </c>
      <c r="D26" s="1" t="s">
        <v>2</v>
      </c>
      <c r="G26" s="7"/>
    </row>
    <row r="27" spans="1:7" x14ac:dyDescent="0.3">
      <c r="A27" t="s">
        <v>42</v>
      </c>
      <c r="B27" s="3">
        <v>0.25</v>
      </c>
      <c r="C27">
        <v>3</v>
      </c>
      <c r="D27">
        <f>C27*B27</f>
        <v>0.75</v>
      </c>
      <c r="G27" s="7"/>
    </row>
    <row r="28" spans="1:7" x14ac:dyDescent="0.3">
      <c r="A28" t="s">
        <v>41</v>
      </c>
      <c r="B28" s="3">
        <v>0.1</v>
      </c>
      <c r="C28">
        <v>5</v>
      </c>
      <c r="D28">
        <f t="shared" ref="D28:D33" si="2">C28*B28</f>
        <v>0.5</v>
      </c>
      <c r="G28" s="7"/>
    </row>
    <row r="29" spans="1:7" x14ac:dyDescent="0.3">
      <c r="A29" t="s">
        <v>40</v>
      </c>
      <c r="B29" s="3">
        <v>0.1</v>
      </c>
      <c r="C29">
        <v>4</v>
      </c>
      <c r="D29">
        <f t="shared" si="2"/>
        <v>0.4</v>
      </c>
      <c r="G29" s="7"/>
    </row>
    <row r="30" spans="1:7" x14ac:dyDescent="0.3">
      <c r="A30" t="s">
        <v>39</v>
      </c>
      <c r="B30" s="3">
        <v>0.1</v>
      </c>
      <c r="C30">
        <v>4</v>
      </c>
      <c r="D30">
        <f t="shared" si="2"/>
        <v>0.4</v>
      </c>
      <c r="G30" s="7"/>
    </row>
    <row r="31" spans="1:7" x14ac:dyDescent="0.3">
      <c r="A31" t="s">
        <v>38</v>
      </c>
      <c r="B31" s="3">
        <v>0.1</v>
      </c>
      <c r="C31">
        <v>4</v>
      </c>
      <c r="D31">
        <f t="shared" si="2"/>
        <v>0.4</v>
      </c>
      <c r="G31" s="7"/>
    </row>
    <row r="32" spans="1:7" x14ac:dyDescent="0.3">
      <c r="A32" t="s">
        <v>37</v>
      </c>
      <c r="B32" s="3">
        <v>0.25</v>
      </c>
      <c r="C32">
        <v>4</v>
      </c>
      <c r="D32">
        <f t="shared" si="2"/>
        <v>1</v>
      </c>
      <c r="G32" s="7"/>
    </row>
    <row r="33" spans="1:7" x14ac:dyDescent="0.3">
      <c r="A33" t="s">
        <v>36</v>
      </c>
      <c r="B33" s="3">
        <v>0.1</v>
      </c>
      <c r="C33">
        <v>3</v>
      </c>
      <c r="D33">
        <f t="shared" si="2"/>
        <v>0.30000000000000004</v>
      </c>
      <c r="G33" s="7"/>
    </row>
    <row r="34" spans="1:7" ht="15" thickBot="1" x14ac:dyDescent="0.35">
      <c r="B34" s="4">
        <f>SUM(B27:B33)</f>
        <v>0.99999999999999989</v>
      </c>
      <c r="D34" s="6">
        <f>SUM(D27:D33)</f>
        <v>3.75</v>
      </c>
      <c r="G34" s="7"/>
    </row>
    <row r="35" spans="1:7" ht="15" thickTop="1" x14ac:dyDescent="0.3">
      <c r="G35" s="7"/>
    </row>
    <row r="36" spans="1:7" x14ac:dyDescent="0.3">
      <c r="A36" t="s">
        <v>10</v>
      </c>
      <c r="G36" s="7"/>
    </row>
    <row r="37" spans="1:7" x14ac:dyDescent="0.3">
      <c r="A37" s="1" t="s">
        <v>0</v>
      </c>
      <c r="B37" s="1" t="s">
        <v>1</v>
      </c>
      <c r="C37" s="1" t="s">
        <v>17</v>
      </c>
      <c r="D37" s="1" t="s">
        <v>2</v>
      </c>
      <c r="G37" s="7"/>
    </row>
    <row r="38" spans="1:7" x14ac:dyDescent="0.3">
      <c r="A38" t="s">
        <v>42</v>
      </c>
      <c r="B38" s="3">
        <v>0.25</v>
      </c>
      <c r="C38">
        <v>3</v>
      </c>
      <c r="D38">
        <f>C38*B38</f>
        <v>0.75</v>
      </c>
      <c r="G38" s="7"/>
    </row>
    <row r="39" spans="1:7" x14ac:dyDescent="0.3">
      <c r="A39" t="s">
        <v>41</v>
      </c>
      <c r="B39" s="3">
        <v>0.1</v>
      </c>
      <c r="C39">
        <v>4</v>
      </c>
      <c r="D39">
        <f t="shared" ref="D39:D44" si="3">C39*B39</f>
        <v>0.4</v>
      </c>
      <c r="G39" s="7"/>
    </row>
    <row r="40" spans="1:7" x14ac:dyDescent="0.3">
      <c r="A40" t="s">
        <v>40</v>
      </c>
      <c r="B40" s="3">
        <v>0.1</v>
      </c>
      <c r="C40">
        <v>3</v>
      </c>
      <c r="D40">
        <f t="shared" si="3"/>
        <v>0.30000000000000004</v>
      </c>
      <c r="G40" s="7"/>
    </row>
    <row r="41" spans="1:7" x14ac:dyDescent="0.3">
      <c r="A41" t="s">
        <v>39</v>
      </c>
      <c r="B41" s="3">
        <v>0.1</v>
      </c>
      <c r="C41">
        <v>3</v>
      </c>
      <c r="D41">
        <f t="shared" si="3"/>
        <v>0.30000000000000004</v>
      </c>
      <c r="G41" s="7"/>
    </row>
    <row r="42" spans="1:7" x14ac:dyDescent="0.3">
      <c r="A42" t="s">
        <v>38</v>
      </c>
      <c r="B42" s="3">
        <v>0.1</v>
      </c>
      <c r="C42">
        <v>4</v>
      </c>
      <c r="D42">
        <f t="shared" si="3"/>
        <v>0.4</v>
      </c>
      <c r="G42" s="7"/>
    </row>
    <row r="43" spans="1:7" x14ac:dyDescent="0.3">
      <c r="A43" t="s">
        <v>37</v>
      </c>
      <c r="B43" s="3">
        <v>0.25</v>
      </c>
      <c r="C43">
        <v>3</v>
      </c>
      <c r="D43">
        <f t="shared" si="3"/>
        <v>0.75</v>
      </c>
      <c r="G43" s="7"/>
    </row>
    <row r="44" spans="1:7" x14ac:dyDescent="0.3">
      <c r="A44" t="s">
        <v>36</v>
      </c>
      <c r="B44" s="3">
        <v>0.1</v>
      </c>
      <c r="C44">
        <v>4</v>
      </c>
      <c r="D44">
        <f t="shared" si="3"/>
        <v>0.4</v>
      </c>
      <c r="G44" s="7"/>
    </row>
    <row r="45" spans="1:7" ht="15" thickBot="1" x14ac:dyDescent="0.35">
      <c r="B45" s="4">
        <f>SUM(B38:B44)</f>
        <v>0.99999999999999989</v>
      </c>
      <c r="D45" s="6">
        <f>SUM(D38:D44)</f>
        <v>3.3</v>
      </c>
      <c r="G45" s="7"/>
    </row>
    <row r="46" spans="1:7" ht="15" thickTop="1" x14ac:dyDescent="0.3">
      <c r="A46" s="9"/>
      <c r="B46" s="9"/>
      <c r="C46" s="9"/>
      <c r="D46" s="9"/>
      <c r="G46" s="7"/>
    </row>
    <row r="47" spans="1:7" x14ac:dyDescent="0.3">
      <c r="A47" t="s">
        <v>11</v>
      </c>
      <c r="G47" s="7"/>
    </row>
    <row r="48" spans="1:7" x14ac:dyDescent="0.3">
      <c r="A48" s="1" t="s">
        <v>0</v>
      </c>
      <c r="B48" s="1" t="s">
        <v>1</v>
      </c>
      <c r="C48" s="1" t="s">
        <v>17</v>
      </c>
      <c r="D48" s="1" t="s">
        <v>2</v>
      </c>
      <c r="G48" s="7"/>
    </row>
    <row r="49" spans="1:7" x14ac:dyDescent="0.3">
      <c r="A49" t="s">
        <v>42</v>
      </c>
      <c r="B49" s="3">
        <v>0.25</v>
      </c>
      <c r="C49">
        <v>4</v>
      </c>
      <c r="D49">
        <f t="shared" ref="D49:D55" si="4">C49*B49</f>
        <v>1</v>
      </c>
      <c r="G49" s="7"/>
    </row>
    <row r="50" spans="1:7" x14ac:dyDescent="0.3">
      <c r="A50" t="s">
        <v>41</v>
      </c>
      <c r="B50" s="3">
        <v>0.1</v>
      </c>
      <c r="C50">
        <v>5</v>
      </c>
      <c r="D50">
        <f t="shared" si="4"/>
        <v>0.5</v>
      </c>
      <c r="G50" s="7"/>
    </row>
    <row r="51" spans="1:7" x14ac:dyDescent="0.3">
      <c r="A51" t="s">
        <v>40</v>
      </c>
      <c r="B51" s="3">
        <v>0.1</v>
      </c>
      <c r="C51">
        <v>4</v>
      </c>
      <c r="D51">
        <f t="shared" si="4"/>
        <v>0.4</v>
      </c>
      <c r="G51" s="7"/>
    </row>
    <row r="52" spans="1:7" x14ac:dyDescent="0.3">
      <c r="A52" t="s">
        <v>39</v>
      </c>
      <c r="B52" s="3">
        <v>0.1</v>
      </c>
      <c r="C52">
        <v>4</v>
      </c>
      <c r="D52">
        <f t="shared" si="4"/>
        <v>0.4</v>
      </c>
      <c r="G52" s="7"/>
    </row>
    <row r="53" spans="1:7" x14ac:dyDescent="0.3">
      <c r="A53" t="s">
        <v>38</v>
      </c>
      <c r="B53" s="3">
        <v>0.1</v>
      </c>
      <c r="C53">
        <v>4</v>
      </c>
      <c r="D53">
        <f t="shared" si="4"/>
        <v>0.4</v>
      </c>
      <c r="G53" s="7"/>
    </row>
    <row r="54" spans="1:7" x14ac:dyDescent="0.3">
      <c r="A54" t="s">
        <v>37</v>
      </c>
      <c r="B54" s="3">
        <v>0.25</v>
      </c>
      <c r="C54">
        <v>4</v>
      </c>
      <c r="D54">
        <f t="shared" si="4"/>
        <v>1</v>
      </c>
      <c r="G54" s="7"/>
    </row>
    <row r="55" spans="1:7" x14ac:dyDescent="0.3">
      <c r="A55" t="s">
        <v>36</v>
      </c>
      <c r="B55" s="3">
        <v>0.1</v>
      </c>
      <c r="C55">
        <v>4</v>
      </c>
      <c r="D55">
        <f t="shared" si="4"/>
        <v>0.4</v>
      </c>
      <c r="G55" s="7"/>
    </row>
    <row r="56" spans="1:7" ht="15" thickBot="1" x14ac:dyDescent="0.35">
      <c r="B56" s="4">
        <f>SUM(B49:B55)</f>
        <v>0.99999999999999989</v>
      </c>
      <c r="D56" s="6">
        <f>SUM(D49:D55)</f>
        <v>4.0999999999999996</v>
      </c>
      <c r="G56" s="7"/>
    </row>
    <row r="57" spans="1:7" ht="15" thickTop="1" x14ac:dyDescent="0.3">
      <c r="A57" s="9"/>
      <c r="B57" s="9"/>
      <c r="C57" s="9"/>
      <c r="D57" s="9"/>
      <c r="G57" s="7"/>
    </row>
    <row r="58" spans="1:7" x14ac:dyDescent="0.3">
      <c r="A58" t="s">
        <v>12</v>
      </c>
      <c r="G58" s="7"/>
    </row>
    <row r="59" spans="1:7" x14ac:dyDescent="0.3">
      <c r="A59" s="1" t="s">
        <v>0</v>
      </c>
      <c r="B59" s="1" t="s">
        <v>1</v>
      </c>
      <c r="C59" s="1" t="s">
        <v>17</v>
      </c>
      <c r="D59" s="1" t="s">
        <v>2</v>
      </c>
      <c r="G59" s="7"/>
    </row>
    <row r="60" spans="1:7" x14ac:dyDescent="0.3">
      <c r="A60" t="s">
        <v>42</v>
      </c>
      <c r="B60" s="3">
        <v>0.25</v>
      </c>
      <c r="C60">
        <v>4</v>
      </c>
      <c r="D60">
        <f t="shared" ref="D60:D66" si="5">C60*B60</f>
        <v>1</v>
      </c>
      <c r="G60" s="7"/>
    </row>
    <row r="61" spans="1:7" x14ac:dyDescent="0.3">
      <c r="A61" t="s">
        <v>41</v>
      </c>
      <c r="B61" s="3">
        <v>0.1</v>
      </c>
      <c r="C61">
        <v>5</v>
      </c>
      <c r="D61">
        <f t="shared" si="5"/>
        <v>0.5</v>
      </c>
      <c r="G61" s="7"/>
    </row>
    <row r="62" spans="1:7" x14ac:dyDescent="0.3">
      <c r="A62" t="s">
        <v>40</v>
      </c>
      <c r="B62" s="3">
        <v>0.1</v>
      </c>
      <c r="C62">
        <v>4</v>
      </c>
      <c r="D62">
        <f t="shared" si="5"/>
        <v>0.4</v>
      </c>
      <c r="G62" s="7"/>
    </row>
    <row r="63" spans="1:7" x14ac:dyDescent="0.3">
      <c r="A63" t="s">
        <v>39</v>
      </c>
      <c r="B63" s="3">
        <v>0.1</v>
      </c>
      <c r="C63">
        <v>4</v>
      </c>
      <c r="D63">
        <f t="shared" si="5"/>
        <v>0.4</v>
      </c>
      <c r="G63" s="7"/>
    </row>
    <row r="64" spans="1:7" x14ac:dyDescent="0.3">
      <c r="A64" t="s">
        <v>38</v>
      </c>
      <c r="B64" s="3">
        <v>0.1</v>
      </c>
      <c r="C64">
        <v>3</v>
      </c>
      <c r="D64">
        <f t="shared" si="5"/>
        <v>0.30000000000000004</v>
      </c>
      <c r="G64" s="7"/>
    </row>
    <row r="65" spans="1:7" x14ac:dyDescent="0.3">
      <c r="A65" t="s">
        <v>37</v>
      </c>
      <c r="B65" s="3">
        <v>0.25</v>
      </c>
      <c r="C65">
        <v>4</v>
      </c>
      <c r="D65">
        <f t="shared" si="5"/>
        <v>1</v>
      </c>
      <c r="G65" s="7"/>
    </row>
    <row r="66" spans="1:7" x14ac:dyDescent="0.3">
      <c r="A66" t="s">
        <v>36</v>
      </c>
      <c r="B66" s="3">
        <v>0.1</v>
      </c>
      <c r="C66">
        <v>4</v>
      </c>
      <c r="D66">
        <f t="shared" si="5"/>
        <v>0.4</v>
      </c>
      <c r="G66" s="7"/>
    </row>
    <row r="67" spans="1:7" ht="15" thickBot="1" x14ac:dyDescent="0.35">
      <c r="B67" s="4">
        <f>SUM(B60:B66)</f>
        <v>0.99999999999999989</v>
      </c>
      <c r="D67" s="6">
        <f>SUM(D60:D66)</f>
        <v>3.9999999999999996</v>
      </c>
      <c r="G67" s="7"/>
    </row>
    <row r="68" spans="1:7" ht="15" thickTop="1" x14ac:dyDescent="0.3">
      <c r="A68" s="9"/>
      <c r="B68" s="9"/>
      <c r="C68" s="9"/>
      <c r="D68" s="9"/>
      <c r="G68" s="7"/>
    </row>
    <row r="69" spans="1:7" x14ac:dyDescent="0.3">
      <c r="A69" t="s">
        <v>13</v>
      </c>
      <c r="G69" s="7"/>
    </row>
    <row r="70" spans="1:7" x14ac:dyDescent="0.3">
      <c r="A70" s="1" t="s">
        <v>0</v>
      </c>
      <c r="B70" s="1" t="s">
        <v>1</v>
      </c>
      <c r="C70" s="1" t="s">
        <v>17</v>
      </c>
      <c r="D70" s="1" t="s">
        <v>2</v>
      </c>
      <c r="G70" s="7"/>
    </row>
    <row r="71" spans="1:7" x14ac:dyDescent="0.3">
      <c r="A71" t="s">
        <v>42</v>
      </c>
      <c r="B71" s="3">
        <v>0.25</v>
      </c>
      <c r="C71">
        <v>5</v>
      </c>
      <c r="D71">
        <f>C71*B71</f>
        <v>1.25</v>
      </c>
      <c r="G71" s="7"/>
    </row>
    <row r="72" spans="1:7" x14ac:dyDescent="0.3">
      <c r="A72" t="s">
        <v>41</v>
      </c>
      <c r="B72" s="3">
        <v>0.1</v>
      </c>
      <c r="C72">
        <v>5</v>
      </c>
      <c r="D72">
        <f t="shared" ref="D72:D77" si="6">C72*B72</f>
        <v>0.5</v>
      </c>
      <c r="G72" s="7"/>
    </row>
    <row r="73" spans="1:7" x14ac:dyDescent="0.3">
      <c r="A73" t="s">
        <v>40</v>
      </c>
      <c r="B73" s="3">
        <v>0.1</v>
      </c>
      <c r="C73">
        <v>5</v>
      </c>
      <c r="D73">
        <f t="shared" si="6"/>
        <v>0.5</v>
      </c>
      <c r="G73" s="7"/>
    </row>
    <row r="74" spans="1:7" x14ac:dyDescent="0.3">
      <c r="A74" t="s">
        <v>39</v>
      </c>
      <c r="B74" s="3">
        <v>0.1</v>
      </c>
      <c r="C74">
        <v>5</v>
      </c>
      <c r="D74">
        <f t="shared" si="6"/>
        <v>0.5</v>
      </c>
      <c r="G74" s="7"/>
    </row>
    <row r="75" spans="1:7" x14ac:dyDescent="0.3">
      <c r="A75" t="s">
        <v>38</v>
      </c>
      <c r="B75" s="3">
        <v>0.1</v>
      </c>
      <c r="C75">
        <v>4</v>
      </c>
      <c r="D75">
        <f t="shared" si="6"/>
        <v>0.4</v>
      </c>
      <c r="G75" s="7"/>
    </row>
    <row r="76" spans="1:7" x14ac:dyDescent="0.3">
      <c r="A76" t="s">
        <v>37</v>
      </c>
      <c r="B76" s="3">
        <v>0.25</v>
      </c>
      <c r="C76">
        <v>5</v>
      </c>
      <c r="D76">
        <f t="shared" si="6"/>
        <v>1.25</v>
      </c>
      <c r="G76" s="7"/>
    </row>
    <row r="77" spans="1:7" x14ac:dyDescent="0.3">
      <c r="A77" t="s">
        <v>36</v>
      </c>
      <c r="B77" s="3">
        <v>0.1</v>
      </c>
      <c r="C77">
        <v>5</v>
      </c>
      <c r="D77">
        <f t="shared" si="6"/>
        <v>0.5</v>
      </c>
      <c r="G77" s="7"/>
    </row>
    <row r="78" spans="1:7" ht="15" thickBot="1" x14ac:dyDescent="0.35">
      <c r="B78" s="4">
        <f>SUM(B71:B77)</f>
        <v>0.99999999999999989</v>
      </c>
      <c r="D78" s="6">
        <f>SUM(D71:D77)</f>
        <v>4.9000000000000004</v>
      </c>
      <c r="G78" s="7"/>
    </row>
    <row r="79" spans="1:7" ht="15" thickTop="1" x14ac:dyDescent="0.3">
      <c r="G79" s="7"/>
    </row>
    <row r="80" spans="1:7" x14ac:dyDescent="0.3">
      <c r="A80" t="s">
        <v>14</v>
      </c>
      <c r="G80" s="7"/>
    </row>
    <row r="81" spans="1:7" x14ac:dyDescent="0.3">
      <c r="A81" s="1" t="s">
        <v>0</v>
      </c>
      <c r="B81" s="1" t="s">
        <v>1</v>
      </c>
      <c r="C81" s="1" t="s">
        <v>17</v>
      </c>
      <c r="D81" s="1" t="s">
        <v>2</v>
      </c>
      <c r="G81" s="7"/>
    </row>
    <row r="82" spans="1:7" x14ac:dyDescent="0.3">
      <c r="A82" t="s">
        <v>42</v>
      </c>
      <c r="B82" s="3">
        <v>0.25</v>
      </c>
      <c r="C82">
        <v>4</v>
      </c>
      <c r="D82">
        <f>C82*B82</f>
        <v>1</v>
      </c>
      <c r="G82" s="7"/>
    </row>
    <row r="83" spans="1:7" x14ac:dyDescent="0.3">
      <c r="A83" t="s">
        <v>41</v>
      </c>
      <c r="B83" s="3">
        <v>0.1</v>
      </c>
      <c r="C83">
        <v>5</v>
      </c>
      <c r="D83">
        <f t="shared" ref="D83:D88" si="7">C83*B83</f>
        <v>0.5</v>
      </c>
    </row>
    <row r="84" spans="1:7" x14ac:dyDescent="0.3">
      <c r="A84" t="s">
        <v>40</v>
      </c>
      <c r="B84" s="3">
        <v>0.1</v>
      </c>
      <c r="C84">
        <v>4</v>
      </c>
      <c r="D84">
        <f t="shared" si="7"/>
        <v>0.4</v>
      </c>
      <c r="G84" s="7"/>
    </row>
    <row r="85" spans="1:7" x14ac:dyDescent="0.3">
      <c r="A85" t="s">
        <v>39</v>
      </c>
      <c r="B85" s="3">
        <v>0.1</v>
      </c>
      <c r="C85">
        <v>4</v>
      </c>
      <c r="D85">
        <f t="shared" si="7"/>
        <v>0.4</v>
      </c>
    </row>
    <row r="86" spans="1:7" x14ac:dyDescent="0.3">
      <c r="A86" t="s">
        <v>38</v>
      </c>
      <c r="B86" s="3">
        <v>0.1</v>
      </c>
      <c r="C86">
        <v>4</v>
      </c>
      <c r="D86">
        <f t="shared" si="7"/>
        <v>0.4</v>
      </c>
      <c r="G86" s="7"/>
    </row>
    <row r="87" spans="1:7" x14ac:dyDescent="0.3">
      <c r="A87" t="s">
        <v>37</v>
      </c>
      <c r="B87" s="3">
        <v>0.25</v>
      </c>
      <c r="C87">
        <v>4</v>
      </c>
      <c r="D87">
        <f t="shared" si="7"/>
        <v>1</v>
      </c>
      <c r="G87" s="8"/>
    </row>
    <row r="88" spans="1:7" x14ac:dyDescent="0.3">
      <c r="A88" t="s">
        <v>36</v>
      </c>
      <c r="B88" s="3">
        <v>0.1</v>
      </c>
      <c r="C88">
        <v>4</v>
      </c>
      <c r="D88">
        <f t="shared" si="7"/>
        <v>0.4</v>
      </c>
      <c r="G88" s="8"/>
    </row>
    <row r="89" spans="1:7" ht="15" thickBot="1" x14ac:dyDescent="0.35">
      <c r="B89" s="4">
        <f>SUM(B82:B88)</f>
        <v>0.99999999999999989</v>
      </c>
      <c r="D89" s="6">
        <f>SUM(D82:D88)</f>
        <v>4.0999999999999996</v>
      </c>
    </row>
    <row r="90" spans="1:7" ht="15" thickTop="1" x14ac:dyDescent="0.3">
      <c r="G90" s="7"/>
    </row>
    <row r="91" spans="1:7" x14ac:dyDescent="0.3">
      <c r="A91" t="s">
        <v>15</v>
      </c>
      <c r="G91" s="8"/>
    </row>
    <row r="92" spans="1:7" x14ac:dyDescent="0.3">
      <c r="A92" s="1" t="s">
        <v>0</v>
      </c>
      <c r="B92" s="1" t="s">
        <v>1</v>
      </c>
      <c r="C92" s="1" t="s">
        <v>17</v>
      </c>
      <c r="D92" s="1" t="s">
        <v>2</v>
      </c>
      <c r="G92" s="8"/>
    </row>
    <row r="93" spans="1:7" x14ac:dyDescent="0.3">
      <c r="A93" t="s">
        <v>42</v>
      </c>
      <c r="B93" s="3">
        <v>0.25</v>
      </c>
      <c r="C93">
        <v>4</v>
      </c>
      <c r="D93">
        <f>C93*B93</f>
        <v>1</v>
      </c>
      <c r="G93" s="8"/>
    </row>
    <row r="94" spans="1:7" x14ac:dyDescent="0.3">
      <c r="A94" t="s">
        <v>41</v>
      </c>
      <c r="B94" s="3">
        <v>0.1</v>
      </c>
      <c r="C94">
        <v>5</v>
      </c>
      <c r="D94">
        <f t="shared" ref="D94:D99" si="8">C94*B94</f>
        <v>0.5</v>
      </c>
      <c r="G94" s="8"/>
    </row>
    <row r="95" spans="1:7" x14ac:dyDescent="0.3">
      <c r="A95" t="s">
        <v>40</v>
      </c>
      <c r="B95" s="3">
        <v>0.1</v>
      </c>
      <c r="C95">
        <v>5</v>
      </c>
      <c r="D95">
        <f t="shared" si="8"/>
        <v>0.5</v>
      </c>
      <c r="G95" s="8"/>
    </row>
    <row r="96" spans="1:7" x14ac:dyDescent="0.3">
      <c r="A96" t="s">
        <v>39</v>
      </c>
      <c r="B96" s="3">
        <v>0.1</v>
      </c>
      <c r="C96">
        <v>5</v>
      </c>
      <c r="D96">
        <f t="shared" si="8"/>
        <v>0.5</v>
      </c>
      <c r="G96" s="8"/>
    </row>
    <row r="97" spans="1:7" x14ac:dyDescent="0.3">
      <c r="A97" t="s">
        <v>38</v>
      </c>
      <c r="B97" s="3">
        <v>0.1</v>
      </c>
      <c r="C97">
        <v>5</v>
      </c>
      <c r="D97">
        <f t="shared" si="8"/>
        <v>0.5</v>
      </c>
      <c r="G97" s="8"/>
    </row>
    <row r="98" spans="1:7" x14ac:dyDescent="0.3">
      <c r="A98" t="s">
        <v>37</v>
      </c>
      <c r="B98" s="3">
        <v>0.25</v>
      </c>
      <c r="C98">
        <v>5</v>
      </c>
      <c r="D98">
        <f t="shared" si="8"/>
        <v>1.25</v>
      </c>
      <c r="G98" s="8"/>
    </row>
    <row r="99" spans="1:7" x14ac:dyDescent="0.3">
      <c r="A99" t="s">
        <v>36</v>
      </c>
      <c r="B99" s="3">
        <v>0.1</v>
      </c>
      <c r="C99">
        <v>4</v>
      </c>
      <c r="D99">
        <f t="shared" si="8"/>
        <v>0.4</v>
      </c>
      <c r="G99" s="8"/>
    </row>
    <row r="100" spans="1:7" ht="15" thickBot="1" x14ac:dyDescent="0.35">
      <c r="B100" s="4">
        <f>SUM(B93:B99)</f>
        <v>0.99999999999999989</v>
      </c>
      <c r="D100" s="6">
        <f>SUM(D93:D99)</f>
        <v>4.6500000000000004</v>
      </c>
      <c r="G100" s="7"/>
    </row>
    <row r="101" spans="1:7" ht="15" thickTop="1" x14ac:dyDescent="0.3"/>
    <row r="102" spans="1:7" x14ac:dyDescent="0.3">
      <c r="G102" s="7"/>
    </row>
    <row r="103" spans="1:7" x14ac:dyDescent="0.3">
      <c r="G103" s="8"/>
    </row>
    <row r="104" spans="1:7" x14ac:dyDescent="0.3">
      <c r="G104" s="8"/>
    </row>
    <row r="105" spans="1:7" x14ac:dyDescent="0.3">
      <c r="G105" s="8"/>
    </row>
    <row r="107" spans="1:7" x14ac:dyDescent="0.3">
      <c r="G107" s="7"/>
    </row>
    <row r="109" spans="1:7" x14ac:dyDescent="0.3">
      <c r="G109" s="7"/>
    </row>
    <row r="110" spans="1:7" x14ac:dyDescent="0.3">
      <c r="G110" s="8"/>
    </row>
    <row r="111" spans="1:7" x14ac:dyDescent="0.3">
      <c r="G111" s="8"/>
    </row>
    <row r="112" spans="1:7" x14ac:dyDescent="0.3">
      <c r="G112" s="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7ECC3-A495-4A2B-BCA0-4343CDBB635E}">
  <dimension ref="A1:G112"/>
  <sheetViews>
    <sheetView topLeftCell="A90" zoomScale="80" zoomScaleNormal="80" workbookViewId="0">
      <selection activeCell="C100" sqref="C100"/>
    </sheetView>
  </sheetViews>
  <sheetFormatPr defaultRowHeight="14.4" x14ac:dyDescent="0.3"/>
  <cols>
    <col min="1" max="1" width="122.77734375" bestFit="1" customWidth="1"/>
    <col min="2" max="2" width="6.77734375" bestFit="1" customWidth="1"/>
    <col min="3" max="3" width="10.21875" bestFit="1" customWidth="1"/>
    <col min="4" max="4" width="13.88671875" bestFit="1" customWidth="1"/>
    <col min="6" max="6" width="15.33203125" bestFit="1" customWidth="1"/>
  </cols>
  <sheetData>
    <row r="1" spans="1:7" x14ac:dyDescent="0.3">
      <c r="A1" s="2" t="s">
        <v>3</v>
      </c>
      <c r="B1" s="5">
        <v>5</v>
      </c>
    </row>
    <row r="2" spans="1:7" x14ac:dyDescent="0.3">
      <c r="F2" s="10" t="s">
        <v>35</v>
      </c>
      <c r="G2" s="7"/>
    </row>
    <row r="3" spans="1:7" x14ac:dyDescent="0.3">
      <c r="A3" t="s">
        <v>7</v>
      </c>
      <c r="F3">
        <f>D12</f>
        <v>4.0999999999999996</v>
      </c>
      <c r="G3" s="7"/>
    </row>
    <row r="4" spans="1:7" x14ac:dyDescent="0.3">
      <c r="A4" s="1" t="s">
        <v>0</v>
      </c>
      <c r="B4" s="1" t="s">
        <v>1</v>
      </c>
      <c r="C4" s="1" t="s">
        <v>17</v>
      </c>
      <c r="D4" s="1" t="s">
        <v>2</v>
      </c>
      <c r="F4">
        <f>D23</f>
        <v>4.3</v>
      </c>
      <c r="G4" s="7"/>
    </row>
    <row r="5" spans="1:7" x14ac:dyDescent="0.3">
      <c r="A5" t="s">
        <v>42</v>
      </c>
      <c r="B5" s="3">
        <v>0.25</v>
      </c>
      <c r="C5">
        <v>4</v>
      </c>
      <c r="D5">
        <f>C5*B5</f>
        <v>1</v>
      </c>
      <c r="F5">
        <f>D34</f>
        <v>4.3</v>
      </c>
      <c r="G5" s="7"/>
    </row>
    <row r="6" spans="1:7" x14ac:dyDescent="0.3">
      <c r="A6" t="s">
        <v>41</v>
      </c>
      <c r="B6" s="3">
        <v>0.1</v>
      </c>
      <c r="C6">
        <v>5</v>
      </c>
      <c r="D6">
        <f t="shared" ref="D6:D11" si="0">C6*B6</f>
        <v>0.5</v>
      </c>
      <c r="F6">
        <f>D45</f>
        <v>4.0999999999999996</v>
      </c>
      <c r="G6" s="7"/>
    </row>
    <row r="7" spans="1:7" x14ac:dyDescent="0.3">
      <c r="A7" t="s">
        <v>40</v>
      </c>
      <c r="B7" s="3">
        <v>0.1</v>
      </c>
      <c r="C7">
        <v>4</v>
      </c>
      <c r="D7">
        <f t="shared" si="0"/>
        <v>0.4</v>
      </c>
      <c r="F7">
        <f>D56</f>
        <v>4.2</v>
      </c>
      <c r="G7" s="7"/>
    </row>
    <row r="8" spans="1:7" x14ac:dyDescent="0.3">
      <c r="A8" t="s">
        <v>39</v>
      </c>
      <c r="B8" s="3">
        <v>0.1</v>
      </c>
      <c r="C8">
        <v>4</v>
      </c>
      <c r="D8">
        <f t="shared" si="0"/>
        <v>0.4</v>
      </c>
      <c r="F8">
        <f>D67</f>
        <v>4.2</v>
      </c>
      <c r="G8" s="7"/>
    </row>
    <row r="9" spans="1:7" x14ac:dyDescent="0.3">
      <c r="A9" t="s">
        <v>38</v>
      </c>
      <c r="B9" s="3">
        <v>0.1</v>
      </c>
      <c r="C9">
        <v>3</v>
      </c>
      <c r="D9">
        <f t="shared" si="0"/>
        <v>0.30000000000000004</v>
      </c>
      <c r="F9">
        <f>D78</f>
        <v>3.4000000000000004</v>
      </c>
      <c r="G9" s="7"/>
    </row>
    <row r="10" spans="1:7" x14ac:dyDescent="0.3">
      <c r="A10" t="s">
        <v>37</v>
      </c>
      <c r="B10" s="3">
        <v>0.25</v>
      </c>
      <c r="C10">
        <v>4</v>
      </c>
      <c r="D10">
        <f t="shared" si="0"/>
        <v>1</v>
      </c>
      <c r="F10">
        <f>D89</f>
        <v>3.8499999999999996</v>
      </c>
      <c r="G10" s="7"/>
    </row>
    <row r="11" spans="1:7" x14ac:dyDescent="0.3">
      <c r="A11" t="s">
        <v>36</v>
      </c>
      <c r="B11" s="3">
        <v>0.1</v>
      </c>
      <c r="C11">
        <v>5</v>
      </c>
      <c r="D11">
        <f t="shared" si="0"/>
        <v>0.5</v>
      </c>
      <c r="F11">
        <f>D100</f>
        <v>4.75</v>
      </c>
      <c r="G11" s="7"/>
    </row>
    <row r="12" spans="1:7" ht="15" thickBot="1" x14ac:dyDescent="0.35">
      <c r="B12" s="4">
        <f>SUM(B5:B11)</f>
        <v>0.99999999999999989</v>
      </c>
      <c r="D12" s="6">
        <f>SUM(D5:D11)</f>
        <v>4.0999999999999996</v>
      </c>
      <c r="G12" s="7"/>
    </row>
    <row r="13" spans="1:7" ht="15" thickTop="1" x14ac:dyDescent="0.3">
      <c r="G13" s="7"/>
    </row>
    <row r="14" spans="1:7" x14ac:dyDescent="0.3">
      <c r="A14" t="s">
        <v>8</v>
      </c>
      <c r="G14" s="7"/>
    </row>
    <row r="15" spans="1:7" x14ac:dyDescent="0.3">
      <c r="A15" s="1" t="s">
        <v>0</v>
      </c>
      <c r="B15" s="1" t="s">
        <v>1</v>
      </c>
      <c r="C15" s="1" t="s">
        <v>17</v>
      </c>
      <c r="D15" s="1" t="s">
        <v>2</v>
      </c>
      <c r="G15" s="7"/>
    </row>
    <row r="16" spans="1:7" x14ac:dyDescent="0.3">
      <c r="A16" t="s">
        <v>42</v>
      </c>
      <c r="B16" s="3">
        <v>0.25</v>
      </c>
      <c r="C16">
        <v>4</v>
      </c>
      <c r="D16">
        <f>C16*B16</f>
        <v>1</v>
      </c>
      <c r="G16" s="7"/>
    </row>
    <row r="17" spans="1:7" x14ac:dyDescent="0.3">
      <c r="A17" t="s">
        <v>41</v>
      </c>
      <c r="B17" s="3">
        <v>0.1</v>
      </c>
      <c r="C17">
        <v>5</v>
      </c>
      <c r="D17">
        <f t="shared" ref="D17:D22" si="1">C17*B17</f>
        <v>0.5</v>
      </c>
      <c r="G17" s="7"/>
    </row>
    <row r="18" spans="1:7" x14ac:dyDescent="0.3">
      <c r="A18" t="s">
        <v>40</v>
      </c>
      <c r="B18" s="3">
        <v>0.1</v>
      </c>
      <c r="C18">
        <v>4</v>
      </c>
      <c r="D18">
        <f t="shared" si="1"/>
        <v>0.4</v>
      </c>
      <c r="G18" s="7"/>
    </row>
    <row r="19" spans="1:7" x14ac:dyDescent="0.3">
      <c r="A19" t="s">
        <v>39</v>
      </c>
      <c r="B19" s="3">
        <v>0.1</v>
      </c>
      <c r="C19">
        <v>4</v>
      </c>
      <c r="D19">
        <f t="shared" si="1"/>
        <v>0.4</v>
      </c>
      <c r="G19" s="7"/>
    </row>
    <row r="20" spans="1:7" x14ac:dyDescent="0.3">
      <c r="A20" t="s">
        <v>38</v>
      </c>
      <c r="B20" s="3">
        <v>0.1</v>
      </c>
      <c r="C20">
        <v>5</v>
      </c>
      <c r="D20">
        <f t="shared" si="1"/>
        <v>0.5</v>
      </c>
      <c r="G20" s="7"/>
    </row>
    <row r="21" spans="1:7" x14ac:dyDescent="0.3">
      <c r="A21" t="s">
        <v>37</v>
      </c>
      <c r="B21" s="3">
        <v>0.25</v>
      </c>
      <c r="C21">
        <v>4</v>
      </c>
      <c r="D21">
        <f t="shared" si="1"/>
        <v>1</v>
      </c>
      <c r="G21" s="7"/>
    </row>
    <row r="22" spans="1:7" x14ac:dyDescent="0.3">
      <c r="A22" t="s">
        <v>36</v>
      </c>
      <c r="B22" s="3">
        <v>0.1</v>
      </c>
      <c r="C22">
        <v>5</v>
      </c>
      <c r="D22">
        <f t="shared" si="1"/>
        <v>0.5</v>
      </c>
      <c r="G22" s="7"/>
    </row>
    <row r="23" spans="1:7" ht="15" thickBot="1" x14ac:dyDescent="0.35">
      <c r="B23" s="4">
        <f>SUM(B16:B22)</f>
        <v>0.99999999999999989</v>
      </c>
      <c r="D23" s="6">
        <f>SUM(D16:D22)</f>
        <v>4.3</v>
      </c>
      <c r="G23" s="7"/>
    </row>
    <row r="24" spans="1:7" ht="15" thickTop="1" x14ac:dyDescent="0.3">
      <c r="G24" s="7"/>
    </row>
    <row r="25" spans="1:7" x14ac:dyDescent="0.3">
      <c r="A25" t="s">
        <v>9</v>
      </c>
      <c r="G25" s="7"/>
    </row>
    <row r="26" spans="1:7" x14ac:dyDescent="0.3">
      <c r="A26" s="1" t="s">
        <v>0</v>
      </c>
      <c r="B26" s="1" t="s">
        <v>1</v>
      </c>
      <c r="C26" s="1" t="s">
        <v>17</v>
      </c>
      <c r="D26" s="1" t="s">
        <v>2</v>
      </c>
      <c r="G26" s="7"/>
    </row>
    <row r="27" spans="1:7" x14ac:dyDescent="0.3">
      <c r="A27" t="s">
        <v>42</v>
      </c>
      <c r="B27" s="3">
        <v>0.25</v>
      </c>
      <c r="C27">
        <v>4</v>
      </c>
      <c r="D27">
        <f>C27*B27</f>
        <v>1</v>
      </c>
      <c r="G27" s="7"/>
    </row>
    <row r="28" spans="1:7" x14ac:dyDescent="0.3">
      <c r="A28" t="s">
        <v>41</v>
      </c>
      <c r="B28" s="3">
        <v>0.1</v>
      </c>
      <c r="C28">
        <v>5</v>
      </c>
      <c r="D28">
        <f t="shared" ref="D28:D33" si="2">C28*B28</f>
        <v>0.5</v>
      </c>
      <c r="G28" s="7"/>
    </row>
    <row r="29" spans="1:7" x14ac:dyDescent="0.3">
      <c r="A29" t="s">
        <v>40</v>
      </c>
      <c r="B29" s="3">
        <v>0.1</v>
      </c>
      <c r="C29">
        <v>4</v>
      </c>
      <c r="D29">
        <f t="shared" si="2"/>
        <v>0.4</v>
      </c>
      <c r="G29" s="7"/>
    </row>
    <row r="30" spans="1:7" x14ac:dyDescent="0.3">
      <c r="A30" t="s">
        <v>39</v>
      </c>
      <c r="B30" s="3">
        <v>0.1</v>
      </c>
      <c r="C30">
        <v>5</v>
      </c>
      <c r="D30">
        <f t="shared" si="2"/>
        <v>0.5</v>
      </c>
      <c r="G30" s="7"/>
    </row>
    <row r="31" spans="1:7" x14ac:dyDescent="0.3">
      <c r="A31" t="s">
        <v>38</v>
      </c>
      <c r="B31" s="3">
        <v>0.1</v>
      </c>
      <c r="C31">
        <v>5</v>
      </c>
      <c r="D31">
        <f t="shared" si="2"/>
        <v>0.5</v>
      </c>
      <c r="G31" s="7"/>
    </row>
    <row r="32" spans="1:7" x14ac:dyDescent="0.3">
      <c r="A32" t="s">
        <v>37</v>
      </c>
      <c r="B32" s="3">
        <v>0.25</v>
      </c>
      <c r="C32">
        <v>4</v>
      </c>
      <c r="D32">
        <f t="shared" si="2"/>
        <v>1</v>
      </c>
      <c r="G32" s="7"/>
    </row>
    <row r="33" spans="1:7" x14ac:dyDescent="0.3">
      <c r="A33" t="s">
        <v>36</v>
      </c>
      <c r="B33" s="3">
        <v>0.1</v>
      </c>
      <c r="C33">
        <v>4</v>
      </c>
      <c r="D33">
        <f t="shared" si="2"/>
        <v>0.4</v>
      </c>
      <c r="G33" s="7"/>
    </row>
    <row r="34" spans="1:7" ht="15" thickBot="1" x14ac:dyDescent="0.35">
      <c r="B34" s="4">
        <f>SUM(B27:B33)</f>
        <v>0.99999999999999989</v>
      </c>
      <c r="D34" s="6">
        <f>SUM(D27:D33)</f>
        <v>4.3</v>
      </c>
      <c r="G34" s="7"/>
    </row>
    <row r="35" spans="1:7" ht="15" thickTop="1" x14ac:dyDescent="0.3">
      <c r="G35" s="7"/>
    </row>
    <row r="36" spans="1:7" x14ac:dyDescent="0.3">
      <c r="A36" t="s">
        <v>10</v>
      </c>
      <c r="G36" s="7"/>
    </row>
    <row r="37" spans="1:7" x14ac:dyDescent="0.3">
      <c r="A37" s="1" t="s">
        <v>0</v>
      </c>
      <c r="B37" s="1" t="s">
        <v>1</v>
      </c>
      <c r="C37" s="1" t="s">
        <v>17</v>
      </c>
      <c r="D37" s="1" t="s">
        <v>2</v>
      </c>
      <c r="G37" s="7"/>
    </row>
    <row r="38" spans="1:7" x14ac:dyDescent="0.3">
      <c r="A38" t="s">
        <v>42</v>
      </c>
      <c r="B38" s="3">
        <v>0.25</v>
      </c>
      <c r="C38">
        <v>4</v>
      </c>
      <c r="D38">
        <f>C38*B38</f>
        <v>1</v>
      </c>
      <c r="G38" s="7"/>
    </row>
    <row r="39" spans="1:7" x14ac:dyDescent="0.3">
      <c r="A39" t="s">
        <v>41</v>
      </c>
      <c r="B39" s="3">
        <v>0.1</v>
      </c>
      <c r="C39">
        <v>5</v>
      </c>
      <c r="D39">
        <f t="shared" ref="D39:D44" si="3">C39*B39</f>
        <v>0.5</v>
      </c>
      <c r="G39" s="7"/>
    </row>
    <row r="40" spans="1:7" x14ac:dyDescent="0.3">
      <c r="A40" t="s">
        <v>40</v>
      </c>
      <c r="B40" s="3">
        <v>0.1</v>
      </c>
      <c r="C40">
        <v>4</v>
      </c>
      <c r="D40">
        <f t="shared" si="3"/>
        <v>0.4</v>
      </c>
      <c r="G40" s="7"/>
    </row>
    <row r="41" spans="1:7" x14ac:dyDescent="0.3">
      <c r="A41" t="s">
        <v>39</v>
      </c>
      <c r="B41" s="3">
        <v>0.1</v>
      </c>
      <c r="C41">
        <v>4</v>
      </c>
      <c r="D41">
        <f t="shared" si="3"/>
        <v>0.4</v>
      </c>
      <c r="G41" s="7"/>
    </row>
    <row r="42" spans="1:7" x14ac:dyDescent="0.3">
      <c r="A42" t="s">
        <v>38</v>
      </c>
      <c r="B42" s="3">
        <v>0.1</v>
      </c>
      <c r="C42">
        <v>4</v>
      </c>
      <c r="D42">
        <f t="shared" si="3"/>
        <v>0.4</v>
      </c>
      <c r="G42" s="7"/>
    </row>
    <row r="43" spans="1:7" x14ac:dyDescent="0.3">
      <c r="A43" t="s">
        <v>37</v>
      </c>
      <c r="B43" s="3">
        <v>0.25</v>
      </c>
      <c r="C43">
        <v>4</v>
      </c>
      <c r="D43">
        <f t="shared" si="3"/>
        <v>1</v>
      </c>
      <c r="G43" s="7"/>
    </row>
    <row r="44" spans="1:7" x14ac:dyDescent="0.3">
      <c r="A44" t="s">
        <v>36</v>
      </c>
      <c r="B44" s="3">
        <v>0.1</v>
      </c>
      <c r="C44">
        <v>4</v>
      </c>
      <c r="D44">
        <f t="shared" si="3"/>
        <v>0.4</v>
      </c>
      <c r="G44" s="7"/>
    </row>
    <row r="45" spans="1:7" ht="15" thickBot="1" x14ac:dyDescent="0.35">
      <c r="B45" s="4">
        <f>SUM(B38:B44)</f>
        <v>0.99999999999999989</v>
      </c>
      <c r="D45" s="6">
        <f>SUM(D38:D44)</f>
        <v>4.0999999999999996</v>
      </c>
      <c r="G45" s="7"/>
    </row>
    <row r="46" spans="1:7" ht="15" thickTop="1" x14ac:dyDescent="0.3">
      <c r="A46" s="9"/>
      <c r="B46" s="9"/>
      <c r="C46" s="9"/>
      <c r="D46" s="9"/>
      <c r="G46" s="7"/>
    </row>
    <row r="47" spans="1:7" x14ac:dyDescent="0.3">
      <c r="A47" t="s">
        <v>11</v>
      </c>
      <c r="G47" s="7"/>
    </row>
    <row r="48" spans="1:7" x14ac:dyDescent="0.3">
      <c r="A48" s="1" t="s">
        <v>0</v>
      </c>
      <c r="B48" s="1" t="s">
        <v>1</v>
      </c>
      <c r="C48" s="1" t="s">
        <v>17</v>
      </c>
      <c r="D48" s="1" t="s">
        <v>2</v>
      </c>
      <c r="G48" s="7"/>
    </row>
    <row r="49" spans="1:7" x14ac:dyDescent="0.3">
      <c r="A49" t="s">
        <v>42</v>
      </c>
      <c r="B49" s="3">
        <v>0.25</v>
      </c>
      <c r="C49">
        <v>4</v>
      </c>
      <c r="D49">
        <f t="shared" ref="D49:D55" si="4">C49*B49</f>
        <v>1</v>
      </c>
      <c r="G49" s="7"/>
    </row>
    <row r="50" spans="1:7" x14ac:dyDescent="0.3">
      <c r="A50" t="s">
        <v>41</v>
      </c>
      <c r="B50" s="3">
        <v>0.1</v>
      </c>
      <c r="C50">
        <v>5</v>
      </c>
      <c r="D50">
        <f t="shared" si="4"/>
        <v>0.5</v>
      </c>
      <c r="G50" s="7"/>
    </row>
    <row r="51" spans="1:7" x14ac:dyDescent="0.3">
      <c r="A51" t="s">
        <v>40</v>
      </c>
      <c r="B51" s="3">
        <v>0.1</v>
      </c>
      <c r="C51">
        <v>4</v>
      </c>
      <c r="D51">
        <f t="shared" si="4"/>
        <v>0.4</v>
      </c>
      <c r="G51" s="7"/>
    </row>
    <row r="52" spans="1:7" x14ac:dyDescent="0.3">
      <c r="A52" t="s">
        <v>39</v>
      </c>
      <c r="B52" s="3">
        <v>0.1</v>
      </c>
      <c r="C52">
        <v>5</v>
      </c>
      <c r="D52">
        <f t="shared" si="4"/>
        <v>0.5</v>
      </c>
      <c r="G52" s="7"/>
    </row>
    <row r="53" spans="1:7" x14ac:dyDescent="0.3">
      <c r="A53" t="s">
        <v>38</v>
      </c>
      <c r="B53" s="3">
        <v>0.1</v>
      </c>
      <c r="C53">
        <v>3</v>
      </c>
      <c r="D53">
        <f t="shared" si="4"/>
        <v>0.30000000000000004</v>
      </c>
      <c r="G53" s="7"/>
    </row>
    <row r="54" spans="1:7" x14ac:dyDescent="0.3">
      <c r="A54" t="s">
        <v>37</v>
      </c>
      <c r="B54" s="3">
        <v>0.25</v>
      </c>
      <c r="C54">
        <v>4</v>
      </c>
      <c r="D54">
        <f t="shared" si="4"/>
        <v>1</v>
      </c>
      <c r="G54" s="7"/>
    </row>
    <row r="55" spans="1:7" x14ac:dyDescent="0.3">
      <c r="A55" t="s">
        <v>36</v>
      </c>
      <c r="B55" s="3">
        <v>0.1</v>
      </c>
      <c r="C55">
        <v>5</v>
      </c>
      <c r="D55">
        <f t="shared" si="4"/>
        <v>0.5</v>
      </c>
      <c r="G55" s="7"/>
    </row>
    <row r="56" spans="1:7" ht="15" thickBot="1" x14ac:dyDescent="0.35">
      <c r="B56" s="4">
        <f>SUM(B49:B55)</f>
        <v>0.99999999999999989</v>
      </c>
      <c r="D56" s="6">
        <f>SUM(D49:D55)</f>
        <v>4.2</v>
      </c>
      <c r="G56" s="7"/>
    </row>
    <row r="57" spans="1:7" ht="15" thickTop="1" x14ac:dyDescent="0.3">
      <c r="A57" s="9"/>
      <c r="B57" s="9"/>
      <c r="C57" s="9"/>
      <c r="D57" s="9"/>
      <c r="G57" s="7"/>
    </row>
    <row r="58" spans="1:7" x14ac:dyDescent="0.3">
      <c r="A58" t="s">
        <v>12</v>
      </c>
      <c r="G58" s="7"/>
    </row>
    <row r="59" spans="1:7" x14ac:dyDescent="0.3">
      <c r="A59" s="1" t="s">
        <v>0</v>
      </c>
      <c r="B59" s="1" t="s">
        <v>1</v>
      </c>
      <c r="C59" s="1" t="s">
        <v>17</v>
      </c>
      <c r="D59" s="1" t="s">
        <v>2</v>
      </c>
      <c r="G59" s="7"/>
    </row>
    <row r="60" spans="1:7" x14ac:dyDescent="0.3">
      <c r="A60" t="s">
        <v>42</v>
      </c>
      <c r="B60" s="3">
        <v>0.25</v>
      </c>
      <c r="C60">
        <v>4</v>
      </c>
      <c r="D60">
        <f t="shared" ref="D60:D66" si="5">C60*B60</f>
        <v>1</v>
      </c>
      <c r="G60" s="7"/>
    </row>
    <row r="61" spans="1:7" x14ac:dyDescent="0.3">
      <c r="A61" t="s">
        <v>41</v>
      </c>
      <c r="B61" s="3">
        <v>0.1</v>
      </c>
      <c r="C61">
        <v>5</v>
      </c>
      <c r="D61">
        <f t="shared" si="5"/>
        <v>0.5</v>
      </c>
      <c r="G61" s="7"/>
    </row>
    <row r="62" spans="1:7" x14ac:dyDescent="0.3">
      <c r="A62" t="s">
        <v>40</v>
      </c>
      <c r="B62" s="3">
        <v>0.1</v>
      </c>
      <c r="C62">
        <v>5</v>
      </c>
      <c r="D62">
        <f t="shared" si="5"/>
        <v>0.5</v>
      </c>
      <c r="G62" s="7"/>
    </row>
    <row r="63" spans="1:7" x14ac:dyDescent="0.3">
      <c r="A63" t="s">
        <v>39</v>
      </c>
      <c r="B63" s="3">
        <v>0.1</v>
      </c>
      <c r="C63">
        <v>5</v>
      </c>
      <c r="D63">
        <f t="shared" si="5"/>
        <v>0.5</v>
      </c>
      <c r="G63" s="7"/>
    </row>
    <row r="64" spans="1:7" x14ac:dyDescent="0.3">
      <c r="A64" t="s">
        <v>38</v>
      </c>
      <c r="B64" s="3">
        <v>0.1</v>
      </c>
      <c r="C64">
        <v>3</v>
      </c>
      <c r="D64">
        <f t="shared" si="5"/>
        <v>0.30000000000000004</v>
      </c>
      <c r="G64" s="7"/>
    </row>
    <row r="65" spans="1:7" x14ac:dyDescent="0.3">
      <c r="A65" t="s">
        <v>37</v>
      </c>
      <c r="B65" s="3">
        <v>0.25</v>
      </c>
      <c r="C65">
        <v>4</v>
      </c>
      <c r="D65">
        <f t="shared" si="5"/>
        <v>1</v>
      </c>
      <c r="G65" s="7"/>
    </row>
    <row r="66" spans="1:7" x14ac:dyDescent="0.3">
      <c r="A66" t="s">
        <v>36</v>
      </c>
      <c r="B66" s="3">
        <v>0.1</v>
      </c>
      <c r="C66">
        <v>4</v>
      </c>
      <c r="D66">
        <f t="shared" si="5"/>
        <v>0.4</v>
      </c>
      <c r="G66" s="7"/>
    </row>
    <row r="67" spans="1:7" ht="15" thickBot="1" x14ac:dyDescent="0.35">
      <c r="B67" s="4">
        <f>SUM(B60:B66)</f>
        <v>0.99999999999999989</v>
      </c>
      <c r="D67" s="6">
        <f>SUM(D60:D66)</f>
        <v>4.2</v>
      </c>
      <c r="G67" s="7"/>
    </row>
    <row r="68" spans="1:7" ht="15" thickTop="1" x14ac:dyDescent="0.3">
      <c r="A68" s="9"/>
      <c r="B68" s="9"/>
      <c r="C68" s="9"/>
      <c r="D68" s="9"/>
      <c r="G68" s="7"/>
    </row>
    <row r="69" spans="1:7" x14ac:dyDescent="0.3">
      <c r="A69" t="s">
        <v>13</v>
      </c>
      <c r="G69" s="7"/>
    </row>
    <row r="70" spans="1:7" x14ac:dyDescent="0.3">
      <c r="A70" s="1" t="s">
        <v>0</v>
      </c>
      <c r="B70" s="1" t="s">
        <v>1</v>
      </c>
      <c r="C70" s="1" t="s">
        <v>17</v>
      </c>
      <c r="D70" s="1" t="s">
        <v>2</v>
      </c>
      <c r="G70" s="7"/>
    </row>
    <row r="71" spans="1:7" x14ac:dyDescent="0.3">
      <c r="A71" t="s">
        <v>42</v>
      </c>
      <c r="B71" s="3">
        <v>0.25</v>
      </c>
      <c r="C71">
        <v>3</v>
      </c>
      <c r="D71">
        <f>C71*B71</f>
        <v>0.75</v>
      </c>
      <c r="G71" s="7"/>
    </row>
    <row r="72" spans="1:7" x14ac:dyDescent="0.3">
      <c r="A72" t="s">
        <v>41</v>
      </c>
      <c r="B72" s="3">
        <v>0.1</v>
      </c>
      <c r="C72">
        <v>5</v>
      </c>
      <c r="D72">
        <f t="shared" ref="D72:D77" si="6">C72*B72</f>
        <v>0.5</v>
      </c>
      <c r="G72" s="7"/>
    </row>
    <row r="73" spans="1:7" x14ac:dyDescent="0.3">
      <c r="A73" t="s">
        <v>40</v>
      </c>
      <c r="B73" s="3">
        <v>0.1</v>
      </c>
      <c r="C73">
        <v>3</v>
      </c>
      <c r="D73">
        <f t="shared" si="6"/>
        <v>0.30000000000000004</v>
      </c>
      <c r="G73" s="7"/>
    </row>
    <row r="74" spans="1:7" x14ac:dyDescent="0.3">
      <c r="A74" t="s">
        <v>39</v>
      </c>
      <c r="B74" s="3">
        <v>0.1</v>
      </c>
      <c r="C74">
        <v>3</v>
      </c>
      <c r="D74">
        <f t="shared" si="6"/>
        <v>0.30000000000000004</v>
      </c>
      <c r="G74" s="7"/>
    </row>
    <row r="75" spans="1:7" x14ac:dyDescent="0.3">
      <c r="A75" t="s">
        <v>38</v>
      </c>
      <c r="B75" s="3">
        <v>0.1</v>
      </c>
      <c r="C75">
        <v>3</v>
      </c>
      <c r="D75">
        <f t="shared" si="6"/>
        <v>0.30000000000000004</v>
      </c>
      <c r="G75" s="7"/>
    </row>
    <row r="76" spans="1:7" x14ac:dyDescent="0.3">
      <c r="A76" t="s">
        <v>37</v>
      </c>
      <c r="B76" s="3">
        <v>0.25</v>
      </c>
      <c r="C76">
        <v>3</v>
      </c>
      <c r="D76">
        <f t="shared" si="6"/>
        <v>0.75</v>
      </c>
      <c r="G76" s="7"/>
    </row>
    <row r="77" spans="1:7" x14ac:dyDescent="0.3">
      <c r="A77" t="s">
        <v>36</v>
      </c>
      <c r="B77" s="3">
        <v>0.1</v>
      </c>
      <c r="C77">
        <v>5</v>
      </c>
      <c r="D77">
        <f t="shared" si="6"/>
        <v>0.5</v>
      </c>
      <c r="G77" s="7"/>
    </row>
    <row r="78" spans="1:7" ht="15" thickBot="1" x14ac:dyDescent="0.35">
      <c r="B78" s="4">
        <f>SUM(B71:B77)</f>
        <v>0.99999999999999989</v>
      </c>
      <c r="D78" s="6">
        <f>SUM(D71:D77)</f>
        <v>3.4000000000000004</v>
      </c>
      <c r="G78" s="7"/>
    </row>
    <row r="79" spans="1:7" ht="15" thickTop="1" x14ac:dyDescent="0.3">
      <c r="G79" s="7"/>
    </row>
    <row r="80" spans="1:7" x14ac:dyDescent="0.3">
      <c r="A80" t="s">
        <v>14</v>
      </c>
      <c r="G80" s="7"/>
    </row>
    <row r="81" spans="1:7" x14ac:dyDescent="0.3">
      <c r="A81" s="1" t="s">
        <v>0</v>
      </c>
      <c r="B81" s="1" t="s">
        <v>1</v>
      </c>
      <c r="C81" s="1" t="s">
        <v>17</v>
      </c>
      <c r="D81" s="1" t="s">
        <v>2</v>
      </c>
      <c r="G81" s="7"/>
    </row>
    <row r="82" spans="1:7" x14ac:dyDescent="0.3">
      <c r="A82" t="s">
        <v>42</v>
      </c>
      <c r="B82" s="3">
        <v>0.25</v>
      </c>
      <c r="C82">
        <v>3</v>
      </c>
      <c r="D82">
        <f>C82*B82</f>
        <v>0.75</v>
      </c>
      <c r="G82" s="7"/>
    </row>
    <row r="83" spans="1:7" x14ac:dyDescent="0.3">
      <c r="A83" t="s">
        <v>41</v>
      </c>
      <c r="B83" s="3">
        <v>0.1</v>
      </c>
      <c r="C83">
        <v>5</v>
      </c>
      <c r="D83">
        <f t="shared" ref="D83:D88" si="7">C83*B83</f>
        <v>0.5</v>
      </c>
    </row>
    <row r="84" spans="1:7" x14ac:dyDescent="0.3">
      <c r="A84" t="s">
        <v>40</v>
      </c>
      <c r="B84" s="3">
        <v>0.1</v>
      </c>
      <c r="C84">
        <v>4</v>
      </c>
      <c r="D84">
        <f t="shared" si="7"/>
        <v>0.4</v>
      </c>
      <c r="G84" s="7"/>
    </row>
    <row r="85" spans="1:7" x14ac:dyDescent="0.3">
      <c r="A85" t="s">
        <v>39</v>
      </c>
      <c r="B85" s="3">
        <v>0.1</v>
      </c>
      <c r="C85">
        <v>4</v>
      </c>
      <c r="D85">
        <f t="shared" si="7"/>
        <v>0.4</v>
      </c>
    </row>
    <row r="86" spans="1:7" x14ac:dyDescent="0.3">
      <c r="A86" t="s">
        <v>38</v>
      </c>
      <c r="B86" s="3">
        <v>0.1</v>
      </c>
      <c r="C86">
        <v>4</v>
      </c>
      <c r="D86">
        <f t="shared" si="7"/>
        <v>0.4</v>
      </c>
      <c r="G86" s="7"/>
    </row>
    <row r="87" spans="1:7" x14ac:dyDescent="0.3">
      <c r="A87" t="s">
        <v>37</v>
      </c>
      <c r="B87" s="3">
        <v>0.25</v>
      </c>
      <c r="C87">
        <v>4</v>
      </c>
      <c r="D87">
        <f t="shared" si="7"/>
        <v>1</v>
      </c>
      <c r="G87" s="8"/>
    </row>
    <row r="88" spans="1:7" x14ac:dyDescent="0.3">
      <c r="A88" t="s">
        <v>36</v>
      </c>
      <c r="B88" s="3">
        <v>0.1</v>
      </c>
      <c r="C88">
        <v>4</v>
      </c>
      <c r="D88">
        <f t="shared" si="7"/>
        <v>0.4</v>
      </c>
      <c r="G88" s="8"/>
    </row>
    <row r="89" spans="1:7" ht="15" thickBot="1" x14ac:dyDescent="0.35">
      <c r="B89" s="4">
        <f>SUM(B82:B88)</f>
        <v>0.99999999999999989</v>
      </c>
      <c r="D89" s="6">
        <f>SUM(D82:D88)</f>
        <v>3.8499999999999996</v>
      </c>
    </row>
    <row r="90" spans="1:7" ht="15" thickTop="1" x14ac:dyDescent="0.3">
      <c r="G90" s="7"/>
    </row>
    <row r="91" spans="1:7" x14ac:dyDescent="0.3">
      <c r="A91" t="s">
        <v>15</v>
      </c>
      <c r="G91" s="8"/>
    </row>
    <row r="92" spans="1:7" x14ac:dyDescent="0.3">
      <c r="A92" s="1" t="s">
        <v>0</v>
      </c>
      <c r="B92" s="1" t="s">
        <v>1</v>
      </c>
      <c r="C92" s="1" t="s">
        <v>17</v>
      </c>
      <c r="D92" s="1" t="s">
        <v>2</v>
      </c>
      <c r="G92" s="8"/>
    </row>
    <row r="93" spans="1:7" x14ac:dyDescent="0.3">
      <c r="A93" t="s">
        <v>42</v>
      </c>
      <c r="B93" s="3">
        <v>0.25</v>
      </c>
      <c r="C93">
        <v>4</v>
      </c>
      <c r="D93">
        <f>C93*B93</f>
        <v>1</v>
      </c>
      <c r="G93" s="8"/>
    </row>
    <row r="94" spans="1:7" x14ac:dyDescent="0.3">
      <c r="A94" t="s">
        <v>41</v>
      </c>
      <c r="B94" s="3">
        <v>0.1</v>
      </c>
      <c r="C94">
        <v>5</v>
      </c>
      <c r="D94">
        <f t="shared" ref="D94:D99" si="8">C94*B94</f>
        <v>0.5</v>
      </c>
      <c r="G94" s="8"/>
    </row>
    <row r="95" spans="1:7" x14ac:dyDescent="0.3">
      <c r="A95" t="s">
        <v>40</v>
      </c>
      <c r="B95" s="3">
        <v>0.1</v>
      </c>
      <c r="C95">
        <v>5</v>
      </c>
      <c r="D95">
        <f t="shared" si="8"/>
        <v>0.5</v>
      </c>
      <c r="G95" s="8"/>
    </row>
    <row r="96" spans="1:7" x14ac:dyDescent="0.3">
      <c r="A96" t="s">
        <v>39</v>
      </c>
      <c r="B96" s="3">
        <v>0.1</v>
      </c>
      <c r="C96">
        <v>5</v>
      </c>
      <c r="D96">
        <f t="shared" si="8"/>
        <v>0.5</v>
      </c>
      <c r="G96" s="8"/>
    </row>
    <row r="97" spans="1:7" x14ac:dyDescent="0.3">
      <c r="A97" t="s">
        <v>38</v>
      </c>
      <c r="B97" s="3">
        <v>0.1</v>
      </c>
      <c r="C97">
        <v>5</v>
      </c>
      <c r="D97">
        <f t="shared" si="8"/>
        <v>0.5</v>
      </c>
      <c r="G97" s="8"/>
    </row>
    <row r="98" spans="1:7" x14ac:dyDescent="0.3">
      <c r="A98" t="s">
        <v>37</v>
      </c>
      <c r="B98" s="3">
        <v>0.25</v>
      </c>
      <c r="C98">
        <v>5</v>
      </c>
      <c r="D98">
        <f t="shared" si="8"/>
        <v>1.25</v>
      </c>
      <c r="G98" s="8"/>
    </row>
    <row r="99" spans="1:7" x14ac:dyDescent="0.3">
      <c r="A99" t="s">
        <v>36</v>
      </c>
      <c r="B99" s="3">
        <v>0.1</v>
      </c>
      <c r="C99">
        <v>5</v>
      </c>
      <c r="D99">
        <f t="shared" si="8"/>
        <v>0.5</v>
      </c>
      <c r="G99" s="8"/>
    </row>
    <row r="100" spans="1:7" ht="15" thickBot="1" x14ac:dyDescent="0.35">
      <c r="B100" s="4">
        <f>SUM(B93:B99)</f>
        <v>0.99999999999999989</v>
      </c>
      <c r="D100" s="6">
        <f>SUM(D93:D99)</f>
        <v>4.75</v>
      </c>
      <c r="G100" s="7"/>
    </row>
    <row r="101" spans="1:7" ht="15" thickTop="1" x14ac:dyDescent="0.3"/>
    <row r="102" spans="1:7" x14ac:dyDescent="0.3">
      <c r="G102" s="7"/>
    </row>
    <row r="103" spans="1:7" x14ac:dyDescent="0.3">
      <c r="G103" s="8"/>
    </row>
    <row r="104" spans="1:7" x14ac:dyDescent="0.3">
      <c r="G104" s="8"/>
    </row>
    <row r="105" spans="1:7" x14ac:dyDescent="0.3">
      <c r="G105" s="8"/>
    </row>
    <row r="107" spans="1:7" x14ac:dyDescent="0.3">
      <c r="G107" s="7"/>
    </row>
    <row r="109" spans="1:7" x14ac:dyDescent="0.3">
      <c r="G109" s="7"/>
    </row>
    <row r="110" spans="1:7" x14ac:dyDescent="0.3">
      <c r="G110" s="8"/>
    </row>
    <row r="111" spans="1:7" x14ac:dyDescent="0.3">
      <c r="G111" s="8"/>
    </row>
    <row r="112" spans="1:7" x14ac:dyDescent="0.3">
      <c r="G112" s="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E917D-3B97-411C-A5EF-E293CAFAD2E4}">
  <dimension ref="A1:G112"/>
  <sheetViews>
    <sheetView zoomScale="80" zoomScaleNormal="80" workbookViewId="0">
      <selection activeCell="A146" sqref="A146"/>
    </sheetView>
  </sheetViews>
  <sheetFormatPr defaultRowHeight="14.4" x14ac:dyDescent="0.3"/>
  <cols>
    <col min="1" max="1" width="122.77734375" bestFit="1" customWidth="1"/>
    <col min="2" max="2" width="6.77734375" bestFit="1" customWidth="1"/>
    <col min="3" max="3" width="10.21875" bestFit="1" customWidth="1"/>
    <col min="4" max="4" width="13.88671875" bestFit="1" customWidth="1"/>
    <col min="6" max="6" width="15.33203125" bestFit="1" customWidth="1"/>
  </cols>
  <sheetData>
    <row r="1" spans="1:7" x14ac:dyDescent="0.3">
      <c r="A1" s="2" t="s">
        <v>3</v>
      </c>
      <c r="B1" s="5">
        <v>5</v>
      </c>
    </row>
    <row r="2" spans="1:7" x14ac:dyDescent="0.3">
      <c r="F2" s="10" t="s">
        <v>35</v>
      </c>
      <c r="G2" s="7"/>
    </row>
    <row r="3" spans="1:7" x14ac:dyDescent="0.3">
      <c r="A3" t="s">
        <v>7</v>
      </c>
      <c r="F3">
        <f>D12</f>
        <v>4.0999999999999996</v>
      </c>
      <c r="G3" s="7"/>
    </row>
    <row r="4" spans="1:7" x14ac:dyDescent="0.3">
      <c r="A4" s="1" t="s">
        <v>0</v>
      </c>
      <c r="B4" s="1" t="s">
        <v>1</v>
      </c>
      <c r="C4" s="1" t="s">
        <v>17</v>
      </c>
      <c r="D4" s="1" t="s">
        <v>2</v>
      </c>
      <c r="F4">
        <f>D23</f>
        <v>4.1999999999999993</v>
      </c>
      <c r="G4" s="7"/>
    </row>
    <row r="5" spans="1:7" x14ac:dyDescent="0.3">
      <c r="A5" t="s">
        <v>42</v>
      </c>
      <c r="B5" s="3">
        <v>0.25</v>
      </c>
      <c r="C5">
        <v>4</v>
      </c>
      <c r="D5">
        <f>C5*B5</f>
        <v>1</v>
      </c>
      <c r="F5">
        <f>D34</f>
        <v>4.3499999999999996</v>
      </c>
      <c r="G5" s="7"/>
    </row>
    <row r="6" spans="1:7" x14ac:dyDescent="0.3">
      <c r="A6" t="s">
        <v>41</v>
      </c>
      <c r="B6" s="3">
        <v>0.1</v>
      </c>
      <c r="C6">
        <v>5</v>
      </c>
      <c r="D6">
        <f t="shared" ref="D6:D11" si="0">C6*B6</f>
        <v>0.5</v>
      </c>
      <c r="F6">
        <f>D45</f>
        <v>4.0999999999999996</v>
      </c>
      <c r="G6" s="7"/>
    </row>
    <row r="7" spans="1:7" x14ac:dyDescent="0.3">
      <c r="A7" t="s">
        <v>40</v>
      </c>
      <c r="B7" s="3">
        <v>0.1</v>
      </c>
      <c r="C7">
        <v>4</v>
      </c>
      <c r="D7">
        <f t="shared" si="0"/>
        <v>0.4</v>
      </c>
      <c r="F7">
        <f>D56</f>
        <v>3.3</v>
      </c>
      <c r="G7" s="7"/>
    </row>
    <row r="8" spans="1:7" x14ac:dyDescent="0.3">
      <c r="A8" t="s">
        <v>39</v>
      </c>
      <c r="B8" s="3">
        <v>0.1</v>
      </c>
      <c r="C8">
        <v>4</v>
      </c>
      <c r="D8">
        <f t="shared" si="0"/>
        <v>0.4</v>
      </c>
      <c r="F8">
        <f>D67</f>
        <v>4.0999999999999996</v>
      </c>
      <c r="G8" s="7"/>
    </row>
    <row r="9" spans="1:7" x14ac:dyDescent="0.3">
      <c r="A9" t="s">
        <v>38</v>
      </c>
      <c r="B9" s="3">
        <v>0.1</v>
      </c>
      <c r="C9">
        <v>3</v>
      </c>
      <c r="D9">
        <f t="shared" si="0"/>
        <v>0.30000000000000004</v>
      </c>
      <c r="F9">
        <f>D78</f>
        <v>3.8499999999999996</v>
      </c>
      <c r="G9" s="7"/>
    </row>
    <row r="10" spans="1:7" x14ac:dyDescent="0.3">
      <c r="A10" t="s">
        <v>37</v>
      </c>
      <c r="B10" s="3">
        <v>0.25</v>
      </c>
      <c r="C10">
        <v>4</v>
      </c>
      <c r="D10">
        <f t="shared" si="0"/>
        <v>1</v>
      </c>
      <c r="F10">
        <f>D89</f>
        <v>3.5500000000000003</v>
      </c>
      <c r="G10" s="7"/>
    </row>
    <row r="11" spans="1:7" x14ac:dyDescent="0.3">
      <c r="A11" t="s">
        <v>36</v>
      </c>
      <c r="B11" s="3">
        <v>0.1</v>
      </c>
      <c r="C11">
        <v>5</v>
      </c>
      <c r="D11">
        <f t="shared" si="0"/>
        <v>0.5</v>
      </c>
      <c r="F11">
        <f>D100</f>
        <v>3.9</v>
      </c>
      <c r="G11" s="7"/>
    </row>
    <row r="12" spans="1:7" ht="15" thickBot="1" x14ac:dyDescent="0.35">
      <c r="B12" s="4">
        <f>SUM(B5:B11)</f>
        <v>0.99999999999999989</v>
      </c>
      <c r="D12" s="6">
        <f>SUM(D5:D11)</f>
        <v>4.0999999999999996</v>
      </c>
      <c r="G12" s="7"/>
    </row>
    <row r="13" spans="1:7" ht="15" thickTop="1" x14ac:dyDescent="0.3">
      <c r="G13" s="7"/>
    </row>
    <row r="14" spans="1:7" x14ac:dyDescent="0.3">
      <c r="A14" t="s">
        <v>8</v>
      </c>
      <c r="G14" s="7"/>
    </row>
    <row r="15" spans="1:7" x14ac:dyDescent="0.3">
      <c r="A15" s="1" t="s">
        <v>0</v>
      </c>
      <c r="B15" s="1" t="s">
        <v>1</v>
      </c>
      <c r="C15" s="1" t="s">
        <v>17</v>
      </c>
      <c r="D15" s="1" t="s">
        <v>2</v>
      </c>
      <c r="G15" s="7"/>
    </row>
    <row r="16" spans="1:7" x14ac:dyDescent="0.3">
      <c r="A16" t="s">
        <v>42</v>
      </c>
      <c r="B16" s="3">
        <v>0.25</v>
      </c>
      <c r="C16">
        <v>4</v>
      </c>
      <c r="D16">
        <f>C16*B16</f>
        <v>1</v>
      </c>
      <c r="G16" s="7"/>
    </row>
    <row r="17" spans="1:7" x14ac:dyDescent="0.3">
      <c r="A17" t="s">
        <v>41</v>
      </c>
      <c r="B17" s="3">
        <v>0.1</v>
      </c>
      <c r="C17">
        <v>5</v>
      </c>
      <c r="D17">
        <f t="shared" ref="D17:D22" si="1">C17*B17</f>
        <v>0.5</v>
      </c>
      <c r="G17" s="7"/>
    </row>
    <row r="18" spans="1:7" x14ac:dyDescent="0.3">
      <c r="A18" t="s">
        <v>40</v>
      </c>
      <c r="B18" s="3">
        <v>0.1</v>
      </c>
      <c r="C18">
        <v>4</v>
      </c>
      <c r="D18">
        <f t="shared" si="1"/>
        <v>0.4</v>
      </c>
      <c r="G18" s="7"/>
    </row>
    <row r="19" spans="1:7" x14ac:dyDescent="0.3">
      <c r="A19" t="s">
        <v>39</v>
      </c>
      <c r="B19" s="3">
        <v>0.1</v>
      </c>
      <c r="C19">
        <v>4</v>
      </c>
      <c r="D19">
        <f t="shared" si="1"/>
        <v>0.4</v>
      </c>
      <c r="G19" s="7"/>
    </row>
    <row r="20" spans="1:7" x14ac:dyDescent="0.3">
      <c r="A20" t="s">
        <v>38</v>
      </c>
      <c r="B20" s="3">
        <v>0.1</v>
      </c>
      <c r="C20">
        <v>4</v>
      </c>
      <c r="D20">
        <f t="shared" si="1"/>
        <v>0.4</v>
      </c>
      <c r="G20" s="7"/>
    </row>
    <row r="21" spans="1:7" x14ac:dyDescent="0.3">
      <c r="A21" t="s">
        <v>37</v>
      </c>
      <c r="B21" s="3">
        <v>0.25</v>
      </c>
      <c r="C21">
        <v>4</v>
      </c>
      <c r="D21">
        <f t="shared" si="1"/>
        <v>1</v>
      </c>
      <c r="G21" s="7"/>
    </row>
    <row r="22" spans="1:7" x14ac:dyDescent="0.3">
      <c r="A22" t="s">
        <v>36</v>
      </c>
      <c r="B22" s="3">
        <v>0.1</v>
      </c>
      <c r="C22">
        <v>5</v>
      </c>
      <c r="D22">
        <f t="shared" si="1"/>
        <v>0.5</v>
      </c>
      <c r="G22" s="7"/>
    </row>
    <row r="23" spans="1:7" ht="15" thickBot="1" x14ac:dyDescent="0.35">
      <c r="B23" s="4">
        <f>SUM(B16:B22)</f>
        <v>0.99999999999999989</v>
      </c>
      <c r="D23" s="6">
        <f>SUM(D16:D22)</f>
        <v>4.1999999999999993</v>
      </c>
      <c r="G23" s="7"/>
    </row>
    <row r="24" spans="1:7" ht="15" thickTop="1" x14ac:dyDescent="0.3">
      <c r="G24" s="7"/>
    </row>
    <row r="25" spans="1:7" x14ac:dyDescent="0.3">
      <c r="A25" t="s">
        <v>9</v>
      </c>
      <c r="G25" s="7"/>
    </row>
    <row r="26" spans="1:7" x14ac:dyDescent="0.3">
      <c r="A26" s="1" t="s">
        <v>0</v>
      </c>
      <c r="B26" s="1" t="s">
        <v>1</v>
      </c>
      <c r="C26" s="1" t="s">
        <v>17</v>
      </c>
      <c r="D26" s="1" t="s">
        <v>2</v>
      </c>
      <c r="G26" s="7"/>
    </row>
    <row r="27" spans="1:7" x14ac:dyDescent="0.3">
      <c r="A27" t="s">
        <v>42</v>
      </c>
      <c r="B27" s="3">
        <v>0.25</v>
      </c>
      <c r="C27">
        <v>4</v>
      </c>
      <c r="D27">
        <f>C27*B27</f>
        <v>1</v>
      </c>
      <c r="G27" s="7"/>
    </row>
    <row r="28" spans="1:7" x14ac:dyDescent="0.3">
      <c r="A28" t="s">
        <v>41</v>
      </c>
      <c r="B28" s="3">
        <v>0.1</v>
      </c>
      <c r="C28">
        <v>5</v>
      </c>
      <c r="D28">
        <f t="shared" ref="D28:D33" si="2">C28*B28</f>
        <v>0.5</v>
      </c>
      <c r="G28" s="7"/>
    </row>
    <row r="29" spans="1:7" x14ac:dyDescent="0.3">
      <c r="A29" t="s">
        <v>40</v>
      </c>
      <c r="B29" s="3">
        <v>0.1</v>
      </c>
      <c r="C29">
        <v>4</v>
      </c>
      <c r="D29">
        <f t="shared" si="2"/>
        <v>0.4</v>
      </c>
      <c r="G29" s="7"/>
    </row>
    <row r="30" spans="1:7" x14ac:dyDescent="0.3">
      <c r="A30" t="s">
        <v>39</v>
      </c>
      <c r="B30" s="3">
        <v>0.1</v>
      </c>
      <c r="C30">
        <v>4</v>
      </c>
      <c r="D30">
        <f t="shared" si="2"/>
        <v>0.4</v>
      </c>
      <c r="G30" s="7"/>
    </row>
    <row r="31" spans="1:7" x14ac:dyDescent="0.3">
      <c r="A31" t="s">
        <v>38</v>
      </c>
      <c r="B31" s="3">
        <v>0.1</v>
      </c>
      <c r="C31">
        <v>3</v>
      </c>
      <c r="D31">
        <f t="shared" si="2"/>
        <v>0.30000000000000004</v>
      </c>
      <c r="G31" s="7"/>
    </row>
    <row r="32" spans="1:7" x14ac:dyDescent="0.3">
      <c r="A32" t="s">
        <v>37</v>
      </c>
      <c r="B32" s="3">
        <v>0.25</v>
      </c>
      <c r="C32">
        <v>5</v>
      </c>
      <c r="D32">
        <f t="shared" si="2"/>
        <v>1.25</v>
      </c>
      <c r="G32" s="7"/>
    </row>
    <row r="33" spans="1:7" x14ac:dyDescent="0.3">
      <c r="A33" t="s">
        <v>36</v>
      </c>
      <c r="B33" s="3">
        <v>0.1</v>
      </c>
      <c r="C33">
        <v>5</v>
      </c>
      <c r="D33">
        <f t="shared" si="2"/>
        <v>0.5</v>
      </c>
      <c r="G33" s="7"/>
    </row>
    <row r="34" spans="1:7" ht="15" thickBot="1" x14ac:dyDescent="0.35">
      <c r="B34" s="4">
        <f>SUM(B27:B33)</f>
        <v>0.99999999999999989</v>
      </c>
      <c r="D34" s="6">
        <f>SUM(D27:D33)</f>
        <v>4.3499999999999996</v>
      </c>
      <c r="G34" s="7"/>
    </row>
    <row r="35" spans="1:7" ht="15" thickTop="1" x14ac:dyDescent="0.3">
      <c r="G35" s="7"/>
    </row>
    <row r="36" spans="1:7" x14ac:dyDescent="0.3">
      <c r="A36" t="s">
        <v>10</v>
      </c>
      <c r="G36" s="7"/>
    </row>
    <row r="37" spans="1:7" x14ac:dyDescent="0.3">
      <c r="A37" s="1" t="s">
        <v>0</v>
      </c>
      <c r="B37" s="1" t="s">
        <v>1</v>
      </c>
      <c r="C37" s="1" t="s">
        <v>17</v>
      </c>
      <c r="D37" s="1" t="s">
        <v>2</v>
      </c>
      <c r="G37" s="7"/>
    </row>
    <row r="38" spans="1:7" x14ac:dyDescent="0.3">
      <c r="A38" t="s">
        <v>42</v>
      </c>
      <c r="B38" s="3">
        <v>0.25</v>
      </c>
      <c r="C38">
        <v>4</v>
      </c>
      <c r="D38">
        <f>C38*B38</f>
        <v>1</v>
      </c>
      <c r="G38" s="7"/>
    </row>
    <row r="39" spans="1:7" x14ac:dyDescent="0.3">
      <c r="A39" t="s">
        <v>41</v>
      </c>
      <c r="B39" s="3">
        <v>0.1</v>
      </c>
      <c r="C39">
        <v>5</v>
      </c>
      <c r="D39">
        <f t="shared" ref="D39:D44" si="3">C39*B39</f>
        <v>0.5</v>
      </c>
      <c r="G39" s="7"/>
    </row>
    <row r="40" spans="1:7" x14ac:dyDescent="0.3">
      <c r="A40" t="s">
        <v>40</v>
      </c>
      <c r="B40" s="3">
        <v>0.1</v>
      </c>
      <c r="C40">
        <v>4</v>
      </c>
      <c r="D40">
        <f t="shared" si="3"/>
        <v>0.4</v>
      </c>
      <c r="G40" s="7"/>
    </row>
    <row r="41" spans="1:7" x14ac:dyDescent="0.3">
      <c r="A41" t="s">
        <v>39</v>
      </c>
      <c r="B41" s="3">
        <v>0.1</v>
      </c>
      <c r="C41">
        <v>4</v>
      </c>
      <c r="D41">
        <f t="shared" si="3"/>
        <v>0.4</v>
      </c>
      <c r="G41" s="7"/>
    </row>
    <row r="42" spans="1:7" x14ac:dyDescent="0.3">
      <c r="A42" t="s">
        <v>38</v>
      </c>
      <c r="B42" s="3">
        <v>0.1</v>
      </c>
      <c r="C42">
        <v>4</v>
      </c>
      <c r="D42">
        <f t="shared" si="3"/>
        <v>0.4</v>
      </c>
      <c r="G42" s="7"/>
    </row>
    <row r="43" spans="1:7" x14ac:dyDescent="0.3">
      <c r="A43" t="s">
        <v>37</v>
      </c>
      <c r="B43" s="3">
        <v>0.25</v>
      </c>
      <c r="C43">
        <v>4</v>
      </c>
      <c r="D43">
        <f t="shared" si="3"/>
        <v>1</v>
      </c>
      <c r="G43" s="7"/>
    </row>
    <row r="44" spans="1:7" x14ac:dyDescent="0.3">
      <c r="A44" t="s">
        <v>36</v>
      </c>
      <c r="B44" s="3">
        <v>0.1</v>
      </c>
      <c r="C44">
        <v>4</v>
      </c>
      <c r="D44">
        <f t="shared" si="3"/>
        <v>0.4</v>
      </c>
      <c r="G44" s="7"/>
    </row>
    <row r="45" spans="1:7" ht="15" thickBot="1" x14ac:dyDescent="0.35">
      <c r="B45" s="4">
        <f>SUM(B38:B44)</f>
        <v>0.99999999999999989</v>
      </c>
      <c r="D45" s="6">
        <f>SUM(D38:D44)</f>
        <v>4.0999999999999996</v>
      </c>
      <c r="G45" s="7"/>
    </row>
    <row r="46" spans="1:7" ht="15" thickTop="1" x14ac:dyDescent="0.3">
      <c r="A46" s="9"/>
      <c r="B46" s="9"/>
      <c r="C46" s="9"/>
      <c r="D46" s="9"/>
      <c r="G46" s="7"/>
    </row>
    <row r="47" spans="1:7" x14ac:dyDescent="0.3">
      <c r="A47" t="s">
        <v>11</v>
      </c>
      <c r="G47" s="7"/>
    </row>
    <row r="48" spans="1:7" x14ac:dyDescent="0.3">
      <c r="A48" s="1" t="s">
        <v>0</v>
      </c>
      <c r="B48" s="1" t="s">
        <v>1</v>
      </c>
      <c r="C48" s="1" t="s">
        <v>17</v>
      </c>
      <c r="D48" s="1" t="s">
        <v>2</v>
      </c>
      <c r="G48" s="7"/>
    </row>
    <row r="49" spans="1:7" x14ac:dyDescent="0.3">
      <c r="A49" t="s">
        <v>42</v>
      </c>
      <c r="B49" s="3">
        <v>0.25</v>
      </c>
      <c r="C49">
        <v>3</v>
      </c>
      <c r="D49">
        <f t="shared" ref="D49:D55" si="4">C49*B49</f>
        <v>0.75</v>
      </c>
      <c r="G49" s="7"/>
    </row>
    <row r="50" spans="1:7" x14ac:dyDescent="0.3">
      <c r="A50" t="s">
        <v>41</v>
      </c>
      <c r="B50" s="3">
        <v>0.1</v>
      </c>
      <c r="C50">
        <v>4</v>
      </c>
      <c r="D50">
        <f t="shared" si="4"/>
        <v>0.4</v>
      </c>
      <c r="G50" s="7"/>
    </row>
    <row r="51" spans="1:7" x14ac:dyDescent="0.3">
      <c r="A51" t="s">
        <v>40</v>
      </c>
      <c r="B51" s="3">
        <v>0.1</v>
      </c>
      <c r="C51">
        <v>3</v>
      </c>
      <c r="D51">
        <f t="shared" si="4"/>
        <v>0.30000000000000004</v>
      </c>
      <c r="G51" s="7"/>
    </row>
    <row r="52" spans="1:7" x14ac:dyDescent="0.3">
      <c r="A52" t="s">
        <v>39</v>
      </c>
      <c r="B52" s="3">
        <v>0.1</v>
      </c>
      <c r="C52">
        <v>3</v>
      </c>
      <c r="D52">
        <f t="shared" si="4"/>
        <v>0.30000000000000004</v>
      </c>
      <c r="G52" s="7"/>
    </row>
    <row r="53" spans="1:7" x14ac:dyDescent="0.3">
      <c r="A53" t="s">
        <v>38</v>
      </c>
      <c r="B53" s="3">
        <v>0.1</v>
      </c>
      <c r="C53">
        <v>4</v>
      </c>
      <c r="D53">
        <f t="shared" si="4"/>
        <v>0.4</v>
      </c>
      <c r="G53" s="7"/>
    </row>
    <row r="54" spans="1:7" x14ac:dyDescent="0.3">
      <c r="A54" t="s">
        <v>37</v>
      </c>
      <c r="B54" s="3">
        <v>0.25</v>
      </c>
      <c r="C54">
        <v>3</v>
      </c>
      <c r="D54">
        <f t="shared" si="4"/>
        <v>0.75</v>
      </c>
      <c r="G54" s="7"/>
    </row>
    <row r="55" spans="1:7" x14ac:dyDescent="0.3">
      <c r="A55" t="s">
        <v>36</v>
      </c>
      <c r="B55" s="3">
        <v>0.1</v>
      </c>
      <c r="C55">
        <v>4</v>
      </c>
      <c r="D55">
        <f t="shared" si="4"/>
        <v>0.4</v>
      </c>
      <c r="G55" s="7"/>
    </row>
    <row r="56" spans="1:7" ht="15" thickBot="1" x14ac:dyDescent="0.35">
      <c r="B56" s="4">
        <f>SUM(B49:B55)</f>
        <v>0.99999999999999989</v>
      </c>
      <c r="D56" s="6">
        <f>SUM(D49:D55)</f>
        <v>3.3</v>
      </c>
      <c r="G56" s="7"/>
    </row>
    <row r="57" spans="1:7" ht="15" thickTop="1" x14ac:dyDescent="0.3">
      <c r="A57" s="9"/>
      <c r="B57" s="9"/>
      <c r="C57" s="9"/>
      <c r="D57" s="9"/>
      <c r="G57" s="7"/>
    </row>
    <row r="58" spans="1:7" x14ac:dyDescent="0.3">
      <c r="A58" t="s">
        <v>12</v>
      </c>
      <c r="G58" s="7"/>
    </row>
    <row r="59" spans="1:7" x14ac:dyDescent="0.3">
      <c r="A59" s="1" t="s">
        <v>0</v>
      </c>
      <c r="B59" s="1" t="s">
        <v>1</v>
      </c>
      <c r="C59" s="1" t="s">
        <v>17</v>
      </c>
      <c r="D59" s="1" t="s">
        <v>2</v>
      </c>
      <c r="G59" s="7"/>
    </row>
    <row r="60" spans="1:7" x14ac:dyDescent="0.3">
      <c r="A60" t="s">
        <v>42</v>
      </c>
      <c r="B60" s="3">
        <v>0.25</v>
      </c>
      <c r="C60">
        <v>4</v>
      </c>
      <c r="D60">
        <f t="shared" ref="D60:D66" si="5">C60*B60</f>
        <v>1</v>
      </c>
      <c r="G60" s="7"/>
    </row>
    <row r="61" spans="1:7" x14ac:dyDescent="0.3">
      <c r="A61" t="s">
        <v>41</v>
      </c>
      <c r="B61" s="3">
        <v>0.1</v>
      </c>
      <c r="C61">
        <v>5</v>
      </c>
      <c r="D61">
        <f t="shared" si="5"/>
        <v>0.5</v>
      </c>
      <c r="G61" s="7"/>
    </row>
    <row r="62" spans="1:7" x14ac:dyDescent="0.3">
      <c r="A62" t="s">
        <v>40</v>
      </c>
      <c r="B62" s="3">
        <v>0.1</v>
      </c>
      <c r="C62">
        <v>4</v>
      </c>
      <c r="D62">
        <f t="shared" si="5"/>
        <v>0.4</v>
      </c>
      <c r="G62" s="7"/>
    </row>
    <row r="63" spans="1:7" x14ac:dyDescent="0.3">
      <c r="A63" t="s">
        <v>39</v>
      </c>
      <c r="B63" s="3">
        <v>0.1</v>
      </c>
      <c r="C63">
        <v>4</v>
      </c>
      <c r="D63">
        <f t="shared" si="5"/>
        <v>0.4</v>
      </c>
      <c r="G63" s="7"/>
    </row>
    <row r="64" spans="1:7" x14ac:dyDescent="0.3">
      <c r="A64" t="s">
        <v>38</v>
      </c>
      <c r="B64" s="3">
        <v>0.1</v>
      </c>
      <c r="C64">
        <v>4</v>
      </c>
      <c r="D64">
        <f t="shared" si="5"/>
        <v>0.4</v>
      </c>
      <c r="G64" s="7"/>
    </row>
    <row r="65" spans="1:7" x14ac:dyDescent="0.3">
      <c r="A65" t="s">
        <v>37</v>
      </c>
      <c r="B65" s="3">
        <v>0.25</v>
      </c>
      <c r="C65">
        <v>4</v>
      </c>
      <c r="D65">
        <f t="shared" si="5"/>
        <v>1</v>
      </c>
      <c r="G65" s="7"/>
    </row>
    <row r="66" spans="1:7" x14ac:dyDescent="0.3">
      <c r="A66" t="s">
        <v>36</v>
      </c>
      <c r="B66" s="3">
        <v>0.1</v>
      </c>
      <c r="C66">
        <v>4</v>
      </c>
      <c r="D66">
        <f t="shared" si="5"/>
        <v>0.4</v>
      </c>
      <c r="G66" s="7"/>
    </row>
    <row r="67" spans="1:7" ht="15" thickBot="1" x14ac:dyDescent="0.35">
      <c r="B67" s="4">
        <f>SUM(B60:B66)</f>
        <v>0.99999999999999989</v>
      </c>
      <c r="D67" s="6">
        <f>SUM(D60:D66)</f>
        <v>4.0999999999999996</v>
      </c>
      <c r="G67" s="7"/>
    </row>
    <row r="68" spans="1:7" ht="15" thickTop="1" x14ac:dyDescent="0.3">
      <c r="A68" s="9"/>
      <c r="B68" s="9"/>
      <c r="C68" s="9"/>
      <c r="D68" s="9"/>
      <c r="G68" s="7"/>
    </row>
    <row r="69" spans="1:7" x14ac:dyDescent="0.3">
      <c r="A69" t="s">
        <v>13</v>
      </c>
      <c r="G69" s="7"/>
    </row>
    <row r="70" spans="1:7" x14ac:dyDescent="0.3">
      <c r="A70" s="1" t="s">
        <v>0</v>
      </c>
      <c r="B70" s="1" t="s">
        <v>1</v>
      </c>
      <c r="C70" s="1" t="s">
        <v>17</v>
      </c>
      <c r="D70" s="1" t="s">
        <v>2</v>
      </c>
      <c r="G70" s="7"/>
    </row>
    <row r="71" spans="1:7" x14ac:dyDescent="0.3">
      <c r="A71" t="s">
        <v>42</v>
      </c>
      <c r="B71" s="3">
        <v>0.25</v>
      </c>
      <c r="C71">
        <v>3</v>
      </c>
      <c r="D71">
        <f>C71*B71</f>
        <v>0.75</v>
      </c>
      <c r="G71" s="7"/>
    </row>
    <row r="72" spans="1:7" x14ac:dyDescent="0.3">
      <c r="A72" t="s">
        <v>41</v>
      </c>
      <c r="B72" s="3">
        <v>0.1</v>
      </c>
      <c r="C72">
        <v>5</v>
      </c>
      <c r="D72">
        <f t="shared" ref="D72:D77" si="6">C72*B72</f>
        <v>0.5</v>
      </c>
      <c r="G72" s="7"/>
    </row>
    <row r="73" spans="1:7" x14ac:dyDescent="0.3">
      <c r="A73" t="s">
        <v>40</v>
      </c>
      <c r="B73" s="3">
        <v>0.1</v>
      </c>
      <c r="C73">
        <v>4</v>
      </c>
      <c r="D73">
        <f t="shared" si="6"/>
        <v>0.4</v>
      </c>
      <c r="G73" s="7"/>
    </row>
    <row r="74" spans="1:7" x14ac:dyDescent="0.3">
      <c r="A74" t="s">
        <v>39</v>
      </c>
      <c r="B74" s="3">
        <v>0.1</v>
      </c>
      <c r="C74">
        <v>4</v>
      </c>
      <c r="D74">
        <f t="shared" si="6"/>
        <v>0.4</v>
      </c>
      <c r="G74" s="7"/>
    </row>
    <row r="75" spans="1:7" x14ac:dyDescent="0.3">
      <c r="A75" t="s">
        <v>38</v>
      </c>
      <c r="B75" s="3">
        <v>0.1</v>
      </c>
      <c r="C75">
        <v>4</v>
      </c>
      <c r="D75">
        <f t="shared" si="6"/>
        <v>0.4</v>
      </c>
      <c r="G75" s="7"/>
    </row>
    <row r="76" spans="1:7" x14ac:dyDescent="0.3">
      <c r="A76" t="s">
        <v>37</v>
      </c>
      <c r="B76" s="3">
        <v>0.25</v>
      </c>
      <c r="C76">
        <v>4</v>
      </c>
      <c r="D76">
        <f t="shared" si="6"/>
        <v>1</v>
      </c>
      <c r="G76" s="7"/>
    </row>
    <row r="77" spans="1:7" x14ac:dyDescent="0.3">
      <c r="A77" t="s">
        <v>36</v>
      </c>
      <c r="B77" s="3">
        <v>0.1</v>
      </c>
      <c r="C77">
        <v>4</v>
      </c>
      <c r="D77">
        <f t="shared" si="6"/>
        <v>0.4</v>
      </c>
      <c r="G77" s="7"/>
    </row>
    <row r="78" spans="1:7" ht="15" thickBot="1" x14ac:dyDescent="0.35">
      <c r="B78" s="4">
        <f>SUM(B71:B77)</f>
        <v>0.99999999999999989</v>
      </c>
      <c r="D78" s="6">
        <f>SUM(D71:D77)</f>
        <v>3.8499999999999996</v>
      </c>
      <c r="G78" s="7"/>
    </row>
    <row r="79" spans="1:7" ht="15" thickTop="1" x14ac:dyDescent="0.3">
      <c r="G79" s="7"/>
    </row>
    <row r="80" spans="1:7" x14ac:dyDescent="0.3">
      <c r="A80" t="s">
        <v>14</v>
      </c>
      <c r="G80" s="7"/>
    </row>
    <row r="81" spans="1:7" x14ac:dyDescent="0.3">
      <c r="A81" s="1" t="s">
        <v>0</v>
      </c>
      <c r="B81" s="1" t="s">
        <v>1</v>
      </c>
      <c r="C81" s="1" t="s">
        <v>17</v>
      </c>
      <c r="D81" s="1" t="s">
        <v>2</v>
      </c>
      <c r="G81" s="7"/>
    </row>
    <row r="82" spans="1:7" x14ac:dyDescent="0.3">
      <c r="A82" t="s">
        <v>42</v>
      </c>
      <c r="B82" s="3">
        <v>0.25</v>
      </c>
      <c r="C82">
        <v>3</v>
      </c>
      <c r="D82">
        <f>C82*B82</f>
        <v>0.75</v>
      </c>
      <c r="G82" s="7"/>
    </row>
    <row r="83" spans="1:7" x14ac:dyDescent="0.3">
      <c r="A83" t="s">
        <v>41</v>
      </c>
      <c r="B83" s="3">
        <v>0.1</v>
      </c>
      <c r="C83">
        <v>4</v>
      </c>
      <c r="D83">
        <f t="shared" ref="D83:D88" si="7">C83*B83</f>
        <v>0.4</v>
      </c>
    </row>
    <row r="84" spans="1:7" x14ac:dyDescent="0.3">
      <c r="A84" t="s">
        <v>40</v>
      </c>
      <c r="B84" s="3">
        <v>0.1</v>
      </c>
      <c r="C84">
        <v>3</v>
      </c>
      <c r="D84">
        <f t="shared" si="7"/>
        <v>0.30000000000000004</v>
      </c>
      <c r="G84" s="7"/>
    </row>
    <row r="85" spans="1:7" x14ac:dyDescent="0.3">
      <c r="A85" t="s">
        <v>39</v>
      </c>
      <c r="B85" s="3">
        <v>0.1</v>
      </c>
      <c r="C85">
        <v>4</v>
      </c>
      <c r="D85">
        <f t="shared" si="7"/>
        <v>0.4</v>
      </c>
    </row>
    <row r="86" spans="1:7" x14ac:dyDescent="0.3">
      <c r="A86" t="s">
        <v>38</v>
      </c>
      <c r="B86" s="3">
        <v>0.1</v>
      </c>
      <c r="C86">
        <v>3</v>
      </c>
      <c r="D86">
        <f t="shared" si="7"/>
        <v>0.30000000000000004</v>
      </c>
      <c r="G86" s="7"/>
    </row>
    <row r="87" spans="1:7" x14ac:dyDescent="0.3">
      <c r="A87" t="s">
        <v>37</v>
      </c>
      <c r="B87" s="3">
        <v>0.25</v>
      </c>
      <c r="C87">
        <v>4</v>
      </c>
      <c r="D87">
        <f t="shared" si="7"/>
        <v>1</v>
      </c>
      <c r="G87" s="8"/>
    </row>
    <row r="88" spans="1:7" x14ac:dyDescent="0.3">
      <c r="A88" t="s">
        <v>36</v>
      </c>
      <c r="B88" s="3">
        <v>0.1</v>
      </c>
      <c r="C88">
        <v>4</v>
      </c>
      <c r="D88">
        <f t="shared" si="7"/>
        <v>0.4</v>
      </c>
      <c r="G88" s="8"/>
    </row>
    <row r="89" spans="1:7" ht="15" thickBot="1" x14ac:dyDescent="0.35">
      <c r="B89" s="4">
        <f>SUM(B82:B88)</f>
        <v>0.99999999999999989</v>
      </c>
      <c r="D89" s="6">
        <f>SUM(D82:D88)</f>
        <v>3.5500000000000003</v>
      </c>
    </row>
    <row r="90" spans="1:7" ht="15" thickTop="1" x14ac:dyDescent="0.3">
      <c r="G90" s="7"/>
    </row>
    <row r="91" spans="1:7" x14ac:dyDescent="0.3">
      <c r="A91" t="s">
        <v>15</v>
      </c>
      <c r="G91" s="8"/>
    </row>
    <row r="92" spans="1:7" x14ac:dyDescent="0.3">
      <c r="A92" s="1" t="s">
        <v>0</v>
      </c>
      <c r="B92" s="1" t="s">
        <v>1</v>
      </c>
      <c r="C92" s="1" t="s">
        <v>17</v>
      </c>
      <c r="D92" s="1" t="s">
        <v>2</v>
      </c>
      <c r="G92" s="8"/>
    </row>
    <row r="93" spans="1:7" x14ac:dyDescent="0.3">
      <c r="A93" t="s">
        <v>42</v>
      </c>
      <c r="B93" s="3">
        <v>0.25</v>
      </c>
      <c r="C93">
        <v>4</v>
      </c>
      <c r="D93">
        <f>C93*B93</f>
        <v>1</v>
      </c>
      <c r="G93" s="8"/>
    </row>
    <row r="94" spans="1:7" x14ac:dyDescent="0.3">
      <c r="A94" t="s">
        <v>41</v>
      </c>
      <c r="B94" s="3">
        <v>0.1</v>
      </c>
      <c r="C94">
        <v>5</v>
      </c>
      <c r="D94">
        <f t="shared" ref="D94:D99" si="8">C94*B94</f>
        <v>0.5</v>
      </c>
      <c r="G94" s="8"/>
    </row>
    <row r="95" spans="1:7" x14ac:dyDescent="0.3">
      <c r="A95" t="s">
        <v>40</v>
      </c>
      <c r="B95" s="3">
        <v>0.1</v>
      </c>
      <c r="C95">
        <v>3</v>
      </c>
      <c r="D95">
        <f t="shared" si="8"/>
        <v>0.30000000000000004</v>
      </c>
      <c r="G95" s="8"/>
    </row>
    <row r="96" spans="1:7" x14ac:dyDescent="0.3">
      <c r="A96" t="s">
        <v>39</v>
      </c>
      <c r="B96" s="3">
        <v>0.1</v>
      </c>
      <c r="C96">
        <v>3</v>
      </c>
      <c r="D96">
        <f t="shared" si="8"/>
        <v>0.30000000000000004</v>
      </c>
      <c r="G96" s="8"/>
    </row>
    <row r="97" spans="1:7" x14ac:dyDescent="0.3">
      <c r="A97" t="s">
        <v>38</v>
      </c>
      <c r="B97" s="3">
        <v>0.1</v>
      </c>
      <c r="C97">
        <v>4</v>
      </c>
      <c r="D97">
        <f t="shared" si="8"/>
        <v>0.4</v>
      </c>
      <c r="G97" s="8"/>
    </row>
    <row r="98" spans="1:7" x14ac:dyDescent="0.3">
      <c r="A98" t="s">
        <v>37</v>
      </c>
      <c r="B98" s="3">
        <v>0.25</v>
      </c>
      <c r="C98">
        <v>4</v>
      </c>
      <c r="D98">
        <f t="shared" si="8"/>
        <v>1</v>
      </c>
      <c r="G98" s="8"/>
    </row>
    <row r="99" spans="1:7" x14ac:dyDescent="0.3">
      <c r="A99" t="s">
        <v>36</v>
      </c>
      <c r="B99" s="3">
        <v>0.1</v>
      </c>
      <c r="C99">
        <v>4</v>
      </c>
      <c r="D99">
        <f t="shared" si="8"/>
        <v>0.4</v>
      </c>
      <c r="G99" s="8"/>
    </row>
    <row r="100" spans="1:7" ht="15" thickBot="1" x14ac:dyDescent="0.35">
      <c r="B100" s="4">
        <f>SUM(B93:B99)</f>
        <v>0.99999999999999989</v>
      </c>
      <c r="D100" s="6">
        <f>SUM(D93:D99)</f>
        <v>3.9</v>
      </c>
      <c r="G100" s="7"/>
    </row>
    <row r="101" spans="1:7" ht="15" thickTop="1" x14ac:dyDescent="0.3"/>
    <row r="102" spans="1:7" x14ac:dyDescent="0.3">
      <c r="G102" s="7"/>
    </row>
    <row r="103" spans="1:7" x14ac:dyDescent="0.3">
      <c r="G103" s="8"/>
    </row>
    <row r="104" spans="1:7" x14ac:dyDescent="0.3">
      <c r="G104" s="8"/>
    </row>
    <row r="105" spans="1:7" x14ac:dyDescent="0.3">
      <c r="G105" s="8"/>
    </row>
    <row r="107" spans="1:7" x14ac:dyDescent="0.3">
      <c r="G107" s="7"/>
    </row>
    <row r="109" spans="1:7" x14ac:dyDescent="0.3">
      <c r="G109" s="7"/>
    </row>
    <row r="110" spans="1:7" x14ac:dyDescent="0.3">
      <c r="G110" s="8"/>
    </row>
    <row r="111" spans="1:7" x14ac:dyDescent="0.3">
      <c r="G111" s="8"/>
    </row>
    <row r="112" spans="1:7" x14ac:dyDescent="0.3">
      <c r="G112" s="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B0A2F-0647-4BA2-B617-3A75F18B3EBD}">
  <dimension ref="A1:G112"/>
  <sheetViews>
    <sheetView topLeftCell="A89" zoomScale="80" zoomScaleNormal="80" workbookViewId="0">
      <selection activeCell="C97" sqref="C97"/>
    </sheetView>
  </sheetViews>
  <sheetFormatPr defaultRowHeight="14.4" x14ac:dyDescent="0.3"/>
  <cols>
    <col min="1" max="1" width="122.77734375" bestFit="1" customWidth="1"/>
    <col min="2" max="2" width="6.77734375" bestFit="1" customWidth="1"/>
    <col min="3" max="3" width="10.21875" bestFit="1" customWidth="1"/>
    <col min="4" max="4" width="13.88671875" bestFit="1" customWidth="1"/>
    <col min="6" max="6" width="15.33203125" bestFit="1" customWidth="1"/>
  </cols>
  <sheetData>
    <row r="1" spans="1:7" x14ac:dyDescent="0.3">
      <c r="A1" s="2" t="s">
        <v>3</v>
      </c>
      <c r="B1" s="5">
        <v>5</v>
      </c>
    </row>
    <row r="2" spans="1:7" x14ac:dyDescent="0.3">
      <c r="F2" s="10" t="s">
        <v>35</v>
      </c>
      <c r="G2" s="7"/>
    </row>
    <row r="3" spans="1:7" x14ac:dyDescent="0.3">
      <c r="A3" t="s">
        <v>7</v>
      </c>
      <c r="F3">
        <f>D12</f>
        <v>4.55</v>
      </c>
      <c r="G3" s="7"/>
    </row>
    <row r="4" spans="1:7" x14ac:dyDescent="0.3">
      <c r="A4" s="1" t="s">
        <v>0</v>
      </c>
      <c r="B4" s="1" t="s">
        <v>1</v>
      </c>
      <c r="C4" s="1" t="s">
        <v>17</v>
      </c>
      <c r="D4" s="1" t="s">
        <v>2</v>
      </c>
      <c r="F4">
        <f>D23</f>
        <v>3.5</v>
      </c>
      <c r="G4" s="7"/>
    </row>
    <row r="5" spans="1:7" x14ac:dyDescent="0.3">
      <c r="A5" t="s">
        <v>42</v>
      </c>
      <c r="B5" s="3">
        <v>0.25</v>
      </c>
      <c r="C5">
        <v>4</v>
      </c>
      <c r="D5">
        <f>C5*B5</f>
        <v>1</v>
      </c>
      <c r="F5">
        <f>D34</f>
        <v>3.75</v>
      </c>
      <c r="G5" s="7"/>
    </row>
    <row r="6" spans="1:7" x14ac:dyDescent="0.3">
      <c r="A6" t="s">
        <v>41</v>
      </c>
      <c r="B6" s="3">
        <v>0.1</v>
      </c>
      <c r="C6">
        <v>5</v>
      </c>
      <c r="D6">
        <f t="shared" ref="D6:D11" si="0">C6*B6</f>
        <v>0.5</v>
      </c>
      <c r="F6">
        <f>D45</f>
        <v>4.0999999999999996</v>
      </c>
      <c r="G6" s="7"/>
    </row>
    <row r="7" spans="1:7" x14ac:dyDescent="0.3">
      <c r="A7" t="s">
        <v>40</v>
      </c>
      <c r="B7" s="3">
        <v>0.1</v>
      </c>
      <c r="C7">
        <v>4</v>
      </c>
      <c r="D7">
        <f t="shared" si="0"/>
        <v>0.4</v>
      </c>
      <c r="F7">
        <f>D56</f>
        <v>4.0999999999999996</v>
      </c>
      <c r="G7" s="7"/>
    </row>
    <row r="8" spans="1:7" x14ac:dyDescent="0.3">
      <c r="A8" t="s">
        <v>39</v>
      </c>
      <c r="B8" s="3">
        <v>0.1</v>
      </c>
      <c r="C8">
        <v>4</v>
      </c>
      <c r="D8">
        <f t="shared" si="0"/>
        <v>0.4</v>
      </c>
      <c r="F8">
        <f>D67</f>
        <v>4.2</v>
      </c>
      <c r="G8" s="7"/>
    </row>
    <row r="9" spans="1:7" x14ac:dyDescent="0.3">
      <c r="A9" t="s">
        <v>38</v>
      </c>
      <c r="B9" s="3">
        <v>0.1</v>
      </c>
      <c r="C9">
        <v>5</v>
      </c>
      <c r="D9">
        <f t="shared" si="0"/>
        <v>0.5</v>
      </c>
      <c r="F9">
        <f>D78</f>
        <v>3.7499999999999996</v>
      </c>
      <c r="G9" s="7"/>
    </row>
    <row r="10" spans="1:7" x14ac:dyDescent="0.3">
      <c r="A10" t="s">
        <v>37</v>
      </c>
      <c r="B10" s="3">
        <v>0.25</v>
      </c>
      <c r="C10">
        <v>5</v>
      </c>
      <c r="D10">
        <f t="shared" si="0"/>
        <v>1.25</v>
      </c>
      <c r="F10">
        <f>D89</f>
        <v>4.2</v>
      </c>
      <c r="G10" s="7"/>
    </row>
    <row r="11" spans="1:7" x14ac:dyDescent="0.3">
      <c r="A11" t="s">
        <v>36</v>
      </c>
      <c r="B11" s="3">
        <v>0.1</v>
      </c>
      <c r="C11">
        <v>5</v>
      </c>
      <c r="D11">
        <f t="shared" si="0"/>
        <v>0.5</v>
      </c>
      <c r="F11">
        <f>D100</f>
        <v>4.2</v>
      </c>
      <c r="G11" s="7"/>
    </row>
    <row r="12" spans="1:7" ht="15" thickBot="1" x14ac:dyDescent="0.35">
      <c r="B12" s="4">
        <f>SUM(B5:B11)</f>
        <v>0.99999999999999989</v>
      </c>
      <c r="D12" s="6">
        <f>SUM(D5:D11)</f>
        <v>4.55</v>
      </c>
      <c r="G12" s="7"/>
    </row>
    <row r="13" spans="1:7" ht="15" thickTop="1" x14ac:dyDescent="0.3">
      <c r="G13" s="7"/>
    </row>
    <row r="14" spans="1:7" x14ac:dyDescent="0.3">
      <c r="A14" t="s">
        <v>8</v>
      </c>
      <c r="G14" s="7"/>
    </row>
    <row r="15" spans="1:7" x14ac:dyDescent="0.3">
      <c r="A15" s="1" t="s">
        <v>0</v>
      </c>
      <c r="B15" s="1" t="s">
        <v>1</v>
      </c>
      <c r="C15" s="1" t="s">
        <v>17</v>
      </c>
      <c r="D15" s="1" t="s">
        <v>2</v>
      </c>
      <c r="G15" s="7"/>
    </row>
    <row r="16" spans="1:7" x14ac:dyDescent="0.3">
      <c r="A16" t="s">
        <v>42</v>
      </c>
      <c r="B16" s="3">
        <v>0.25</v>
      </c>
      <c r="C16">
        <v>3</v>
      </c>
      <c r="D16">
        <f>C16*B16</f>
        <v>0.75</v>
      </c>
      <c r="G16" s="7"/>
    </row>
    <row r="17" spans="1:7" x14ac:dyDescent="0.3">
      <c r="A17" t="s">
        <v>41</v>
      </c>
      <c r="B17" s="3">
        <v>0.1</v>
      </c>
      <c r="C17">
        <v>5</v>
      </c>
      <c r="D17">
        <f t="shared" ref="D17:D22" si="1">C17*B17</f>
        <v>0.5</v>
      </c>
      <c r="G17" s="7"/>
    </row>
    <row r="18" spans="1:7" x14ac:dyDescent="0.3">
      <c r="A18" t="s">
        <v>40</v>
      </c>
      <c r="B18" s="3">
        <v>0.1</v>
      </c>
      <c r="C18">
        <v>3</v>
      </c>
      <c r="D18">
        <f t="shared" si="1"/>
        <v>0.30000000000000004</v>
      </c>
      <c r="G18" s="7"/>
    </row>
    <row r="19" spans="1:7" x14ac:dyDescent="0.3">
      <c r="A19" t="s">
        <v>39</v>
      </c>
      <c r="B19" s="3">
        <v>0.1</v>
      </c>
      <c r="C19">
        <v>3</v>
      </c>
      <c r="D19">
        <f t="shared" si="1"/>
        <v>0.30000000000000004</v>
      </c>
      <c r="G19" s="7"/>
    </row>
    <row r="20" spans="1:7" x14ac:dyDescent="0.3">
      <c r="A20" t="s">
        <v>38</v>
      </c>
      <c r="B20" s="3">
        <v>0.1</v>
      </c>
      <c r="C20">
        <v>4</v>
      </c>
      <c r="D20">
        <f t="shared" si="1"/>
        <v>0.4</v>
      </c>
      <c r="G20" s="7"/>
    </row>
    <row r="21" spans="1:7" x14ac:dyDescent="0.3">
      <c r="A21" t="s">
        <v>37</v>
      </c>
      <c r="B21" s="3">
        <v>0.25</v>
      </c>
      <c r="C21">
        <v>3</v>
      </c>
      <c r="D21">
        <f t="shared" si="1"/>
        <v>0.75</v>
      </c>
      <c r="G21" s="7"/>
    </row>
    <row r="22" spans="1:7" x14ac:dyDescent="0.3">
      <c r="A22" t="s">
        <v>36</v>
      </c>
      <c r="B22" s="3">
        <v>0.1</v>
      </c>
      <c r="C22">
        <v>5</v>
      </c>
      <c r="D22">
        <f t="shared" si="1"/>
        <v>0.5</v>
      </c>
      <c r="G22" s="7"/>
    </row>
    <row r="23" spans="1:7" ht="15" thickBot="1" x14ac:dyDescent="0.35">
      <c r="B23" s="4">
        <f>SUM(B16:B22)</f>
        <v>0.99999999999999989</v>
      </c>
      <c r="D23" s="6">
        <f>SUM(D16:D22)</f>
        <v>3.5</v>
      </c>
      <c r="G23" s="7"/>
    </row>
    <row r="24" spans="1:7" ht="15" thickTop="1" x14ac:dyDescent="0.3">
      <c r="G24" s="7"/>
    </row>
    <row r="25" spans="1:7" x14ac:dyDescent="0.3">
      <c r="A25" t="s">
        <v>9</v>
      </c>
      <c r="G25" s="7"/>
    </row>
    <row r="26" spans="1:7" x14ac:dyDescent="0.3">
      <c r="A26" s="1" t="s">
        <v>0</v>
      </c>
      <c r="B26" s="1" t="s">
        <v>1</v>
      </c>
      <c r="C26" s="1" t="s">
        <v>17</v>
      </c>
      <c r="D26" s="1" t="s">
        <v>2</v>
      </c>
      <c r="G26" s="7"/>
    </row>
    <row r="27" spans="1:7" x14ac:dyDescent="0.3">
      <c r="A27" t="s">
        <v>42</v>
      </c>
      <c r="B27" s="3">
        <v>0.25</v>
      </c>
      <c r="C27">
        <v>4</v>
      </c>
      <c r="D27">
        <f>C27*B27</f>
        <v>1</v>
      </c>
      <c r="G27" s="7"/>
    </row>
    <row r="28" spans="1:7" x14ac:dyDescent="0.3">
      <c r="A28" t="s">
        <v>41</v>
      </c>
      <c r="B28" s="3">
        <v>0.1</v>
      </c>
      <c r="C28">
        <v>5</v>
      </c>
      <c r="D28">
        <f t="shared" ref="D28:D33" si="2">C28*B28</f>
        <v>0.5</v>
      </c>
      <c r="G28" s="7"/>
    </row>
    <row r="29" spans="1:7" x14ac:dyDescent="0.3">
      <c r="A29" t="s">
        <v>40</v>
      </c>
      <c r="B29" s="3">
        <v>0.1</v>
      </c>
      <c r="C29">
        <v>3</v>
      </c>
      <c r="D29">
        <f t="shared" si="2"/>
        <v>0.30000000000000004</v>
      </c>
      <c r="G29" s="7"/>
    </row>
    <row r="30" spans="1:7" x14ac:dyDescent="0.3">
      <c r="A30" t="s">
        <v>39</v>
      </c>
      <c r="B30" s="3">
        <v>0.1</v>
      </c>
      <c r="C30">
        <v>3</v>
      </c>
      <c r="D30">
        <f t="shared" si="2"/>
        <v>0.30000000000000004</v>
      </c>
      <c r="G30" s="7"/>
    </row>
    <row r="31" spans="1:7" x14ac:dyDescent="0.3">
      <c r="A31" t="s">
        <v>38</v>
      </c>
      <c r="B31" s="3">
        <v>0.1</v>
      </c>
      <c r="C31">
        <v>4</v>
      </c>
      <c r="D31">
        <f t="shared" si="2"/>
        <v>0.4</v>
      </c>
      <c r="G31" s="7"/>
    </row>
    <row r="32" spans="1:7" x14ac:dyDescent="0.3">
      <c r="A32" t="s">
        <v>37</v>
      </c>
      <c r="B32" s="3">
        <v>0.25</v>
      </c>
      <c r="C32">
        <v>3</v>
      </c>
      <c r="D32">
        <f t="shared" si="2"/>
        <v>0.75</v>
      </c>
      <c r="G32" s="7"/>
    </row>
    <row r="33" spans="1:7" x14ac:dyDescent="0.3">
      <c r="A33" t="s">
        <v>36</v>
      </c>
      <c r="B33" s="3">
        <v>0.1</v>
      </c>
      <c r="C33">
        <v>5</v>
      </c>
      <c r="D33">
        <f t="shared" si="2"/>
        <v>0.5</v>
      </c>
      <c r="G33" s="7"/>
    </row>
    <row r="34" spans="1:7" ht="15" thickBot="1" x14ac:dyDescent="0.35">
      <c r="B34" s="4">
        <f>SUM(B27:B33)</f>
        <v>0.99999999999999989</v>
      </c>
      <c r="D34" s="6">
        <f>SUM(D27:D33)</f>
        <v>3.75</v>
      </c>
      <c r="G34" s="7"/>
    </row>
    <row r="35" spans="1:7" ht="15" thickTop="1" x14ac:dyDescent="0.3">
      <c r="G35" s="7"/>
    </row>
    <row r="36" spans="1:7" x14ac:dyDescent="0.3">
      <c r="A36" t="s">
        <v>10</v>
      </c>
      <c r="G36" s="7"/>
    </row>
    <row r="37" spans="1:7" x14ac:dyDescent="0.3">
      <c r="A37" s="1" t="s">
        <v>0</v>
      </c>
      <c r="B37" s="1" t="s">
        <v>1</v>
      </c>
      <c r="C37" s="1" t="s">
        <v>17</v>
      </c>
      <c r="D37" s="1" t="s">
        <v>2</v>
      </c>
      <c r="G37" s="7"/>
    </row>
    <row r="38" spans="1:7" x14ac:dyDescent="0.3">
      <c r="A38" t="s">
        <v>42</v>
      </c>
      <c r="B38" s="3">
        <v>0.25</v>
      </c>
      <c r="C38">
        <v>4</v>
      </c>
      <c r="D38">
        <f>C38*B38</f>
        <v>1</v>
      </c>
      <c r="G38" s="7"/>
    </row>
    <row r="39" spans="1:7" x14ac:dyDescent="0.3">
      <c r="A39" t="s">
        <v>41</v>
      </c>
      <c r="B39" s="3">
        <v>0.1</v>
      </c>
      <c r="C39">
        <v>5</v>
      </c>
      <c r="D39">
        <f t="shared" ref="D39:D44" si="3">C39*B39</f>
        <v>0.5</v>
      </c>
      <c r="G39" s="7"/>
    </row>
    <row r="40" spans="1:7" x14ac:dyDescent="0.3">
      <c r="A40" t="s">
        <v>40</v>
      </c>
      <c r="B40" s="3">
        <v>0.1</v>
      </c>
      <c r="C40">
        <v>4</v>
      </c>
      <c r="D40">
        <f t="shared" si="3"/>
        <v>0.4</v>
      </c>
      <c r="G40" s="7"/>
    </row>
    <row r="41" spans="1:7" x14ac:dyDescent="0.3">
      <c r="A41" t="s">
        <v>39</v>
      </c>
      <c r="B41" s="3">
        <v>0.1</v>
      </c>
      <c r="C41">
        <v>4</v>
      </c>
      <c r="D41">
        <f t="shared" si="3"/>
        <v>0.4</v>
      </c>
      <c r="G41" s="7"/>
    </row>
    <row r="42" spans="1:7" x14ac:dyDescent="0.3">
      <c r="A42" t="s">
        <v>38</v>
      </c>
      <c r="B42" s="3">
        <v>0.1</v>
      </c>
      <c r="C42">
        <v>4</v>
      </c>
      <c r="D42">
        <f t="shared" si="3"/>
        <v>0.4</v>
      </c>
      <c r="G42" s="7"/>
    </row>
    <row r="43" spans="1:7" x14ac:dyDescent="0.3">
      <c r="A43" t="s">
        <v>37</v>
      </c>
      <c r="B43" s="3">
        <v>0.25</v>
      </c>
      <c r="C43">
        <v>4</v>
      </c>
      <c r="D43">
        <f t="shared" si="3"/>
        <v>1</v>
      </c>
      <c r="G43" s="7"/>
    </row>
    <row r="44" spans="1:7" x14ac:dyDescent="0.3">
      <c r="A44" t="s">
        <v>36</v>
      </c>
      <c r="B44" s="3">
        <v>0.1</v>
      </c>
      <c r="C44">
        <v>4</v>
      </c>
      <c r="D44">
        <f t="shared" si="3"/>
        <v>0.4</v>
      </c>
      <c r="G44" s="7"/>
    </row>
    <row r="45" spans="1:7" ht="15" thickBot="1" x14ac:dyDescent="0.35">
      <c r="B45" s="4">
        <f>SUM(B38:B44)</f>
        <v>0.99999999999999989</v>
      </c>
      <c r="D45" s="6">
        <f>SUM(D38:D44)</f>
        <v>4.0999999999999996</v>
      </c>
      <c r="G45" s="7"/>
    </row>
    <row r="46" spans="1:7" ht="15" thickTop="1" x14ac:dyDescent="0.3">
      <c r="A46" s="9"/>
      <c r="B46" s="9"/>
      <c r="C46" s="9"/>
      <c r="D46" s="9"/>
      <c r="G46" s="7"/>
    </row>
    <row r="47" spans="1:7" x14ac:dyDescent="0.3">
      <c r="A47" t="s">
        <v>11</v>
      </c>
      <c r="G47" s="7"/>
    </row>
    <row r="48" spans="1:7" x14ac:dyDescent="0.3">
      <c r="A48" s="1" t="s">
        <v>0</v>
      </c>
      <c r="B48" s="1" t="s">
        <v>1</v>
      </c>
      <c r="C48" s="1" t="s">
        <v>17</v>
      </c>
      <c r="D48" s="1" t="s">
        <v>2</v>
      </c>
      <c r="G48" s="7"/>
    </row>
    <row r="49" spans="1:7" x14ac:dyDescent="0.3">
      <c r="A49" t="s">
        <v>42</v>
      </c>
      <c r="B49" s="3">
        <v>0.25</v>
      </c>
      <c r="C49">
        <v>4</v>
      </c>
      <c r="D49">
        <f t="shared" ref="D49:D55" si="4">C49*B49</f>
        <v>1</v>
      </c>
      <c r="G49" s="7"/>
    </row>
    <row r="50" spans="1:7" x14ac:dyDescent="0.3">
      <c r="A50" t="s">
        <v>41</v>
      </c>
      <c r="B50" s="3">
        <v>0.1</v>
      </c>
      <c r="C50">
        <v>5</v>
      </c>
      <c r="D50">
        <f t="shared" si="4"/>
        <v>0.5</v>
      </c>
      <c r="G50" s="7"/>
    </row>
    <row r="51" spans="1:7" x14ac:dyDescent="0.3">
      <c r="A51" t="s">
        <v>40</v>
      </c>
      <c r="B51" s="3">
        <v>0.1</v>
      </c>
      <c r="C51">
        <v>4</v>
      </c>
      <c r="D51">
        <f t="shared" si="4"/>
        <v>0.4</v>
      </c>
      <c r="G51" s="7"/>
    </row>
    <row r="52" spans="1:7" x14ac:dyDescent="0.3">
      <c r="A52" t="s">
        <v>39</v>
      </c>
      <c r="B52" s="3">
        <v>0.1</v>
      </c>
      <c r="C52">
        <v>4</v>
      </c>
      <c r="D52">
        <f t="shared" si="4"/>
        <v>0.4</v>
      </c>
      <c r="G52" s="7"/>
    </row>
    <row r="53" spans="1:7" x14ac:dyDescent="0.3">
      <c r="A53" t="s">
        <v>38</v>
      </c>
      <c r="B53" s="3">
        <v>0.1</v>
      </c>
      <c r="C53">
        <v>4</v>
      </c>
      <c r="D53">
        <f t="shared" si="4"/>
        <v>0.4</v>
      </c>
      <c r="G53" s="7"/>
    </row>
    <row r="54" spans="1:7" x14ac:dyDescent="0.3">
      <c r="A54" t="s">
        <v>37</v>
      </c>
      <c r="B54" s="3">
        <v>0.25</v>
      </c>
      <c r="C54">
        <v>4</v>
      </c>
      <c r="D54">
        <f t="shared" si="4"/>
        <v>1</v>
      </c>
      <c r="G54" s="7"/>
    </row>
    <row r="55" spans="1:7" x14ac:dyDescent="0.3">
      <c r="A55" t="s">
        <v>36</v>
      </c>
      <c r="B55" s="3">
        <v>0.1</v>
      </c>
      <c r="C55">
        <v>4</v>
      </c>
      <c r="D55">
        <f t="shared" si="4"/>
        <v>0.4</v>
      </c>
      <c r="G55" s="7"/>
    </row>
    <row r="56" spans="1:7" ht="15" thickBot="1" x14ac:dyDescent="0.35">
      <c r="B56" s="4">
        <f>SUM(B49:B55)</f>
        <v>0.99999999999999989</v>
      </c>
      <c r="D56" s="6">
        <f>SUM(D49:D55)</f>
        <v>4.0999999999999996</v>
      </c>
      <c r="G56" s="7"/>
    </row>
    <row r="57" spans="1:7" ht="15" thickTop="1" x14ac:dyDescent="0.3">
      <c r="A57" s="9"/>
      <c r="B57" s="9"/>
      <c r="C57" s="9"/>
      <c r="D57" s="9"/>
      <c r="G57" s="7"/>
    </row>
    <row r="58" spans="1:7" x14ac:dyDescent="0.3">
      <c r="A58" t="s">
        <v>12</v>
      </c>
      <c r="G58" s="7"/>
    </row>
    <row r="59" spans="1:7" x14ac:dyDescent="0.3">
      <c r="A59" s="1" t="s">
        <v>0</v>
      </c>
      <c r="B59" s="1" t="s">
        <v>1</v>
      </c>
      <c r="C59" s="1" t="s">
        <v>17</v>
      </c>
      <c r="D59" s="1" t="s">
        <v>2</v>
      </c>
      <c r="G59" s="7"/>
    </row>
    <row r="60" spans="1:7" x14ac:dyDescent="0.3">
      <c r="A60" t="s">
        <v>42</v>
      </c>
      <c r="B60" s="3">
        <v>0.25</v>
      </c>
      <c r="C60">
        <v>4</v>
      </c>
      <c r="D60">
        <f t="shared" ref="D60:D66" si="5">C60*B60</f>
        <v>1</v>
      </c>
      <c r="G60" s="7"/>
    </row>
    <row r="61" spans="1:7" x14ac:dyDescent="0.3">
      <c r="A61" t="s">
        <v>41</v>
      </c>
      <c r="B61" s="3">
        <v>0.1</v>
      </c>
      <c r="C61">
        <v>5</v>
      </c>
      <c r="D61">
        <f t="shared" si="5"/>
        <v>0.5</v>
      </c>
      <c r="G61" s="7"/>
    </row>
    <row r="62" spans="1:7" x14ac:dyDescent="0.3">
      <c r="A62" t="s">
        <v>40</v>
      </c>
      <c r="B62" s="3">
        <v>0.1</v>
      </c>
      <c r="C62">
        <v>4</v>
      </c>
      <c r="D62">
        <f t="shared" si="5"/>
        <v>0.4</v>
      </c>
      <c r="G62" s="7"/>
    </row>
    <row r="63" spans="1:7" x14ac:dyDescent="0.3">
      <c r="A63" t="s">
        <v>39</v>
      </c>
      <c r="B63" s="3">
        <v>0.1</v>
      </c>
      <c r="C63">
        <v>4</v>
      </c>
      <c r="D63">
        <f t="shared" si="5"/>
        <v>0.4</v>
      </c>
      <c r="G63" s="7"/>
    </row>
    <row r="64" spans="1:7" x14ac:dyDescent="0.3">
      <c r="A64" t="s">
        <v>38</v>
      </c>
      <c r="B64" s="3">
        <v>0.1</v>
      </c>
      <c r="C64">
        <v>5</v>
      </c>
      <c r="D64">
        <f t="shared" si="5"/>
        <v>0.5</v>
      </c>
      <c r="G64" s="7"/>
    </row>
    <row r="65" spans="1:7" x14ac:dyDescent="0.3">
      <c r="A65" t="s">
        <v>37</v>
      </c>
      <c r="B65" s="3">
        <v>0.25</v>
      </c>
      <c r="C65">
        <v>4</v>
      </c>
      <c r="D65">
        <f t="shared" si="5"/>
        <v>1</v>
      </c>
      <c r="G65" s="7"/>
    </row>
    <row r="66" spans="1:7" x14ac:dyDescent="0.3">
      <c r="A66" t="s">
        <v>36</v>
      </c>
      <c r="B66" s="3">
        <v>0.1</v>
      </c>
      <c r="C66">
        <v>4</v>
      </c>
      <c r="D66">
        <f t="shared" si="5"/>
        <v>0.4</v>
      </c>
      <c r="G66" s="7"/>
    </row>
    <row r="67" spans="1:7" ht="15" thickBot="1" x14ac:dyDescent="0.35">
      <c r="B67" s="4">
        <f>SUM(B60:B66)</f>
        <v>0.99999999999999989</v>
      </c>
      <c r="D67" s="6">
        <f>SUM(D60:D66)</f>
        <v>4.2</v>
      </c>
      <c r="G67" s="7"/>
    </row>
    <row r="68" spans="1:7" ht="15" thickTop="1" x14ac:dyDescent="0.3">
      <c r="A68" s="9"/>
      <c r="B68" s="9"/>
      <c r="C68" s="9"/>
      <c r="D68" s="9"/>
      <c r="G68" s="7"/>
    </row>
    <row r="69" spans="1:7" x14ac:dyDescent="0.3">
      <c r="A69" t="s">
        <v>13</v>
      </c>
      <c r="G69" s="7"/>
    </row>
    <row r="70" spans="1:7" x14ac:dyDescent="0.3">
      <c r="A70" s="1" t="s">
        <v>0</v>
      </c>
      <c r="B70" s="1" t="s">
        <v>1</v>
      </c>
      <c r="C70" s="1" t="s">
        <v>17</v>
      </c>
      <c r="D70" s="1" t="s">
        <v>2</v>
      </c>
      <c r="G70" s="7"/>
    </row>
    <row r="71" spans="1:7" x14ac:dyDescent="0.3">
      <c r="A71" t="s">
        <v>42</v>
      </c>
      <c r="B71" s="3">
        <v>0.25</v>
      </c>
      <c r="C71">
        <v>3</v>
      </c>
      <c r="D71">
        <f>C71*B71</f>
        <v>0.75</v>
      </c>
      <c r="G71" s="7"/>
    </row>
    <row r="72" spans="1:7" x14ac:dyDescent="0.3">
      <c r="A72" t="s">
        <v>41</v>
      </c>
      <c r="B72" s="3">
        <v>0.1</v>
      </c>
      <c r="C72">
        <v>5</v>
      </c>
      <c r="D72">
        <f t="shared" ref="D72:D77" si="6">C72*B72</f>
        <v>0.5</v>
      </c>
      <c r="G72" s="7"/>
    </row>
    <row r="73" spans="1:7" x14ac:dyDescent="0.3">
      <c r="A73" t="s">
        <v>40</v>
      </c>
      <c r="B73" s="3">
        <v>0.1</v>
      </c>
      <c r="C73">
        <v>4</v>
      </c>
      <c r="D73">
        <f t="shared" si="6"/>
        <v>0.4</v>
      </c>
      <c r="G73" s="7"/>
    </row>
    <row r="74" spans="1:7" x14ac:dyDescent="0.3">
      <c r="A74" t="s">
        <v>39</v>
      </c>
      <c r="B74" s="3">
        <v>0.1</v>
      </c>
      <c r="C74">
        <v>4</v>
      </c>
      <c r="D74">
        <f t="shared" si="6"/>
        <v>0.4</v>
      </c>
      <c r="G74" s="7"/>
    </row>
    <row r="75" spans="1:7" x14ac:dyDescent="0.3">
      <c r="A75" t="s">
        <v>38</v>
      </c>
      <c r="B75" s="3">
        <v>0.1</v>
      </c>
      <c r="C75">
        <v>3</v>
      </c>
      <c r="D75">
        <f t="shared" si="6"/>
        <v>0.30000000000000004</v>
      </c>
      <c r="G75" s="7"/>
    </row>
    <row r="76" spans="1:7" x14ac:dyDescent="0.3">
      <c r="A76" t="s">
        <v>37</v>
      </c>
      <c r="B76" s="3">
        <v>0.25</v>
      </c>
      <c r="C76">
        <v>4</v>
      </c>
      <c r="D76">
        <f t="shared" si="6"/>
        <v>1</v>
      </c>
      <c r="G76" s="7"/>
    </row>
    <row r="77" spans="1:7" x14ac:dyDescent="0.3">
      <c r="A77" t="s">
        <v>36</v>
      </c>
      <c r="B77" s="3">
        <v>0.1</v>
      </c>
      <c r="C77">
        <v>4</v>
      </c>
      <c r="D77">
        <f t="shared" si="6"/>
        <v>0.4</v>
      </c>
      <c r="G77" s="7"/>
    </row>
    <row r="78" spans="1:7" ht="15" thickBot="1" x14ac:dyDescent="0.35">
      <c r="B78" s="4">
        <f>SUM(B71:B77)</f>
        <v>0.99999999999999989</v>
      </c>
      <c r="D78" s="6">
        <f>SUM(D71:D77)</f>
        <v>3.7499999999999996</v>
      </c>
      <c r="G78" s="7"/>
    </row>
    <row r="79" spans="1:7" ht="15" thickTop="1" x14ac:dyDescent="0.3">
      <c r="G79" s="7"/>
    </row>
    <row r="80" spans="1:7" x14ac:dyDescent="0.3">
      <c r="A80" t="s">
        <v>14</v>
      </c>
      <c r="G80" s="7"/>
    </row>
    <row r="81" spans="1:7" x14ac:dyDescent="0.3">
      <c r="A81" s="1" t="s">
        <v>0</v>
      </c>
      <c r="B81" s="1" t="s">
        <v>1</v>
      </c>
      <c r="C81" s="1" t="s">
        <v>17</v>
      </c>
      <c r="D81" s="1" t="s">
        <v>2</v>
      </c>
      <c r="G81" s="7"/>
    </row>
    <row r="82" spans="1:7" x14ac:dyDescent="0.3">
      <c r="A82" t="s">
        <v>42</v>
      </c>
      <c r="B82" s="3">
        <v>0.25</v>
      </c>
      <c r="C82">
        <v>4</v>
      </c>
      <c r="D82">
        <f>C82*B82</f>
        <v>1</v>
      </c>
      <c r="G82" s="7"/>
    </row>
    <row r="83" spans="1:7" x14ac:dyDescent="0.3">
      <c r="A83" t="s">
        <v>41</v>
      </c>
      <c r="B83" s="3">
        <v>0.1</v>
      </c>
      <c r="C83">
        <v>5</v>
      </c>
      <c r="D83">
        <f t="shared" ref="D83:D88" si="7">C83*B83</f>
        <v>0.5</v>
      </c>
    </row>
    <row r="84" spans="1:7" x14ac:dyDescent="0.3">
      <c r="A84" t="s">
        <v>40</v>
      </c>
      <c r="B84" s="3">
        <v>0.1</v>
      </c>
      <c r="C84">
        <v>4</v>
      </c>
      <c r="D84">
        <f t="shared" si="7"/>
        <v>0.4</v>
      </c>
      <c r="G84" s="7"/>
    </row>
    <row r="85" spans="1:7" x14ac:dyDescent="0.3">
      <c r="A85" t="s">
        <v>39</v>
      </c>
      <c r="B85" s="3">
        <v>0.1</v>
      </c>
      <c r="C85">
        <v>5</v>
      </c>
      <c r="D85">
        <f t="shared" si="7"/>
        <v>0.5</v>
      </c>
    </row>
    <row r="86" spans="1:7" x14ac:dyDescent="0.3">
      <c r="A86" t="s">
        <v>38</v>
      </c>
      <c r="B86" s="3">
        <v>0.1</v>
      </c>
      <c r="C86">
        <v>4</v>
      </c>
      <c r="D86">
        <f t="shared" si="7"/>
        <v>0.4</v>
      </c>
      <c r="G86" s="7"/>
    </row>
    <row r="87" spans="1:7" x14ac:dyDescent="0.3">
      <c r="A87" t="s">
        <v>37</v>
      </c>
      <c r="B87" s="3">
        <v>0.25</v>
      </c>
      <c r="C87">
        <v>4</v>
      </c>
      <c r="D87">
        <f t="shared" si="7"/>
        <v>1</v>
      </c>
      <c r="G87" s="8"/>
    </row>
    <row r="88" spans="1:7" x14ac:dyDescent="0.3">
      <c r="A88" t="s">
        <v>36</v>
      </c>
      <c r="B88" s="3">
        <v>0.1</v>
      </c>
      <c r="C88">
        <v>4</v>
      </c>
      <c r="D88">
        <f t="shared" si="7"/>
        <v>0.4</v>
      </c>
      <c r="G88" s="8"/>
    </row>
    <row r="89" spans="1:7" ht="15" thickBot="1" x14ac:dyDescent="0.35">
      <c r="B89" s="4">
        <f>SUM(B82:B88)</f>
        <v>0.99999999999999989</v>
      </c>
      <c r="D89" s="6">
        <f>SUM(D82:D88)</f>
        <v>4.2</v>
      </c>
    </row>
    <row r="90" spans="1:7" ht="15" thickTop="1" x14ac:dyDescent="0.3">
      <c r="G90" s="7"/>
    </row>
    <row r="91" spans="1:7" x14ac:dyDescent="0.3">
      <c r="A91" t="s">
        <v>15</v>
      </c>
      <c r="G91" s="8"/>
    </row>
    <row r="92" spans="1:7" x14ac:dyDescent="0.3">
      <c r="A92" s="1" t="s">
        <v>0</v>
      </c>
      <c r="B92" s="1" t="s">
        <v>1</v>
      </c>
      <c r="C92" s="1" t="s">
        <v>17</v>
      </c>
      <c r="D92" s="1" t="s">
        <v>2</v>
      </c>
      <c r="G92" s="8"/>
    </row>
    <row r="93" spans="1:7" x14ac:dyDescent="0.3">
      <c r="A93" t="s">
        <v>42</v>
      </c>
      <c r="B93" s="3">
        <v>0.25</v>
      </c>
      <c r="C93">
        <v>4</v>
      </c>
      <c r="D93">
        <f>C93*B93</f>
        <v>1</v>
      </c>
      <c r="G93" s="8"/>
    </row>
    <row r="94" spans="1:7" x14ac:dyDescent="0.3">
      <c r="A94" t="s">
        <v>41</v>
      </c>
      <c r="B94" s="3">
        <v>0.1</v>
      </c>
      <c r="C94">
        <v>5</v>
      </c>
      <c r="D94">
        <f t="shared" ref="D94:D99" si="8">C94*B94</f>
        <v>0.5</v>
      </c>
      <c r="G94" s="8"/>
    </row>
    <row r="95" spans="1:7" x14ac:dyDescent="0.3">
      <c r="A95" t="s">
        <v>40</v>
      </c>
      <c r="B95" s="3">
        <v>0.1</v>
      </c>
      <c r="C95">
        <v>4</v>
      </c>
      <c r="D95">
        <f t="shared" si="8"/>
        <v>0.4</v>
      </c>
      <c r="G95" s="8"/>
    </row>
    <row r="96" spans="1:7" x14ac:dyDescent="0.3">
      <c r="A96" t="s">
        <v>39</v>
      </c>
      <c r="B96" s="3">
        <v>0.1</v>
      </c>
      <c r="C96">
        <v>4</v>
      </c>
      <c r="D96">
        <f t="shared" si="8"/>
        <v>0.4</v>
      </c>
      <c r="G96" s="8"/>
    </row>
    <row r="97" spans="1:7" x14ac:dyDescent="0.3">
      <c r="A97" t="s">
        <v>38</v>
      </c>
      <c r="B97" s="3">
        <v>0.1</v>
      </c>
      <c r="C97">
        <v>5</v>
      </c>
      <c r="D97">
        <f t="shared" si="8"/>
        <v>0.5</v>
      </c>
      <c r="G97" s="8"/>
    </row>
    <row r="98" spans="1:7" x14ac:dyDescent="0.3">
      <c r="A98" t="s">
        <v>37</v>
      </c>
      <c r="B98" s="3">
        <v>0.25</v>
      </c>
      <c r="C98">
        <v>4</v>
      </c>
      <c r="D98">
        <f t="shared" si="8"/>
        <v>1</v>
      </c>
      <c r="G98" s="8"/>
    </row>
    <row r="99" spans="1:7" x14ac:dyDescent="0.3">
      <c r="A99" t="s">
        <v>36</v>
      </c>
      <c r="B99" s="3">
        <v>0.1</v>
      </c>
      <c r="C99">
        <v>4</v>
      </c>
      <c r="D99">
        <f t="shared" si="8"/>
        <v>0.4</v>
      </c>
      <c r="G99" s="8"/>
    </row>
    <row r="100" spans="1:7" ht="15" thickBot="1" x14ac:dyDescent="0.35">
      <c r="B100" s="4">
        <f>SUM(B93:B99)</f>
        <v>0.99999999999999989</v>
      </c>
      <c r="D100" s="6">
        <f>SUM(D93:D99)</f>
        <v>4.2</v>
      </c>
      <c r="G100" s="7"/>
    </row>
    <row r="101" spans="1:7" ht="15" thickTop="1" x14ac:dyDescent="0.3"/>
    <row r="102" spans="1:7" x14ac:dyDescent="0.3">
      <c r="G102" s="7"/>
    </row>
    <row r="103" spans="1:7" x14ac:dyDescent="0.3">
      <c r="G103" s="8"/>
    </row>
    <row r="104" spans="1:7" x14ac:dyDescent="0.3">
      <c r="G104" s="8"/>
    </row>
    <row r="105" spans="1:7" x14ac:dyDescent="0.3">
      <c r="G105" s="8"/>
    </row>
    <row r="107" spans="1:7" x14ac:dyDescent="0.3">
      <c r="G107" s="7"/>
    </row>
    <row r="109" spans="1:7" x14ac:dyDescent="0.3">
      <c r="G109" s="7"/>
    </row>
    <row r="110" spans="1:7" x14ac:dyDescent="0.3">
      <c r="G110" s="8"/>
    </row>
    <row r="111" spans="1:7" x14ac:dyDescent="0.3">
      <c r="G111" s="8"/>
    </row>
    <row r="112" spans="1:7" x14ac:dyDescent="0.3">
      <c r="G112" s="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78870-E1F0-4249-9011-864C5C615C1E}">
  <dimension ref="A1:G112"/>
  <sheetViews>
    <sheetView topLeftCell="A89" zoomScale="80" zoomScaleNormal="80" workbookViewId="0">
      <selection activeCell="C96" sqref="C96"/>
    </sheetView>
  </sheetViews>
  <sheetFormatPr defaultRowHeight="14.4" x14ac:dyDescent="0.3"/>
  <cols>
    <col min="1" max="1" width="122.77734375" bestFit="1" customWidth="1"/>
    <col min="2" max="2" width="6.77734375" bestFit="1" customWidth="1"/>
    <col min="3" max="3" width="10.21875" bestFit="1" customWidth="1"/>
    <col min="4" max="4" width="13.88671875" bestFit="1" customWidth="1"/>
    <col min="6" max="6" width="15.33203125" bestFit="1" customWidth="1"/>
  </cols>
  <sheetData>
    <row r="1" spans="1:7" x14ac:dyDescent="0.3">
      <c r="A1" s="2" t="s">
        <v>3</v>
      </c>
      <c r="B1" s="5">
        <v>5</v>
      </c>
    </row>
    <row r="2" spans="1:7" x14ac:dyDescent="0.3">
      <c r="F2" s="10" t="s">
        <v>35</v>
      </c>
      <c r="G2" s="7"/>
    </row>
    <row r="3" spans="1:7" x14ac:dyDescent="0.3">
      <c r="A3" t="s">
        <v>7</v>
      </c>
      <c r="F3">
        <f>D12</f>
        <v>4.3</v>
      </c>
      <c r="G3" s="7"/>
    </row>
    <row r="4" spans="1:7" x14ac:dyDescent="0.3">
      <c r="A4" s="1" t="s">
        <v>0</v>
      </c>
      <c r="B4" s="1" t="s">
        <v>1</v>
      </c>
      <c r="C4" s="1" t="s">
        <v>17</v>
      </c>
      <c r="D4" s="1" t="s">
        <v>2</v>
      </c>
      <c r="F4">
        <f>D23</f>
        <v>4.0999999999999996</v>
      </c>
      <c r="G4" s="7"/>
    </row>
    <row r="5" spans="1:7" x14ac:dyDescent="0.3">
      <c r="A5" t="s">
        <v>42</v>
      </c>
      <c r="B5" s="3">
        <v>0.25</v>
      </c>
      <c r="C5">
        <v>4</v>
      </c>
      <c r="D5">
        <f>C5*B5</f>
        <v>1</v>
      </c>
      <c r="F5">
        <f>D34</f>
        <v>3.9</v>
      </c>
      <c r="G5" s="7"/>
    </row>
    <row r="6" spans="1:7" x14ac:dyDescent="0.3">
      <c r="A6" t="s">
        <v>41</v>
      </c>
      <c r="B6" s="3">
        <v>0.1</v>
      </c>
      <c r="C6">
        <v>5</v>
      </c>
      <c r="D6">
        <f t="shared" ref="D6:D11" si="0">C6*B6</f>
        <v>0.5</v>
      </c>
      <c r="F6">
        <f>D45</f>
        <v>3.75</v>
      </c>
      <c r="G6" s="7"/>
    </row>
    <row r="7" spans="1:7" x14ac:dyDescent="0.3">
      <c r="A7" t="s">
        <v>40</v>
      </c>
      <c r="B7" s="3">
        <v>0.1</v>
      </c>
      <c r="C7">
        <v>4</v>
      </c>
      <c r="D7">
        <f t="shared" si="0"/>
        <v>0.4</v>
      </c>
      <c r="F7">
        <f>D56</f>
        <v>4</v>
      </c>
      <c r="G7" s="7"/>
    </row>
    <row r="8" spans="1:7" x14ac:dyDescent="0.3">
      <c r="A8" t="s">
        <v>39</v>
      </c>
      <c r="B8" s="3">
        <v>0.1</v>
      </c>
      <c r="C8">
        <v>5</v>
      </c>
      <c r="D8">
        <f t="shared" si="0"/>
        <v>0.5</v>
      </c>
      <c r="F8">
        <f>D67</f>
        <v>4.0999999999999996</v>
      </c>
      <c r="G8" s="7"/>
    </row>
    <row r="9" spans="1:7" x14ac:dyDescent="0.3">
      <c r="A9" t="s">
        <v>38</v>
      </c>
      <c r="B9" s="3">
        <v>0.1</v>
      </c>
      <c r="C9">
        <v>4</v>
      </c>
      <c r="D9">
        <f t="shared" si="0"/>
        <v>0.4</v>
      </c>
      <c r="F9">
        <f>D78</f>
        <v>4.45</v>
      </c>
      <c r="G9" s="7"/>
    </row>
    <row r="10" spans="1:7" x14ac:dyDescent="0.3">
      <c r="A10" t="s">
        <v>37</v>
      </c>
      <c r="B10" s="3">
        <v>0.25</v>
      </c>
      <c r="C10">
        <v>4</v>
      </c>
      <c r="D10">
        <f t="shared" si="0"/>
        <v>1</v>
      </c>
      <c r="F10">
        <f>D89</f>
        <v>4.45</v>
      </c>
      <c r="G10" s="7"/>
    </row>
    <row r="11" spans="1:7" x14ac:dyDescent="0.3">
      <c r="A11" t="s">
        <v>36</v>
      </c>
      <c r="B11" s="3">
        <v>0.1</v>
      </c>
      <c r="C11">
        <v>5</v>
      </c>
      <c r="D11">
        <f t="shared" si="0"/>
        <v>0.5</v>
      </c>
      <c r="F11">
        <f>D100</f>
        <v>4.3499999999999996</v>
      </c>
      <c r="G11" s="7"/>
    </row>
    <row r="12" spans="1:7" ht="15" thickBot="1" x14ac:dyDescent="0.35">
      <c r="B12" s="4">
        <f>SUM(B5:B11)</f>
        <v>0.99999999999999989</v>
      </c>
      <c r="D12" s="6">
        <f>SUM(D5:D11)</f>
        <v>4.3</v>
      </c>
      <c r="G12" s="7"/>
    </row>
    <row r="13" spans="1:7" ht="15" thickTop="1" x14ac:dyDescent="0.3">
      <c r="G13" s="7"/>
    </row>
    <row r="14" spans="1:7" x14ac:dyDescent="0.3">
      <c r="A14" t="s">
        <v>8</v>
      </c>
      <c r="G14" s="7"/>
    </row>
    <row r="15" spans="1:7" x14ac:dyDescent="0.3">
      <c r="A15" s="1" t="s">
        <v>0</v>
      </c>
      <c r="B15" s="1" t="s">
        <v>1</v>
      </c>
      <c r="C15" s="1" t="s">
        <v>17</v>
      </c>
      <c r="D15" s="1" t="s">
        <v>2</v>
      </c>
      <c r="G15" s="7"/>
    </row>
    <row r="16" spans="1:7" x14ac:dyDescent="0.3">
      <c r="A16" t="s">
        <v>42</v>
      </c>
      <c r="B16" s="3">
        <v>0.25</v>
      </c>
      <c r="C16">
        <v>4</v>
      </c>
      <c r="D16">
        <f>C16*B16</f>
        <v>1</v>
      </c>
      <c r="G16" s="7"/>
    </row>
    <row r="17" spans="1:7" x14ac:dyDescent="0.3">
      <c r="A17" t="s">
        <v>41</v>
      </c>
      <c r="B17" s="3">
        <v>0.1</v>
      </c>
      <c r="C17">
        <v>5</v>
      </c>
      <c r="D17">
        <f t="shared" ref="D17:D22" si="1">C17*B17</f>
        <v>0.5</v>
      </c>
      <c r="G17" s="7"/>
    </row>
    <row r="18" spans="1:7" x14ac:dyDescent="0.3">
      <c r="A18" t="s">
        <v>40</v>
      </c>
      <c r="B18" s="3">
        <v>0.1</v>
      </c>
      <c r="C18">
        <v>3</v>
      </c>
      <c r="D18">
        <f t="shared" si="1"/>
        <v>0.30000000000000004</v>
      </c>
      <c r="G18" s="7"/>
    </row>
    <row r="19" spans="1:7" x14ac:dyDescent="0.3">
      <c r="A19" t="s">
        <v>39</v>
      </c>
      <c r="B19" s="3">
        <v>0.1</v>
      </c>
      <c r="C19">
        <v>3</v>
      </c>
      <c r="D19">
        <f t="shared" si="1"/>
        <v>0.30000000000000004</v>
      </c>
      <c r="G19" s="7"/>
    </row>
    <row r="20" spans="1:7" x14ac:dyDescent="0.3">
      <c r="A20" t="s">
        <v>38</v>
      </c>
      <c r="B20" s="3">
        <v>0.1</v>
      </c>
      <c r="C20">
        <v>5</v>
      </c>
      <c r="D20">
        <f t="shared" si="1"/>
        <v>0.5</v>
      </c>
      <c r="G20" s="7"/>
    </row>
    <row r="21" spans="1:7" x14ac:dyDescent="0.3">
      <c r="A21" t="s">
        <v>37</v>
      </c>
      <c r="B21" s="3">
        <v>0.25</v>
      </c>
      <c r="C21">
        <v>4</v>
      </c>
      <c r="D21">
        <f t="shared" si="1"/>
        <v>1</v>
      </c>
      <c r="G21" s="7"/>
    </row>
    <row r="22" spans="1:7" x14ac:dyDescent="0.3">
      <c r="A22" t="s">
        <v>36</v>
      </c>
      <c r="B22" s="3">
        <v>0.1</v>
      </c>
      <c r="C22">
        <v>5</v>
      </c>
      <c r="D22">
        <f t="shared" si="1"/>
        <v>0.5</v>
      </c>
      <c r="G22" s="7"/>
    </row>
    <row r="23" spans="1:7" ht="15" thickBot="1" x14ac:dyDescent="0.35">
      <c r="B23" s="4">
        <f>SUM(B16:B22)</f>
        <v>0.99999999999999989</v>
      </c>
      <c r="D23" s="6">
        <f>SUM(D16:D22)</f>
        <v>4.0999999999999996</v>
      </c>
      <c r="G23" s="7"/>
    </row>
    <row r="24" spans="1:7" ht="15" thickTop="1" x14ac:dyDescent="0.3">
      <c r="G24" s="7"/>
    </row>
    <row r="25" spans="1:7" x14ac:dyDescent="0.3">
      <c r="A25" t="s">
        <v>9</v>
      </c>
      <c r="G25" s="7"/>
    </row>
    <row r="26" spans="1:7" x14ac:dyDescent="0.3">
      <c r="A26" s="1" t="s">
        <v>0</v>
      </c>
      <c r="B26" s="1" t="s">
        <v>1</v>
      </c>
      <c r="C26" s="1" t="s">
        <v>17</v>
      </c>
      <c r="D26" s="1" t="s">
        <v>2</v>
      </c>
      <c r="G26" s="7"/>
    </row>
    <row r="27" spans="1:7" x14ac:dyDescent="0.3">
      <c r="A27" t="s">
        <v>42</v>
      </c>
      <c r="B27" s="3">
        <v>0.25</v>
      </c>
      <c r="C27">
        <v>4</v>
      </c>
      <c r="D27">
        <f>C27*B27</f>
        <v>1</v>
      </c>
      <c r="G27" s="7"/>
    </row>
    <row r="28" spans="1:7" x14ac:dyDescent="0.3">
      <c r="A28" t="s">
        <v>41</v>
      </c>
      <c r="B28" s="3">
        <v>0.1</v>
      </c>
      <c r="C28">
        <v>4</v>
      </c>
      <c r="D28">
        <f t="shared" ref="D28:D33" si="2">C28*B28</f>
        <v>0.4</v>
      </c>
      <c r="G28" s="7"/>
    </row>
    <row r="29" spans="1:7" x14ac:dyDescent="0.3">
      <c r="A29" t="s">
        <v>40</v>
      </c>
      <c r="B29" s="3">
        <v>0.1</v>
      </c>
      <c r="C29">
        <v>3</v>
      </c>
      <c r="D29">
        <f t="shared" si="2"/>
        <v>0.30000000000000004</v>
      </c>
      <c r="G29" s="7"/>
    </row>
    <row r="30" spans="1:7" x14ac:dyDescent="0.3">
      <c r="A30" t="s">
        <v>39</v>
      </c>
      <c r="B30" s="3">
        <v>0.1</v>
      </c>
      <c r="C30">
        <v>3</v>
      </c>
      <c r="D30">
        <f t="shared" si="2"/>
        <v>0.30000000000000004</v>
      </c>
      <c r="G30" s="7"/>
    </row>
    <row r="31" spans="1:7" x14ac:dyDescent="0.3">
      <c r="A31" t="s">
        <v>38</v>
      </c>
      <c r="B31" s="3">
        <v>0.1</v>
      </c>
      <c r="C31">
        <v>4</v>
      </c>
      <c r="D31">
        <f t="shared" si="2"/>
        <v>0.4</v>
      </c>
      <c r="G31" s="7"/>
    </row>
    <row r="32" spans="1:7" x14ac:dyDescent="0.3">
      <c r="A32" t="s">
        <v>37</v>
      </c>
      <c r="B32" s="3">
        <v>0.25</v>
      </c>
      <c r="C32">
        <v>4</v>
      </c>
      <c r="D32">
        <f t="shared" si="2"/>
        <v>1</v>
      </c>
      <c r="G32" s="7"/>
    </row>
    <row r="33" spans="1:7" x14ac:dyDescent="0.3">
      <c r="A33" t="s">
        <v>36</v>
      </c>
      <c r="B33" s="3">
        <v>0.1</v>
      </c>
      <c r="C33">
        <v>5</v>
      </c>
      <c r="D33">
        <f t="shared" si="2"/>
        <v>0.5</v>
      </c>
      <c r="G33" s="7"/>
    </row>
    <row r="34" spans="1:7" ht="15" thickBot="1" x14ac:dyDescent="0.35">
      <c r="B34" s="4">
        <f>SUM(B27:B33)</f>
        <v>0.99999999999999989</v>
      </c>
      <c r="D34" s="6">
        <f>SUM(D27:D33)</f>
        <v>3.9</v>
      </c>
      <c r="G34" s="7"/>
    </row>
    <row r="35" spans="1:7" ht="15" thickTop="1" x14ac:dyDescent="0.3">
      <c r="G35" s="7"/>
    </row>
    <row r="36" spans="1:7" x14ac:dyDescent="0.3">
      <c r="A36" t="s">
        <v>10</v>
      </c>
      <c r="G36" s="7"/>
    </row>
    <row r="37" spans="1:7" x14ac:dyDescent="0.3">
      <c r="A37" s="1" t="s">
        <v>0</v>
      </c>
      <c r="B37" s="1" t="s">
        <v>1</v>
      </c>
      <c r="C37" s="1" t="s">
        <v>17</v>
      </c>
      <c r="D37" s="1" t="s">
        <v>2</v>
      </c>
      <c r="G37" s="7"/>
    </row>
    <row r="38" spans="1:7" x14ac:dyDescent="0.3">
      <c r="A38" t="s">
        <v>42</v>
      </c>
      <c r="B38" s="3">
        <v>0.25</v>
      </c>
      <c r="C38">
        <v>3</v>
      </c>
      <c r="D38">
        <f>C38*B38</f>
        <v>0.75</v>
      </c>
      <c r="G38" s="7"/>
    </row>
    <row r="39" spans="1:7" x14ac:dyDescent="0.3">
      <c r="A39" t="s">
        <v>41</v>
      </c>
      <c r="B39" s="3">
        <v>0.1</v>
      </c>
      <c r="C39">
        <v>5</v>
      </c>
      <c r="D39">
        <f t="shared" ref="D39:D44" si="3">C39*B39</f>
        <v>0.5</v>
      </c>
      <c r="G39" s="7"/>
    </row>
    <row r="40" spans="1:7" x14ac:dyDescent="0.3">
      <c r="A40" t="s">
        <v>40</v>
      </c>
      <c r="B40" s="3">
        <v>0.1</v>
      </c>
      <c r="C40">
        <v>4</v>
      </c>
      <c r="D40">
        <f t="shared" si="3"/>
        <v>0.4</v>
      </c>
      <c r="G40" s="7"/>
    </row>
    <row r="41" spans="1:7" x14ac:dyDescent="0.3">
      <c r="A41" t="s">
        <v>39</v>
      </c>
      <c r="B41" s="3">
        <v>0.1</v>
      </c>
      <c r="C41">
        <v>3</v>
      </c>
      <c r="D41">
        <f t="shared" si="3"/>
        <v>0.30000000000000004</v>
      </c>
      <c r="G41" s="7"/>
    </row>
    <row r="42" spans="1:7" x14ac:dyDescent="0.3">
      <c r="A42" t="s">
        <v>38</v>
      </c>
      <c r="B42" s="3">
        <v>0.1</v>
      </c>
      <c r="C42">
        <v>4</v>
      </c>
      <c r="D42">
        <f t="shared" si="3"/>
        <v>0.4</v>
      </c>
      <c r="G42" s="7"/>
    </row>
    <row r="43" spans="1:7" x14ac:dyDescent="0.3">
      <c r="A43" t="s">
        <v>37</v>
      </c>
      <c r="B43" s="3">
        <v>0.25</v>
      </c>
      <c r="C43">
        <v>4</v>
      </c>
      <c r="D43">
        <f t="shared" si="3"/>
        <v>1</v>
      </c>
      <c r="G43" s="7"/>
    </row>
    <row r="44" spans="1:7" x14ac:dyDescent="0.3">
      <c r="A44" t="s">
        <v>36</v>
      </c>
      <c r="B44" s="3">
        <v>0.1</v>
      </c>
      <c r="C44">
        <v>4</v>
      </c>
      <c r="D44">
        <f t="shared" si="3"/>
        <v>0.4</v>
      </c>
      <c r="G44" s="7"/>
    </row>
    <row r="45" spans="1:7" ht="15" thickBot="1" x14ac:dyDescent="0.35">
      <c r="B45" s="4">
        <f>SUM(B38:B44)</f>
        <v>0.99999999999999989</v>
      </c>
      <c r="D45" s="6">
        <f>SUM(D38:D44)</f>
        <v>3.75</v>
      </c>
      <c r="G45" s="7"/>
    </row>
    <row r="46" spans="1:7" ht="15" thickTop="1" x14ac:dyDescent="0.3">
      <c r="A46" s="9"/>
      <c r="B46" s="9"/>
      <c r="C46" s="9"/>
      <c r="D46" s="9"/>
      <c r="G46" s="7"/>
    </row>
    <row r="47" spans="1:7" x14ac:dyDescent="0.3">
      <c r="A47" t="s">
        <v>11</v>
      </c>
      <c r="G47" s="7"/>
    </row>
    <row r="48" spans="1:7" x14ac:dyDescent="0.3">
      <c r="A48" s="1" t="s">
        <v>0</v>
      </c>
      <c r="B48" s="1" t="s">
        <v>1</v>
      </c>
      <c r="C48" s="1" t="s">
        <v>17</v>
      </c>
      <c r="D48" s="1" t="s">
        <v>2</v>
      </c>
      <c r="G48" s="7"/>
    </row>
    <row r="49" spans="1:7" x14ac:dyDescent="0.3">
      <c r="A49" t="s">
        <v>42</v>
      </c>
      <c r="B49" s="3">
        <v>0.25</v>
      </c>
      <c r="C49">
        <v>4</v>
      </c>
      <c r="D49">
        <f t="shared" ref="D49:D55" si="4">C49*B49</f>
        <v>1</v>
      </c>
      <c r="G49" s="7"/>
    </row>
    <row r="50" spans="1:7" x14ac:dyDescent="0.3">
      <c r="A50" t="s">
        <v>41</v>
      </c>
      <c r="B50" s="3">
        <v>0.1</v>
      </c>
      <c r="C50">
        <v>5</v>
      </c>
      <c r="D50">
        <f t="shared" si="4"/>
        <v>0.5</v>
      </c>
      <c r="G50" s="7"/>
    </row>
    <row r="51" spans="1:7" x14ac:dyDescent="0.3">
      <c r="A51" t="s">
        <v>40</v>
      </c>
      <c r="B51" s="3">
        <v>0.1</v>
      </c>
      <c r="C51">
        <v>3</v>
      </c>
      <c r="D51">
        <f t="shared" si="4"/>
        <v>0.30000000000000004</v>
      </c>
      <c r="G51" s="7"/>
    </row>
    <row r="52" spans="1:7" x14ac:dyDescent="0.3">
      <c r="A52" t="s">
        <v>39</v>
      </c>
      <c r="B52" s="3">
        <v>0.1</v>
      </c>
      <c r="C52">
        <v>4</v>
      </c>
      <c r="D52">
        <f t="shared" si="4"/>
        <v>0.4</v>
      </c>
      <c r="G52" s="7"/>
    </row>
    <row r="53" spans="1:7" x14ac:dyDescent="0.3">
      <c r="A53" t="s">
        <v>38</v>
      </c>
      <c r="B53" s="3">
        <v>0.1</v>
      </c>
      <c r="C53">
        <v>4</v>
      </c>
      <c r="D53">
        <f t="shared" si="4"/>
        <v>0.4</v>
      </c>
      <c r="G53" s="7"/>
    </row>
    <row r="54" spans="1:7" x14ac:dyDescent="0.3">
      <c r="A54" t="s">
        <v>37</v>
      </c>
      <c r="B54" s="3">
        <v>0.25</v>
      </c>
      <c r="C54">
        <v>4</v>
      </c>
      <c r="D54">
        <f t="shared" si="4"/>
        <v>1</v>
      </c>
      <c r="G54" s="7"/>
    </row>
    <row r="55" spans="1:7" x14ac:dyDescent="0.3">
      <c r="A55" t="s">
        <v>36</v>
      </c>
      <c r="B55" s="3">
        <v>0.1</v>
      </c>
      <c r="C55">
        <v>4</v>
      </c>
      <c r="D55">
        <f t="shared" si="4"/>
        <v>0.4</v>
      </c>
      <c r="G55" s="7"/>
    </row>
    <row r="56" spans="1:7" ht="15" thickBot="1" x14ac:dyDescent="0.35">
      <c r="B56" s="4">
        <f>SUM(B49:B55)</f>
        <v>0.99999999999999989</v>
      </c>
      <c r="D56" s="6">
        <f>SUM(D49:D55)</f>
        <v>4</v>
      </c>
      <c r="G56" s="7"/>
    </row>
    <row r="57" spans="1:7" ht="15" thickTop="1" x14ac:dyDescent="0.3">
      <c r="A57" s="9"/>
      <c r="B57" s="9"/>
      <c r="C57" s="9"/>
      <c r="D57" s="9"/>
      <c r="G57" s="7"/>
    </row>
    <row r="58" spans="1:7" x14ac:dyDescent="0.3">
      <c r="A58" t="s">
        <v>12</v>
      </c>
      <c r="G58" s="7"/>
    </row>
    <row r="59" spans="1:7" x14ac:dyDescent="0.3">
      <c r="A59" s="1" t="s">
        <v>0</v>
      </c>
      <c r="B59" s="1" t="s">
        <v>1</v>
      </c>
      <c r="C59" s="1" t="s">
        <v>17</v>
      </c>
      <c r="D59" s="1" t="s">
        <v>2</v>
      </c>
      <c r="G59" s="7"/>
    </row>
    <row r="60" spans="1:7" x14ac:dyDescent="0.3">
      <c r="A60" t="s">
        <v>42</v>
      </c>
      <c r="B60" s="3">
        <v>0.25</v>
      </c>
      <c r="C60">
        <v>4</v>
      </c>
      <c r="D60">
        <f t="shared" ref="D60:D66" si="5">C60*B60</f>
        <v>1</v>
      </c>
      <c r="G60" s="7"/>
    </row>
    <row r="61" spans="1:7" x14ac:dyDescent="0.3">
      <c r="A61" t="s">
        <v>41</v>
      </c>
      <c r="B61" s="3">
        <v>0.1</v>
      </c>
      <c r="C61">
        <v>5</v>
      </c>
      <c r="D61">
        <f t="shared" si="5"/>
        <v>0.5</v>
      </c>
      <c r="G61" s="7"/>
    </row>
    <row r="62" spans="1:7" x14ac:dyDescent="0.3">
      <c r="A62" t="s">
        <v>40</v>
      </c>
      <c r="B62" s="3">
        <v>0.1</v>
      </c>
      <c r="C62">
        <v>4</v>
      </c>
      <c r="D62">
        <f t="shared" si="5"/>
        <v>0.4</v>
      </c>
      <c r="G62" s="7"/>
    </row>
    <row r="63" spans="1:7" x14ac:dyDescent="0.3">
      <c r="A63" t="s">
        <v>39</v>
      </c>
      <c r="B63" s="3">
        <v>0.1</v>
      </c>
      <c r="C63">
        <v>4</v>
      </c>
      <c r="D63">
        <f t="shared" si="5"/>
        <v>0.4</v>
      </c>
      <c r="G63" s="7"/>
    </row>
    <row r="64" spans="1:7" x14ac:dyDescent="0.3">
      <c r="A64" t="s">
        <v>38</v>
      </c>
      <c r="B64" s="3">
        <v>0.1</v>
      </c>
      <c r="C64">
        <v>4</v>
      </c>
      <c r="D64">
        <f t="shared" si="5"/>
        <v>0.4</v>
      </c>
      <c r="G64" s="7"/>
    </row>
    <row r="65" spans="1:7" x14ac:dyDescent="0.3">
      <c r="A65" t="s">
        <v>37</v>
      </c>
      <c r="B65" s="3">
        <v>0.25</v>
      </c>
      <c r="C65">
        <v>4</v>
      </c>
      <c r="D65">
        <f t="shared" si="5"/>
        <v>1</v>
      </c>
      <c r="G65" s="7"/>
    </row>
    <row r="66" spans="1:7" x14ac:dyDescent="0.3">
      <c r="A66" t="s">
        <v>36</v>
      </c>
      <c r="B66" s="3">
        <v>0.1</v>
      </c>
      <c r="C66">
        <v>4</v>
      </c>
      <c r="D66">
        <f t="shared" si="5"/>
        <v>0.4</v>
      </c>
      <c r="G66" s="7"/>
    </row>
    <row r="67" spans="1:7" ht="15" thickBot="1" x14ac:dyDescent="0.35">
      <c r="B67" s="4">
        <f>SUM(B60:B66)</f>
        <v>0.99999999999999989</v>
      </c>
      <c r="D67" s="6">
        <f>SUM(D60:D66)</f>
        <v>4.0999999999999996</v>
      </c>
      <c r="G67" s="7"/>
    </row>
    <row r="68" spans="1:7" ht="15" thickTop="1" x14ac:dyDescent="0.3">
      <c r="A68" s="9"/>
      <c r="B68" s="9"/>
      <c r="C68" s="9"/>
      <c r="D68" s="9"/>
      <c r="G68" s="7"/>
    </row>
    <row r="69" spans="1:7" x14ac:dyDescent="0.3">
      <c r="A69" t="s">
        <v>13</v>
      </c>
      <c r="G69" s="7"/>
    </row>
    <row r="70" spans="1:7" x14ac:dyDescent="0.3">
      <c r="A70" s="1" t="s">
        <v>0</v>
      </c>
      <c r="B70" s="1" t="s">
        <v>1</v>
      </c>
      <c r="C70" s="1" t="s">
        <v>17</v>
      </c>
      <c r="D70" s="1" t="s">
        <v>2</v>
      </c>
      <c r="G70" s="7"/>
    </row>
    <row r="71" spans="1:7" x14ac:dyDescent="0.3">
      <c r="A71" t="s">
        <v>42</v>
      </c>
      <c r="B71" s="3">
        <v>0.25</v>
      </c>
      <c r="C71">
        <v>4</v>
      </c>
      <c r="D71">
        <f>C71*B71</f>
        <v>1</v>
      </c>
      <c r="G71" s="7"/>
    </row>
    <row r="72" spans="1:7" x14ac:dyDescent="0.3">
      <c r="A72" t="s">
        <v>41</v>
      </c>
      <c r="B72" s="3">
        <v>0.1</v>
      </c>
      <c r="C72">
        <v>5</v>
      </c>
      <c r="D72">
        <f t="shared" ref="D72:D77" si="6">C72*B72</f>
        <v>0.5</v>
      </c>
      <c r="G72" s="7"/>
    </row>
    <row r="73" spans="1:7" x14ac:dyDescent="0.3">
      <c r="A73" t="s">
        <v>40</v>
      </c>
      <c r="B73" s="3">
        <v>0.1</v>
      </c>
      <c r="C73">
        <v>4</v>
      </c>
      <c r="D73">
        <f t="shared" si="6"/>
        <v>0.4</v>
      </c>
      <c r="G73" s="7"/>
    </row>
    <row r="74" spans="1:7" x14ac:dyDescent="0.3">
      <c r="A74" t="s">
        <v>39</v>
      </c>
      <c r="B74" s="3">
        <v>0.1</v>
      </c>
      <c r="C74">
        <v>5</v>
      </c>
      <c r="D74">
        <f t="shared" si="6"/>
        <v>0.5</v>
      </c>
      <c r="G74" s="7"/>
    </row>
    <row r="75" spans="1:7" x14ac:dyDescent="0.3">
      <c r="A75" t="s">
        <v>38</v>
      </c>
      <c r="B75" s="3">
        <v>0.1</v>
      </c>
      <c r="C75">
        <v>4</v>
      </c>
      <c r="D75">
        <f t="shared" si="6"/>
        <v>0.4</v>
      </c>
      <c r="G75" s="7"/>
    </row>
    <row r="76" spans="1:7" x14ac:dyDescent="0.3">
      <c r="A76" t="s">
        <v>37</v>
      </c>
      <c r="B76" s="3">
        <v>0.25</v>
      </c>
      <c r="C76">
        <v>5</v>
      </c>
      <c r="D76">
        <f t="shared" si="6"/>
        <v>1.25</v>
      </c>
      <c r="G76" s="7"/>
    </row>
    <row r="77" spans="1:7" x14ac:dyDescent="0.3">
      <c r="A77" t="s">
        <v>36</v>
      </c>
      <c r="B77" s="3">
        <v>0.1</v>
      </c>
      <c r="C77">
        <v>4</v>
      </c>
      <c r="D77">
        <f t="shared" si="6"/>
        <v>0.4</v>
      </c>
      <c r="G77" s="7"/>
    </row>
    <row r="78" spans="1:7" ht="15" thickBot="1" x14ac:dyDescent="0.35">
      <c r="B78" s="4">
        <f>SUM(B71:B77)</f>
        <v>0.99999999999999989</v>
      </c>
      <c r="D78" s="6">
        <f>SUM(D71:D77)</f>
        <v>4.45</v>
      </c>
      <c r="G78" s="7"/>
    </row>
    <row r="79" spans="1:7" ht="15" thickTop="1" x14ac:dyDescent="0.3">
      <c r="G79" s="7"/>
    </row>
    <row r="80" spans="1:7" x14ac:dyDescent="0.3">
      <c r="A80" t="s">
        <v>14</v>
      </c>
      <c r="G80" s="7"/>
    </row>
    <row r="81" spans="1:7" x14ac:dyDescent="0.3">
      <c r="A81" s="1" t="s">
        <v>0</v>
      </c>
      <c r="B81" s="1" t="s">
        <v>1</v>
      </c>
      <c r="C81" s="1" t="s">
        <v>17</v>
      </c>
      <c r="D81" s="1" t="s">
        <v>2</v>
      </c>
      <c r="G81" s="7"/>
    </row>
    <row r="82" spans="1:7" x14ac:dyDescent="0.3">
      <c r="A82" t="s">
        <v>42</v>
      </c>
      <c r="B82" s="3">
        <v>0.25</v>
      </c>
      <c r="C82">
        <v>4</v>
      </c>
      <c r="D82">
        <f>C82*B82</f>
        <v>1</v>
      </c>
      <c r="G82" s="7"/>
    </row>
    <row r="83" spans="1:7" x14ac:dyDescent="0.3">
      <c r="A83" t="s">
        <v>41</v>
      </c>
      <c r="B83" s="3">
        <v>0.1</v>
      </c>
      <c r="C83">
        <v>5</v>
      </c>
      <c r="D83">
        <f t="shared" ref="D83:D88" si="7">C83*B83</f>
        <v>0.5</v>
      </c>
    </row>
    <row r="84" spans="1:7" x14ac:dyDescent="0.3">
      <c r="A84" t="s">
        <v>40</v>
      </c>
      <c r="B84" s="3">
        <v>0.1</v>
      </c>
      <c r="C84">
        <v>5</v>
      </c>
      <c r="D84">
        <f t="shared" si="7"/>
        <v>0.5</v>
      </c>
      <c r="G84" s="7"/>
    </row>
    <row r="85" spans="1:7" x14ac:dyDescent="0.3">
      <c r="A85" t="s">
        <v>39</v>
      </c>
      <c r="B85" s="3">
        <v>0.1</v>
      </c>
      <c r="C85">
        <v>4</v>
      </c>
      <c r="D85">
        <f t="shared" si="7"/>
        <v>0.4</v>
      </c>
    </row>
    <row r="86" spans="1:7" x14ac:dyDescent="0.3">
      <c r="A86" t="s">
        <v>38</v>
      </c>
      <c r="B86" s="3">
        <v>0.1</v>
      </c>
      <c r="C86">
        <v>4</v>
      </c>
      <c r="D86">
        <f t="shared" si="7"/>
        <v>0.4</v>
      </c>
      <c r="G86" s="7"/>
    </row>
    <row r="87" spans="1:7" x14ac:dyDescent="0.3">
      <c r="A87" t="s">
        <v>37</v>
      </c>
      <c r="B87" s="3">
        <v>0.25</v>
      </c>
      <c r="C87">
        <v>5</v>
      </c>
      <c r="D87">
        <f t="shared" si="7"/>
        <v>1.25</v>
      </c>
      <c r="G87" s="8"/>
    </row>
    <row r="88" spans="1:7" x14ac:dyDescent="0.3">
      <c r="A88" t="s">
        <v>36</v>
      </c>
      <c r="B88" s="3">
        <v>0.1</v>
      </c>
      <c r="C88">
        <v>4</v>
      </c>
      <c r="D88">
        <f t="shared" si="7"/>
        <v>0.4</v>
      </c>
      <c r="G88" s="8"/>
    </row>
    <row r="89" spans="1:7" ht="15" thickBot="1" x14ac:dyDescent="0.35">
      <c r="B89" s="4">
        <f>SUM(B82:B88)</f>
        <v>0.99999999999999989</v>
      </c>
      <c r="D89" s="6">
        <f>SUM(D82:D88)</f>
        <v>4.45</v>
      </c>
    </row>
    <row r="90" spans="1:7" ht="15" thickTop="1" x14ac:dyDescent="0.3">
      <c r="G90" s="7"/>
    </row>
    <row r="91" spans="1:7" x14ac:dyDescent="0.3">
      <c r="A91" t="s">
        <v>15</v>
      </c>
      <c r="G91" s="8"/>
    </row>
    <row r="92" spans="1:7" x14ac:dyDescent="0.3">
      <c r="A92" s="1" t="s">
        <v>0</v>
      </c>
      <c r="B92" s="1" t="s">
        <v>1</v>
      </c>
      <c r="C92" s="1" t="s">
        <v>17</v>
      </c>
      <c r="D92" s="1" t="s">
        <v>2</v>
      </c>
      <c r="G92" s="8"/>
    </row>
    <row r="93" spans="1:7" x14ac:dyDescent="0.3">
      <c r="A93" t="s">
        <v>42</v>
      </c>
      <c r="B93" s="3">
        <v>0.25</v>
      </c>
      <c r="C93">
        <v>4</v>
      </c>
      <c r="D93">
        <f>C93*B93</f>
        <v>1</v>
      </c>
      <c r="G93" s="8"/>
    </row>
    <row r="94" spans="1:7" x14ac:dyDescent="0.3">
      <c r="A94" t="s">
        <v>41</v>
      </c>
      <c r="B94" s="3">
        <v>0.1</v>
      </c>
      <c r="C94">
        <v>5</v>
      </c>
      <c r="D94">
        <f t="shared" ref="D94:D99" si="8">C94*B94</f>
        <v>0.5</v>
      </c>
      <c r="G94" s="8"/>
    </row>
    <row r="95" spans="1:7" x14ac:dyDescent="0.3">
      <c r="A95" t="s">
        <v>40</v>
      </c>
      <c r="B95" s="3">
        <v>0.1</v>
      </c>
      <c r="C95">
        <v>4</v>
      </c>
      <c r="D95">
        <f t="shared" si="8"/>
        <v>0.4</v>
      </c>
      <c r="G95" s="8"/>
    </row>
    <row r="96" spans="1:7" x14ac:dyDescent="0.3">
      <c r="A96" t="s">
        <v>39</v>
      </c>
      <c r="B96" s="3">
        <v>0.1</v>
      </c>
      <c r="C96">
        <v>4</v>
      </c>
      <c r="D96">
        <f t="shared" si="8"/>
        <v>0.4</v>
      </c>
      <c r="G96" s="8"/>
    </row>
    <row r="97" spans="1:7" x14ac:dyDescent="0.3">
      <c r="A97" t="s">
        <v>38</v>
      </c>
      <c r="B97" s="3">
        <v>0.1</v>
      </c>
      <c r="C97">
        <v>4</v>
      </c>
      <c r="D97">
        <f t="shared" si="8"/>
        <v>0.4</v>
      </c>
      <c r="G97" s="8"/>
    </row>
    <row r="98" spans="1:7" x14ac:dyDescent="0.3">
      <c r="A98" t="s">
        <v>37</v>
      </c>
      <c r="B98" s="3">
        <v>0.25</v>
      </c>
      <c r="C98">
        <v>5</v>
      </c>
      <c r="D98">
        <f t="shared" si="8"/>
        <v>1.25</v>
      </c>
      <c r="G98" s="8"/>
    </row>
    <row r="99" spans="1:7" x14ac:dyDescent="0.3">
      <c r="A99" t="s">
        <v>36</v>
      </c>
      <c r="B99" s="3">
        <v>0.1</v>
      </c>
      <c r="C99">
        <v>4</v>
      </c>
      <c r="D99">
        <f t="shared" si="8"/>
        <v>0.4</v>
      </c>
      <c r="G99" s="8"/>
    </row>
    <row r="100" spans="1:7" ht="15" thickBot="1" x14ac:dyDescent="0.35">
      <c r="B100" s="4">
        <f>SUM(B93:B99)</f>
        <v>0.99999999999999989</v>
      </c>
      <c r="D100" s="6">
        <f>SUM(D93:D99)</f>
        <v>4.3499999999999996</v>
      </c>
      <c r="G100" s="7"/>
    </row>
    <row r="101" spans="1:7" ht="15" thickTop="1" x14ac:dyDescent="0.3"/>
    <row r="102" spans="1:7" x14ac:dyDescent="0.3">
      <c r="G102" s="7"/>
    </row>
    <row r="103" spans="1:7" x14ac:dyDescent="0.3">
      <c r="G103" s="8"/>
    </row>
    <row r="104" spans="1:7" x14ac:dyDescent="0.3">
      <c r="G104" s="8"/>
    </row>
    <row r="105" spans="1:7" x14ac:dyDescent="0.3">
      <c r="G105" s="8"/>
    </row>
    <row r="107" spans="1:7" x14ac:dyDescent="0.3">
      <c r="G107" s="7"/>
    </row>
    <row r="109" spans="1:7" x14ac:dyDescent="0.3">
      <c r="G109" s="7"/>
    </row>
    <row r="110" spans="1:7" x14ac:dyDescent="0.3">
      <c r="G110" s="8"/>
    </row>
    <row r="111" spans="1:7" x14ac:dyDescent="0.3">
      <c r="G111" s="8"/>
    </row>
    <row r="112" spans="1:7" x14ac:dyDescent="0.3">
      <c r="G112" s="8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01502-E3EF-44CC-9112-0EF9FD2F240D}">
  <dimension ref="A1:G79"/>
  <sheetViews>
    <sheetView topLeftCell="A34" zoomScale="80" zoomScaleNormal="80" workbookViewId="0">
      <selection activeCell="A69" sqref="A69"/>
    </sheetView>
  </sheetViews>
  <sheetFormatPr defaultRowHeight="14.4" x14ac:dyDescent="0.3"/>
  <cols>
    <col min="1" max="1" width="122.77734375" bestFit="1" customWidth="1"/>
    <col min="2" max="2" width="6.77734375" bestFit="1" customWidth="1"/>
    <col min="3" max="3" width="10.21875" bestFit="1" customWidth="1"/>
    <col min="4" max="4" width="13.88671875" bestFit="1" customWidth="1"/>
    <col min="6" max="6" width="15.33203125" bestFit="1" customWidth="1"/>
  </cols>
  <sheetData>
    <row r="1" spans="1:7" x14ac:dyDescent="0.3">
      <c r="A1" s="2" t="s">
        <v>3</v>
      </c>
      <c r="B1" s="5">
        <v>5</v>
      </c>
    </row>
    <row r="2" spans="1:7" x14ac:dyDescent="0.3">
      <c r="F2" s="10" t="s">
        <v>35</v>
      </c>
      <c r="G2" s="7"/>
    </row>
    <row r="3" spans="1:7" x14ac:dyDescent="0.3">
      <c r="A3" t="s">
        <v>7</v>
      </c>
      <c r="F3">
        <f>D12</f>
        <v>2.85</v>
      </c>
      <c r="G3" s="7"/>
    </row>
    <row r="4" spans="1:7" x14ac:dyDescent="0.3">
      <c r="A4" s="1" t="s">
        <v>0</v>
      </c>
      <c r="B4" s="1" t="s">
        <v>1</v>
      </c>
      <c r="C4" s="1" t="s">
        <v>17</v>
      </c>
      <c r="D4" s="1" t="s">
        <v>2</v>
      </c>
      <c r="F4">
        <f>D23</f>
        <v>3.4999999999999996</v>
      </c>
      <c r="G4" s="7"/>
    </row>
    <row r="5" spans="1:7" x14ac:dyDescent="0.3">
      <c r="A5" t="s">
        <v>42</v>
      </c>
      <c r="B5" s="3">
        <v>0.25</v>
      </c>
      <c r="C5">
        <v>2</v>
      </c>
      <c r="D5">
        <f>C5*B5</f>
        <v>0.5</v>
      </c>
      <c r="F5">
        <f>D34</f>
        <v>3.3000000000000003</v>
      </c>
      <c r="G5" s="7"/>
    </row>
    <row r="6" spans="1:7" x14ac:dyDescent="0.3">
      <c r="A6" t="s">
        <v>41</v>
      </c>
      <c r="B6" s="3">
        <v>0.1</v>
      </c>
      <c r="C6">
        <v>5</v>
      </c>
      <c r="D6">
        <f t="shared" ref="D6:D11" si="0">C6*B6</f>
        <v>0.5</v>
      </c>
      <c r="F6">
        <f>D45</f>
        <v>3.5999999999999996</v>
      </c>
      <c r="G6" s="7"/>
    </row>
    <row r="7" spans="1:7" x14ac:dyDescent="0.3">
      <c r="A7" t="s">
        <v>40</v>
      </c>
      <c r="B7" s="3">
        <v>0.1</v>
      </c>
      <c r="C7">
        <v>2</v>
      </c>
      <c r="D7">
        <f t="shared" si="0"/>
        <v>0.2</v>
      </c>
      <c r="F7">
        <f>D56</f>
        <v>4.2</v>
      </c>
      <c r="G7" s="7"/>
    </row>
    <row r="8" spans="1:7" x14ac:dyDescent="0.3">
      <c r="A8" t="s">
        <v>39</v>
      </c>
      <c r="B8" s="3">
        <v>0.1</v>
      </c>
      <c r="C8">
        <v>2</v>
      </c>
      <c r="D8">
        <f t="shared" si="0"/>
        <v>0.2</v>
      </c>
      <c r="F8">
        <f>D67</f>
        <v>4.4000000000000004</v>
      </c>
      <c r="G8" s="7"/>
    </row>
    <row r="9" spans="1:7" x14ac:dyDescent="0.3">
      <c r="A9" t="s">
        <v>38</v>
      </c>
      <c r="B9" s="3">
        <v>0.1</v>
      </c>
      <c r="C9">
        <v>3</v>
      </c>
      <c r="D9">
        <f t="shared" si="0"/>
        <v>0.30000000000000004</v>
      </c>
      <c r="G9" s="7"/>
    </row>
    <row r="10" spans="1:7" x14ac:dyDescent="0.3">
      <c r="A10" t="s">
        <v>37</v>
      </c>
      <c r="B10" s="3">
        <v>0.25</v>
      </c>
      <c r="C10">
        <v>3</v>
      </c>
      <c r="D10">
        <f t="shared" si="0"/>
        <v>0.75</v>
      </c>
      <c r="G10" s="7"/>
    </row>
    <row r="11" spans="1:7" x14ac:dyDescent="0.3">
      <c r="A11" t="s">
        <v>36</v>
      </c>
      <c r="B11" s="3">
        <v>0.1</v>
      </c>
      <c r="C11">
        <v>4</v>
      </c>
      <c r="D11">
        <f t="shared" si="0"/>
        <v>0.4</v>
      </c>
      <c r="G11" s="7"/>
    </row>
    <row r="12" spans="1:7" ht="15" thickBot="1" x14ac:dyDescent="0.35">
      <c r="B12" s="4">
        <f>SUM(B5:B11)</f>
        <v>0.99999999999999989</v>
      </c>
      <c r="D12" s="6">
        <f>SUM(D5:D11)</f>
        <v>2.85</v>
      </c>
      <c r="G12" s="7"/>
    </row>
    <row r="13" spans="1:7" ht="15" thickTop="1" x14ac:dyDescent="0.3">
      <c r="G13" s="7"/>
    </row>
    <row r="14" spans="1:7" x14ac:dyDescent="0.3">
      <c r="A14" t="s">
        <v>8</v>
      </c>
      <c r="G14" s="7"/>
    </row>
    <row r="15" spans="1:7" x14ac:dyDescent="0.3">
      <c r="A15" s="1" t="s">
        <v>0</v>
      </c>
      <c r="B15" s="1" t="s">
        <v>1</v>
      </c>
      <c r="C15" s="1" t="s">
        <v>17</v>
      </c>
      <c r="D15" s="1" t="s">
        <v>2</v>
      </c>
      <c r="G15" s="7"/>
    </row>
    <row r="16" spans="1:7" x14ac:dyDescent="0.3">
      <c r="A16" t="s">
        <v>42</v>
      </c>
      <c r="B16" s="3">
        <v>0.25</v>
      </c>
      <c r="C16">
        <v>3</v>
      </c>
      <c r="D16">
        <f>C16*B16</f>
        <v>0.75</v>
      </c>
      <c r="G16" s="7"/>
    </row>
    <row r="17" spans="1:7" x14ac:dyDescent="0.3">
      <c r="A17" t="s">
        <v>41</v>
      </c>
      <c r="B17" s="3">
        <v>0.1</v>
      </c>
      <c r="C17">
        <v>5</v>
      </c>
      <c r="D17">
        <f t="shared" ref="D17:D22" si="1">C17*B17</f>
        <v>0.5</v>
      </c>
      <c r="G17" s="7"/>
    </row>
    <row r="18" spans="1:7" x14ac:dyDescent="0.3">
      <c r="A18" t="s">
        <v>40</v>
      </c>
      <c r="B18" s="3">
        <v>0.1</v>
      </c>
      <c r="C18">
        <v>4</v>
      </c>
      <c r="D18">
        <f t="shared" si="1"/>
        <v>0.4</v>
      </c>
      <c r="G18" s="7"/>
    </row>
    <row r="19" spans="1:7" x14ac:dyDescent="0.3">
      <c r="A19" t="s">
        <v>39</v>
      </c>
      <c r="B19" s="3">
        <v>0.1</v>
      </c>
      <c r="C19">
        <v>4</v>
      </c>
      <c r="D19">
        <f t="shared" si="1"/>
        <v>0.4</v>
      </c>
      <c r="G19" s="7"/>
    </row>
    <row r="20" spans="1:7" x14ac:dyDescent="0.3">
      <c r="A20" t="s">
        <v>38</v>
      </c>
      <c r="B20" s="3">
        <v>0.1</v>
      </c>
      <c r="C20">
        <v>3</v>
      </c>
      <c r="D20">
        <f t="shared" si="1"/>
        <v>0.30000000000000004</v>
      </c>
      <c r="G20" s="7"/>
    </row>
    <row r="21" spans="1:7" x14ac:dyDescent="0.3">
      <c r="A21" t="s">
        <v>37</v>
      </c>
      <c r="B21" s="3">
        <v>0.25</v>
      </c>
      <c r="C21">
        <v>3</v>
      </c>
      <c r="D21">
        <f t="shared" si="1"/>
        <v>0.75</v>
      </c>
      <c r="G21" s="7"/>
    </row>
    <row r="22" spans="1:7" x14ac:dyDescent="0.3">
      <c r="A22" t="s">
        <v>36</v>
      </c>
      <c r="B22" s="3">
        <v>0.1</v>
      </c>
      <c r="C22">
        <v>4</v>
      </c>
      <c r="D22">
        <f t="shared" si="1"/>
        <v>0.4</v>
      </c>
      <c r="G22" s="7"/>
    </row>
    <row r="23" spans="1:7" ht="15" thickBot="1" x14ac:dyDescent="0.35">
      <c r="B23" s="4">
        <f>SUM(B16:B22)</f>
        <v>0.99999999999999989</v>
      </c>
      <c r="D23" s="6">
        <f>SUM(D16:D22)</f>
        <v>3.4999999999999996</v>
      </c>
      <c r="G23" s="7"/>
    </row>
    <row r="24" spans="1:7" ht="15" thickTop="1" x14ac:dyDescent="0.3">
      <c r="G24" s="7"/>
    </row>
    <row r="25" spans="1:7" x14ac:dyDescent="0.3">
      <c r="A25" t="s">
        <v>9</v>
      </c>
      <c r="G25" s="7"/>
    </row>
    <row r="26" spans="1:7" x14ac:dyDescent="0.3">
      <c r="A26" s="1" t="s">
        <v>0</v>
      </c>
      <c r="B26" s="1" t="s">
        <v>1</v>
      </c>
      <c r="C26" s="1" t="s">
        <v>17</v>
      </c>
      <c r="D26" s="1" t="s">
        <v>2</v>
      </c>
      <c r="G26" s="7"/>
    </row>
    <row r="27" spans="1:7" x14ac:dyDescent="0.3">
      <c r="A27" t="s">
        <v>42</v>
      </c>
      <c r="B27" s="3">
        <v>0.25</v>
      </c>
      <c r="C27">
        <v>3</v>
      </c>
      <c r="D27">
        <f>C27*B27</f>
        <v>0.75</v>
      </c>
      <c r="G27" s="7"/>
    </row>
    <row r="28" spans="1:7" x14ac:dyDescent="0.3">
      <c r="A28" t="s">
        <v>41</v>
      </c>
      <c r="B28" s="3">
        <v>0.1</v>
      </c>
      <c r="C28">
        <v>4</v>
      </c>
      <c r="D28">
        <f t="shared" ref="D28:D33" si="2">C28*B28</f>
        <v>0.4</v>
      </c>
      <c r="G28" s="7"/>
    </row>
    <row r="29" spans="1:7" x14ac:dyDescent="0.3">
      <c r="A29" t="s">
        <v>40</v>
      </c>
      <c r="B29" s="3">
        <v>0.1</v>
      </c>
      <c r="C29">
        <v>3</v>
      </c>
      <c r="D29">
        <f t="shared" si="2"/>
        <v>0.30000000000000004</v>
      </c>
      <c r="G29" s="7"/>
    </row>
    <row r="30" spans="1:7" x14ac:dyDescent="0.3">
      <c r="A30" t="s">
        <v>39</v>
      </c>
      <c r="B30" s="3">
        <v>0.1</v>
      </c>
      <c r="C30">
        <v>4</v>
      </c>
      <c r="D30">
        <f t="shared" si="2"/>
        <v>0.4</v>
      </c>
      <c r="G30" s="7"/>
    </row>
    <row r="31" spans="1:7" x14ac:dyDescent="0.3">
      <c r="A31" t="s">
        <v>38</v>
      </c>
      <c r="B31" s="3">
        <v>0.1</v>
      </c>
      <c r="C31">
        <v>3</v>
      </c>
      <c r="D31">
        <f t="shared" si="2"/>
        <v>0.30000000000000004</v>
      </c>
      <c r="G31" s="7"/>
    </row>
    <row r="32" spans="1:7" x14ac:dyDescent="0.3">
      <c r="A32" t="s">
        <v>37</v>
      </c>
      <c r="B32" s="3">
        <v>0.25</v>
      </c>
      <c r="C32">
        <v>3</v>
      </c>
      <c r="D32">
        <f t="shared" si="2"/>
        <v>0.75</v>
      </c>
      <c r="G32" s="7"/>
    </row>
    <row r="33" spans="1:7" x14ac:dyDescent="0.3">
      <c r="A33" t="s">
        <v>36</v>
      </c>
      <c r="B33" s="3">
        <v>0.1</v>
      </c>
      <c r="C33">
        <v>4</v>
      </c>
      <c r="D33">
        <f t="shared" si="2"/>
        <v>0.4</v>
      </c>
      <c r="G33" s="7"/>
    </row>
    <row r="34" spans="1:7" ht="15" thickBot="1" x14ac:dyDescent="0.35">
      <c r="B34" s="4">
        <f>SUM(B27:B33)</f>
        <v>0.99999999999999989</v>
      </c>
      <c r="D34" s="6">
        <f>SUM(D27:D33)</f>
        <v>3.3000000000000003</v>
      </c>
      <c r="G34" s="7"/>
    </row>
    <row r="35" spans="1:7" ht="15" thickTop="1" x14ac:dyDescent="0.3">
      <c r="A35" s="9"/>
      <c r="B35" s="9"/>
      <c r="C35" s="9"/>
      <c r="D35" s="9"/>
      <c r="G35" s="7"/>
    </row>
    <row r="36" spans="1:7" x14ac:dyDescent="0.3">
      <c r="A36" t="s">
        <v>13</v>
      </c>
      <c r="G36" s="7"/>
    </row>
    <row r="37" spans="1:7" x14ac:dyDescent="0.3">
      <c r="A37" s="1" t="s">
        <v>0</v>
      </c>
      <c r="B37" s="1" t="s">
        <v>1</v>
      </c>
      <c r="C37" s="1" t="s">
        <v>17</v>
      </c>
      <c r="D37" s="1" t="s">
        <v>2</v>
      </c>
      <c r="G37" s="7"/>
    </row>
    <row r="38" spans="1:7" x14ac:dyDescent="0.3">
      <c r="A38" t="s">
        <v>42</v>
      </c>
      <c r="B38" s="3">
        <v>0.25</v>
      </c>
      <c r="C38">
        <v>3</v>
      </c>
      <c r="D38">
        <f>C38*B38</f>
        <v>0.75</v>
      </c>
      <c r="G38" s="7"/>
    </row>
    <row r="39" spans="1:7" x14ac:dyDescent="0.3">
      <c r="A39" t="s">
        <v>41</v>
      </c>
      <c r="B39" s="3">
        <v>0.1</v>
      </c>
      <c r="C39">
        <v>5</v>
      </c>
      <c r="D39">
        <f t="shared" ref="D39:D44" si="3">C39*B39</f>
        <v>0.5</v>
      </c>
      <c r="G39" s="7"/>
    </row>
    <row r="40" spans="1:7" x14ac:dyDescent="0.3">
      <c r="A40" t="s">
        <v>40</v>
      </c>
      <c r="B40" s="3">
        <v>0.1</v>
      </c>
      <c r="C40">
        <v>4</v>
      </c>
      <c r="D40">
        <f t="shared" si="3"/>
        <v>0.4</v>
      </c>
      <c r="G40" s="7"/>
    </row>
    <row r="41" spans="1:7" x14ac:dyDescent="0.3">
      <c r="A41" t="s">
        <v>39</v>
      </c>
      <c r="B41" s="3">
        <v>0.1</v>
      </c>
      <c r="C41">
        <v>4</v>
      </c>
      <c r="D41">
        <f t="shared" si="3"/>
        <v>0.4</v>
      </c>
      <c r="G41" s="7"/>
    </row>
    <row r="42" spans="1:7" x14ac:dyDescent="0.3">
      <c r="A42" t="s">
        <v>38</v>
      </c>
      <c r="B42" s="3">
        <v>0.1</v>
      </c>
      <c r="C42">
        <v>4</v>
      </c>
      <c r="D42">
        <f t="shared" si="3"/>
        <v>0.4</v>
      </c>
      <c r="G42" s="7"/>
    </row>
    <row r="43" spans="1:7" x14ac:dyDescent="0.3">
      <c r="A43" t="s">
        <v>37</v>
      </c>
      <c r="B43" s="3">
        <v>0.25</v>
      </c>
      <c r="C43">
        <v>3</v>
      </c>
      <c r="D43">
        <f t="shared" si="3"/>
        <v>0.75</v>
      </c>
      <c r="G43" s="7"/>
    </row>
    <row r="44" spans="1:7" x14ac:dyDescent="0.3">
      <c r="A44" t="s">
        <v>36</v>
      </c>
      <c r="B44" s="3">
        <v>0.1</v>
      </c>
      <c r="C44">
        <v>4</v>
      </c>
      <c r="D44">
        <f t="shared" si="3"/>
        <v>0.4</v>
      </c>
      <c r="G44" s="7"/>
    </row>
    <row r="45" spans="1:7" ht="15" thickBot="1" x14ac:dyDescent="0.35">
      <c r="B45" s="4">
        <f>SUM(B38:B44)</f>
        <v>0.99999999999999989</v>
      </c>
      <c r="D45" s="6">
        <f>SUM(D38:D44)</f>
        <v>3.5999999999999996</v>
      </c>
      <c r="G45" s="7"/>
    </row>
    <row r="46" spans="1:7" ht="15" thickTop="1" x14ac:dyDescent="0.3">
      <c r="G46" s="7"/>
    </row>
    <row r="47" spans="1:7" x14ac:dyDescent="0.3">
      <c r="A47" t="s">
        <v>14</v>
      </c>
      <c r="G47" s="7"/>
    </row>
    <row r="48" spans="1:7" x14ac:dyDescent="0.3">
      <c r="A48" s="1" t="s">
        <v>0</v>
      </c>
      <c r="B48" s="1" t="s">
        <v>1</v>
      </c>
      <c r="C48" s="1" t="s">
        <v>17</v>
      </c>
      <c r="D48" s="1" t="s">
        <v>2</v>
      </c>
      <c r="G48" s="7"/>
    </row>
    <row r="49" spans="1:7" x14ac:dyDescent="0.3">
      <c r="A49" t="s">
        <v>42</v>
      </c>
      <c r="B49" s="3">
        <v>0.25</v>
      </c>
      <c r="C49">
        <v>4</v>
      </c>
      <c r="D49">
        <f>C49*B49</f>
        <v>1</v>
      </c>
      <c r="G49" s="7"/>
    </row>
    <row r="50" spans="1:7" x14ac:dyDescent="0.3">
      <c r="A50" t="s">
        <v>41</v>
      </c>
      <c r="B50" s="3">
        <v>0.1</v>
      </c>
      <c r="C50">
        <v>5</v>
      </c>
      <c r="D50">
        <f t="shared" ref="D50:D55" si="4">C50*B50</f>
        <v>0.5</v>
      </c>
    </row>
    <row r="51" spans="1:7" x14ac:dyDescent="0.3">
      <c r="A51" t="s">
        <v>40</v>
      </c>
      <c r="B51" s="3">
        <v>0.1</v>
      </c>
      <c r="C51">
        <v>4</v>
      </c>
      <c r="D51">
        <f t="shared" si="4"/>
        <v>0.4</v>
      </c>
      <c r="G51" s="7"/>
    </row>
    <row r="52" spans="1:7" x14ac:dyDescent="0.3">
      <c r="A52" t="s">
        <v>39</v>
      </c>
      <c r="B52" s="3">
        <v>0.1</v>
      </c>
      <c r="C52">
        <v>4</v>
      </c>
      <c r="D52">
        <f t="shared" si="4"/>
        <v>0.4</v>
      </c>
    </row>
    <row r="53" spans="1:7" x14ac:dyDescent="0.3">
      <c r="A53" t="s">
        <v>38</v>
      </c>
      <c r="B53" s="3">
        <v>0.1</v>
      </c>
      <c r="C53">
        <v>5</v>
      </c>
      <c r="D53">
        <f t="shared" si="4"/>
        <v>0.5</v>
      </c>
      <c r="G53" s="7"/>
    </row>
    <row r="54" spans="1:7" x14ac:dyDescent="0.3">
      <c r="A54" t="s">
        <v>37</v>
      </c>
      <c r="B54" s="3">
        <v>0.25</v>
      </c>
      <c r="C54">
        <v>4</v>
      </c>
      <c r="D54">
        <f t="shared" si="4"/>
        <v>1</v>
      </c>
      <c r="G54" s="8"/>
    </row>
    <row r="55" spans="1:7" x14ac:dyDescent="0.3">
      <c r="A55" t="s">
        <v>36</v>
      </c>
      <c r="B55" s="3">
        <v>0.1</v>
      </c>
      <c r="C55">
        <v>4</v>
      </c>
      <c r="D55">
        <f t="shared" si="4"/>
        <v>0.4</v>
      </c>
      <c r="G55" s="8"/>
    </row>
    <row r="56" spans="1:7" ht="15" thickBot="1" x14ac:dyDescent="0.35">
      <c r="B56" s="4">
        <f>SUM(B49:B55)</f>
        <v>0.99999999999999989</v>
      </c>
      <c r="D56" s="6">
        <f>SUM(D49:D55)</f>
        <v>4.2</v>
      </c>
    </row>
    <row r="57" spans="1:7" ht="15" thickTop="1" x14ac:dyDescent="0.3">
      <c r="G57" s="7"/>
    </row>
    <row r="58" spans="1:7" x14ac:dyDescent="0.3">
      <c r="A58" t="s">
        <v>15</v>
      </c>
      <c r="G58" s="8"/>
    </row>
    <row r="59" spans="1:7" x14ac:dyDescent="0.3">
      <c r="A59" s="1" t="s">
        <v>0</v>
      </c>
      <c r="B59" s="1" t="s">
        <v>1</v>
      </c>
      <c r="C59" s="1" t="s">
        <v>17</v>
      </c>
      <c r="D59" s="1" t="s">
        <v>2</v>
      </c>
      <c r="G59" s="8"/>
    </row>
    <row r="60" spans="1:7" x14ac:dyDescent="0.3">
      <c r="A60" t="s">
        <v>42</v>
      </c>
      <c r="B60" s="3">
        <v>0.25</v>
      </c>
      <c r="C60">
        <v>4</v>
      </c>
      <c r="D60">
        <f>C60*B60</f>
        <v>1</v>
      </c>
      <c r="G60" s="8"/>
    </row>
    <row r="61" spans="1:7" x14ac:dyDescent="0.3">
      <c r="A61" t="s">
        <v>41</v>
      </c>
      <c r="B61" s="3">
        <v>0.1</v>
      </c>
      <c r="C61">
        <v>5</v>
      </c>
      <c r="D61">
        <f t="shared" ref="D61:D66" si="5">C61*B61</f>
        <v>0.5</v>
      </c>
      <c r="G61" s="8"/>
    </row>
    <row r="62" spans="1:7" x14ac:dyDescent="0.3">
      <c r="A62" t="s">
        <v>40</v>
      </c>
      <c r="B62" s="3">
        <v>0.1</v>
      </c>
      <c r="C62">
        <v>5</v>
      </c>
      <c r="D62">
        <f t="shared" si="5"/>
        <v>0.5</v>
      </c>
      <c r="G62" s="8"/>
    </row>
    <row r="63" spans="1:7" x14ac:dyDescent="0.3">
      <c r="A63" t="s">
        <v>39</v>
      </c>
      <c r="B63" s="3">
        <v>0.1</v>
      </c>
      <c r="C63">
        <v>5</v>
      </c>
      <c r="D63">
        <f t="shared" si="5"/>
        <v>0.5</v>
      </c>
      <c r="G63" s="8"/>
    </row>
    <row r="64" spans="1:7" x14ac:dyDescent="0.3">
      <c r="A64" t="s">
        <v>38</v>
      </c>
      <c r="B64" s="3">
        <v>0.1</v>
      </c>
      <c r="C64">
        <v>5</v>
      </c>
      <c r="D64">
        <f t="shared" si="5"/>
        <v>0.5</v>
      </c>
      <c r="G64" s="8"/>
    </row>
    <row r="65" spans="1:7" x14ac:dyDescent="0.3">
      <c r="A65" t="s">
        <v>37</v>
      </c>
      <c r="B65" s="3">
        <v>0.25</v>
      </c>
      <c r="C65">
        <v>4</v>
      </c>
      <c r="D65">
        <f t="shared" si="5"/>
        <v>1</v>
      </c>
      <c r="G65" s="8"/>
    </row>
    <row r="66" spans="1:7" x14ac:dyDescent="0.3">
      <c r="A66" t="s">
        <v>36</v>
      </c>
      <c r="B66" s="3">
        <v>0.1</v>
      </c>
      <c r="C66">
        <v>4</v>
      </c>
      <c r="D66">
        <f t="shared" si="5"/>
        <v>0.4</v>
      </c>
      <c r="G66" s="8"/>
    </row>
    <row r="67" spans="1:7" ht="15" thickBot="1" x14ac:dyDescent="0.35">
      <c r="B67" s="4">
        <f>SUM(B60:B66)</f>
        <v>0.99999999999999989</v>
      </c>
      <c r="D67" s="6">
        <f>SUM(D60:D66)</f>
        <v>4.4000000000000004</v>
      </c>
      <c r="G67" s="7"/>
    </row>
    <row r="68" spans="1:7" ht="15" thickTop="1" x14ac:dyDescent="0.3"/>
    <row r="69" spans="1:7" x14ac:dyDescent="0.3">
      <c r="G69" s="7"/>
    </row>
    <row r="70" spans="1:7" x14ac:dyDescent="0.3">
      <c r="G70" s="8"/>
    </row>
    <row r="71" spans="1:7" x14ac:dyDescent="0.3">
      <c r="G71" s="8"/>
    </row>
    <row r="72" spans="1:7" x14ac:dyDescent="0.3">
      <c r="G72" s="8"/>
    </row>
    <row r="74" spans="1:7" x14ac:dyDescent="0.3">
      <c r="G74" s="7"/>
    </row>
    <row r="76" spans="1:7" x14ac:dyDescent="0.3">
      <c r="G76" s="7"/>
    </row>
    <row r="77" spans="1:7" x14ac:dyDescent="0.3">
      <c r="G77" s="8"/>
    </row>
    <row r="78" spans="1:7" x14ac:dyDescent="0.3">
      <c r="G78" s="8"/>
    </row>
    <row r="79" spans="1:7" x14ac:dyDescent="0.3">
      <c r="G79" s="8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ECC00-E4BD-4F03-93C8-038872607745}">
  <dimension ref="A1:G79"/>
  <sheetViews>
    <sheetView topLeftCell="A54" zoomScale="80" zoomScaleNormal="80" workbookViewId="0">
      <selection activeCell="C64" sqref="C64"/>
    </sheetView>
  </sheetViews>
  <sheetFormatPr defaultRowHeight="14.4" x14ac:dyDescent="0.3"/>
  <cols>
    <col min="1" max="1" width="122.77734375" bestFit="1" customWidth="1"/>
    <col min="2" max="2" width="6.77734375" bestFit="1" customWidth="1"/>
    <col min="3" max="3" width="10.21875" bestFit="1" customWidth="1"/>
    <col min="4" max="4" width="13.88671875" bestFit="1" customWidth="1"/>
    <col min="6" max="6" width="15.33203125" bestFit="1" customWidth="1"/>
  </cols>
  <sheetData>
    <row r="1" spans="1:7" x14ac:dyDescent="0.3">
      <c r="A1" s="2" t="s">
        <v>3</v>
      </c>
      <c r="B1" s="5">
        <v>5</v>
      </c>
    </row>
    <row r="2" spans="1:7" x14ac:dyDescent="0.3">
      <c r="F2" s="10" t="s">
        <v>35</v>
      </c>
      <c r="G2" s="7"/>
    </row>
    <row r="3" spans="1:7" x14ac:dyDescent="0.3">
      <c r="A3" t="s">
        <v>7</v>
      </c>
      <c r="F3">
        <f>D12</f>
        <v>3.3000000000000003</v>
      </c>
      <c r="G3" s="7"/>
    </row>
    <row r="4" spans="1:7" x14ac:dyDescent="0.3">
      <c r="A4" s="1" t="s">
        <v>0</v>
      </c>
      <c r="B4" s="1" t="s">
        <v>1</v>
      </c>
      <c r="C4" s="1" t="s">
        <v>17</v>
      </c>
      <c r="D4" s="1" t="s">
        <v>2</v>
      </c>
      <c r="F4">
        <f>D23</f>
        <v>4.3</v>
      </c>
      <c r="G4" s="7"/>
    </row>
    <row r="5" spans="1:7" x14ac:dyDescent="0.3">
      <c r="A5" t="s">
        <v>42</v>
      </c>
      <c r="B5" s="3">
        <v>0.25</v>
      </c>
      <c r="C5">
        <v>3</v>
      </c>
      <c r="D5">
        <f>C5*B5</f>
        <v>0.75</v>
      </c>
      <c r="F5">
        <f>D34</f>
        <v>3.2</v>
      </c>
      <c r="G5" s="7"/>
    </row>
    <row r="6" spans="1:7" x14ac:dyDescent="0.3">
      <c r="A6" t="s">
        <v>41</v>
      </c>
      <c r="B6" s="3">
        <v>0.1</v>
      </c>
      <c r="C6">
        <v>5</v>
      </c>
      <c r="D6">
        <f t="shared" ref="D6:D11" si="0">C6*B6</f>
        <v>0.5</v>
      </c>
      <c r="F6">
        <f>D45</f>
        <v>3.9999999999999996</v>
      </c>
      <c r="G6" s="7"/>
    </row>
    <row r="7" spans="1:7" x14ac:dyDescent="0.3">
      <c r="A7" t="s">
        <v>40</v>
      </c>
      <c r="B7" s="3">
        <v>0.1</v>
      </c>
      <c r="C7">
        <v>3</v>
      </c>
      <c r="D7">
        <f t="shared" si="0"/>
        <v>0.30000000000000004</v>
      </c>
      <c r="F7">
        <f>D56</f>
        <v>4.2</v>
      </c>
      <c r="G7" s="7"/>
    </row>
    <row r="8" spans="1:7" x14ac:dyDescent="0.3">
      <c r="A8" t="s">
        <v>39</v>
      </c>
      <c r="B8" s="3">
        <v>0.1</v>
      </c>
      <c r="C8">
        <v>3</v>
      </c>
      <c r="D8">
        <f t="shared" si="0"/>
        <v>0.30000000000000004</v>
      </c>
      <c r="F8">
        <f>D67</f>
        <v>4.2</v>
      </c>
      <c r="G8" s="7"/>
    </row>
    <row r="9" spans="1:7" x14ac:dyDescent="0.3">
      <c r="A9" t="s">
        <v>38</v>
      </c>
      <c r="B9" s="3">
        <v>0.1</v>
      </c>
      <c r="C9">
        <v>3</v>
      </c>
      <c r="D9">
        <f t="shared" si="0"/>
        <v>0.30000000000000004</v>
      </c>
      <c r="G9" s="7"/>
    </row>
    <row r="10" spans="1:7" x14ac:dyDescent="0.3">
      <c r="A10" t="s">
        <v>37</v>
      </c>
      <c r="B10" s="3">
        <v>0.25</v>
      </c>
      <c r="C10">
        <v>3</v>
      </c>
      <c r="D10">
        <f t="shared" si="0"/>
        <v>0.75</v>
      </c>
      <c r="G10" s="7"/>
    </row>
    <row r="11" spans="1:7" x14ac:dyDescent="0.3">
      <c r="A11" t="s">
        <v>36</v>
      </c>
      <c r="B11" s="3">
        <v>0.1</v>
      </c>
      <c r="C11">
        <v>4</v>
      </c>
      <c r="D11">
        <f t="shared" si="0"/>
        <v>0.4</v>
      </c>
      <c r="G11" s="7"/>
    </row>
    <row r="12" spans="1:7" ht="15" thickBot="1" x14ac:dyDescent="0.35">
      <c r="B12" s="4">
        <f>SUM(B5:B11)</f>
        <v>0.99999999999999989</v>
      </c>
      <c r="D12" s="6">
        <f>SUM(D5:D11)</f>
        <v>3.3000000000000003</v>
      </c>
      <c r="G12" s="7"/>
    </row>
    <row r="13" spans="1:7" ht="15" thickTop="1" x14ac:dyDescent="0.3">
      <c r="G13" s="7"/>
    </row>
    <row r="14" spans="1:7" x14ac:dyDescent="0.3">
      <c r="A14" t="s">
        <v>8</v>
      </c>
      <c r="G14" s="7"/>
    </row>
    <row r="15" spans="1:7" x14ac:dyDescent="0.3">
      <c r="A15" s="1" t="s">
        <v>0</v>
      </c>
      <c r="B15" s="1" t="s">
        <v>1</v>
      </c>
      <c r="C15" s="1" t="s">
        <v>17</v>
      </c>
      <c r="D15" s="1" t="s">
        <v>2</v>
      </c>
      <c r="G15" s="7"/>
    </row>
    <row r="16" spans="1:7" x14ac:dyDescent="0.3">
      <c r="A16" t="s">
        <v>42</v>
      </c>
      <c r="B16" s="3">
        <v>0.25</v>
      </c>
      <c r="C16">
        <v>4</v>
      </c>
      <c r="D16">
        <f>C16*B16</f>
        <v>1</v>
      </c>
      <c r="G16" s="7"/>
    </row>
    <row r="17" spans="1:7" x14ac:dyDescent="0.3">
      <c r="A17" t="s">
        <v>41</v>
      </c>
      <c r="B17" s="3">
        <v>0.1</v>
      </c>
      <c r="C17">
        <v>5</v>
      </c>
      <c r="D17">
        <f t="shared" ref="D17:D22" si="1">C17*B17</f>
        <v>0.5</v>
      </c>
      <c r="G17" s="7"/>
    </row>
    <row r="18" spans="1:7" x14ac:dyDescent="0.3">
      <c r="A18" t="s">
        <v>40</v>
      </c>
      <c r="B18" s="3">
        <v>0.1</v>
      </c>
      <c r="C18">
        <v>4</v>
      </c>
      <c r="D18">
        <f t="shared" si="1"/>
        <v>0.4</v>
      </c>
      <c r="G18" s="7"/>
    </row>
    <row r="19" spans="1:7" x14ac:dyDescent="0.3">
      <c r="A19" t="s">
        <v>39</v>
      </c>
      <c r="B19" s="3">
        <v>0.1</v>
      </c>
      <c r="C19">
        <v>5</v>
      </c>
      <c r="D19">
        <f t="shared" si="1"/>
        <v>0.5</v>
      </c>
      <c r="G19" s="7"/>
    </row>
    <row r="20" spans="1:7" x14ac:dyDescent="0.3">
      <c r="A20" t="s">
        <v>38</v>
      </c>
      <c r="B20" s="3">
        <v>0.1</v>
      </c>
      <c r="C20">
        <v>4</v>
      </c>
      <c r="D20">
        <f t="shared" si="1"/>
        <v>0.4</v>
      </c>
      <c r="G20" s="7"/>
    </row>
    <row r="21" spans="1:7" x14ac:dyDescent="0.3">
      <c r="A21" t="s">
        <v>37</v>
      </c>
      <c r="B21" s="3">
        <v>0.25</v>
      </c>
      <c r="C21">
        <v>4</v>
      </c>
      <c r="D21">
        <f t="shared" si="1"/>
        <v>1</v>
      </c>
      <c r="G21" s="7"/>
    </row>
    <row r="22" spans="1:7" x14ac:dyDescent="0.3">
      <c r="A22" t="s">
        <v>36</v>
      </c>
      <c r="B22" s="3">
        <v>0.1</v>
      </c>
      <c r="C22">
        <v>5</v>
      </c>
      <c r="D22">
        <f t="shared" si="1"/>
        <v>0.5</v>
      </c>
      <c r="G22" s="7"/>
    </row>
    <row r="23" spans="1:7" ht="15" thickBot="1" x14ac:dyDescent="0.35">
      <c r="B23" s="4">
        <f>SUM(B16:B22)</f>
        <v>0.99999999999999989</v>
      </c>
      <c r="D23" s="6">
        <f>SUM(D16:D22)</f>
        <v>4.3</v>
      </c>
      <c r="G23" s="7"/>
    </row>
    <row r="24" spans="1:7" ht="15" thickTop="1" x14ac:dyDescent="0.3">
      <c r="G24" s="7"/>
    </row>
    <row r="25" spans="1:7" x14ac:dyDescent="0.3">
      <c r="A25" t="s">
        <v>9</v>
      </c>
      <c r="G25" s="7"/>
    </row>
    <row r="26" spans="1:7" x14ac:dyDescent="0.3">
      <c r="A26" s="1" t="s">
        <v>0</v>
      </c>
      <c r="B26" s="1" t="s">
        <v>1</v>
      </c>
      <c r="C26" s="1" t="s">
        <v>17</v>
      </c>
      <c r="D26" s="1" t="s">
        <v>2</v>
      </c>
      <c r="G26" s="7"/>
    </row>
    <row r="27" spans="1:7" x14ac:dyDescent="0.3">
      <c r="A27" t="s">
        <v>42</v>
      </c>
      <c r="B27" s="3">
        <v>0.25</v>
      </c>
      <c r="C27">
        <v>3</v>
      </c>
      <c r="D27">
        <f>C27*B27</f>
        <v>0.75</v>
      </c>
      <c r="G27" s="7"/>
    </row>
    <row r="28" spans="1:7" x14ac:dyDescent="0.3">
      <c r="A28" t="s">
        <v>41</v>
      </c>
      <c r="B28" s="3">
        <v>0.1</v>
      </c>
      <c r="C28">
        <v>5</v>
      </c>
      <c r="D28">
        <f t="shared" ref="D28:D33" si="2">C28*B28</f>
        <v>0.5</v>
      </c>
      <c r="G28" s="7"/>
    </row>
    <row r="29" spans="1:7" x14ac:dyDescent="0.3">
      <c r="A29" t="s">
        <v>40</v>
      </c>
      <c r="B29" s="3">
        <v>0.1</v>
      </c>
      <c r="C29">
        <v>2</v>
      </c>
      <c r="D29">
        <f t="shared" si="2"/>
        <v>0.2</v>
      </c>
      <c r="G29" s="7"/>
    </row>
    <row r="30" spans="1:7" x14ac:dyDescent="0.3">
      <c r="A30" t="s">
        <v>39</v>
      </c>
      <c r="B30" s="3">
        <v>0.1</v>
      </c>
      <c r="C30">
        <v>2</v>
      </c>
      <c r="D30">
        <f t="shared" si="2"/>
        <v>0.2</v>
      </c>
      <c r="G30" s="7"/>
    </row>
    <row r="31" spans="1:7" x14ac:dyDescent="0.3">
      <c r="A31" t="s">
        <v>38</v>
      </c>
      <c r="B31" s="3">
        <v>0.1</v>
      </c>
      <c r="C31">
        <v>3</v>
      </c>
      <c r="D31">
        <f t="shared" si="2"/>
        <v>0.30000000000000004</v>
      </c>
      <c r="G31" s="7"/>
    </row>
    <row r="32" spans="1:7" x14ac:dyDescent="0.3">
      <c r="A32" t="s">
        <v>37</v>
      </c>
      <c r="B32" s="3">
        <v>0.25</v>
      </c>
      <c r="C32">
        <v>3</v>
      </c>
      <c r="D32">
        <f t="shared" si="2"/>
        <v>0.75</v>
      </c>
      <c r="G32" s="7"/>
    </row>
    <row r="33" spans="1:7" x14ac:dyDescent="0.3">
      <c r="A33" t="s">
        <v>36</v>
      </c>
      <c r="B33" s="3">
        <v>0.1</v>
      </c>
      <c r="C33">
        <v>5</v>
      </c>
      <c r="D33">
        <f t="shared" si="2"/>
        <v>0.5</v>
      </c>
      <c r="G33" s="7"/>
    </row>
    <row r="34" spans="1:7" ht="15" thickBot="1" x14ac:dyDescent="0.35">
      <c r="B34" s="4">
        <f>SUM(B27:B33)</f>
        <v>0.99999999999999989</v>
      </c>
      <c r="D34" s="6">
        <f>SUM(D27:D33)</f>
        <v>3.2</v>
      </c>
      <c r="G34" s="7"/>
    </row>
    <row r="35" spans="1:7" ht="15" thickTop="1" x14ac:dyDescent="0.3">
      <c r="A35" s="9"/>
      <c r="B35" s="9"/>
      <c r="C35" s="9"/>
      <c r="D35" s="9"/>
      <c r="G35" s="7"/>
    </row>
    <row r="36" spans="1:7" x14ac:dyDescent="0.3">
      <c r="A36" t="s">
        <v>13</v>
      </c>
      <c r="G36" s="7"/>
    </row>
    <row r="37" spans="1:7" x14ac:dyDescent="0.3">
      <c r="A37" s="1" t="s">
        <v>0</v>
      </c>
      <c r="B37" s="1" t="s">
        <v>1</v>
      </c>
      <c r="C37" s="1" t="s">
        <v>17</v>
      </c>
      <c r="D37" s="1" t="s">
        <v>2</v>
      </c>
      <c r="G37" s="7"/>
    </row>
    <row r="38" spans="1:7" x14ac:dyDescent="0.3">
      <c r="A38" t="s">
        <v>42</v>
      </c>
      <c r="B38" s="3">
        <v>0.25</v>
      </c>
      <c r="C38">
        <v>4</v>
      </c>
      <c r="D38">
        <f>C38*B38</f>
        <v>1</v>
      </c>
      <c r="G38" s="7"/>
    </row>
    <row r="39" spans="1:7" x14ac:dyDescent="0.3">
      <c r="A39" t="s">
        <v>41</v>
      </c>
      <c r="B39" s="3">
        <v>0.1</v>
      </c>
      <c r="C39">
        <v>5</v>
      </c>
      <c r="D39">
        <f t="shared" ref="D39:D44" si="3">C39*B39</f>
        <v>0.5</v>
      </c>
      <c r="G39" s="7"/>
    </row>
    <row r="40" spans="1:7" x14ac:dyDescent="0.3">
      <c r="A40" t="s">
        <v>40</v>
      </c>
      <c r="B40" s="3">
        <v>0.1</v>
      </c>
      <c r="C40">
        <v>4</v>
      </c>
      <c r="D40">
        <f t="shared" si="3"/>
        <v>0.4</v>
      </c>
      <c r="G40" s="7"/>
    </row>
    <row r="41" spans="1:7" x14ac:dyDescent="0.3">
      <c r="A41" t="s">
        <v>39</v>
      </c>
      <c r="B41" s="3">
        <v>0.1</v>
      </c>
      <c r="C41">
        <v>4</v>
      </c>
      <c r="D41">
        <f t="shared" si="3"/>
        <v>0.4</v>
      </c>
      <c r="G41" s="7"/>
    </row>
    <row r="42" spans="1:7" x14ac:dyDescent="0.3">
      <c r="A42" t="s">
        <v>38</v>
      </c>
      <c r="B42" s="3">
        <v>0.1</v>
      </c>
      <c r="C42">
        <v>3</v>
      </c>
      <c r="D42">
        <f t="shared" si="3"/>
        <v>0.30000000000000004</v>
      </c>
      <c r="G42" s="7"/>
    </row>
    <row r="43" spans="1:7" x14ac:dyDescent="0.3">
      <c r="A43" t="s">
        <v>37</v>
      </c>
      <c r="B43" s="3">
        <v>0.25</v>
      </c>
      <c r="C43">
        <v>4</v>
      </c>
      <c r="D43">
        <f t="shared" si="3"/>
        <v>1</v>
      </c>
      <c r="G43" s="7"/>
    </row>
    <row r="44" spans="1:7" x14ac:dyDescent="0.3">
      <c r="A44" t="s">
        <v>36</v>
      </c>
      <c r="B44" s="3">
        <v>0.1</v>
      </c>
      <c r="C44">
        <v>4</v>
      </c>
      <c r="D44">
        <f t="shared" si="3"/>
        <v>0.4</v>
      </c>
      <c r="G44" s="7"/>
    </row>
    <row r="45" spans="1:7" ht="15" thickBot="1" x14ac:dyDescent="0.35">
      <c r="B45" s="4">
        <f>SUM(B38:B44)</f>
        <v>0.99999999999999989</v>
      </c>
      <c r="D45" s="6">
        <f>SUM(D38:D44)</f>
        <v>3.9999999999999996</v>
      </c>
      <c r="G45" s="7"/>
    </row>
    <row r="46" spans="1:7" ht="15" thickTop="1" x14ac:dyDescent="0.3">
      <c r="G46" s="7"/>
    </row>
    <row r="47" spans="1:7" x14ac:dyDescent="0.3">
      <c r="A47" t="s">
        <v>14</v>
      </c>
      <c r="G47" s="7"/>
    </row>
    <row r="48" spans="1:7" x14ac:dyDescent="0.3">
      <c r="A48" s="1" t="s">
        <v>0</v>
      </c>
      <c r="B48" s="1" t="s">
        <v>1</v>
      </c>
      <c r="C48" s="1" t="s">
        <v>17</v>
      </c>
      <c r="D48" s="1" t="s">
        <v>2</v>
      </c>
      <c r="G48" s="7"/>
    </row>
    <row r="49" spans="1:7" x14ac:dyDescent="0.3">
      <c r="A49" t="s">
        <v>42</v>
      </c>
      <c r="B49" s="3">
        <v>0.25</v>
      </c>
      <c r="C49">
        <v>4</v>
      </c>
      <c r="D49">
        <f>C49*B49</f>
        <v>1</v>
      </c>
      <c r="G49" s="7"/>
    </row>
    <row r="50" spans="1:7" x14ac:dyDescent="0.3">
      <c r="A50" t="s">
        <v>41</v>
      </c>
      <c r="B50" s="3">
        <v>0.1</v>
      </c>
      <c r="C50">
        <v>5</v>
      </c>
      <c r="D50">
        <f t="shared" ref="D50:D55" si="4">C50*B50</f>
        <v>0.5</v>
      </c>
    </row>
    <row r="51" spans="1:7" x14ac:dyDescent="0.3">
      <c r="A51" t="s">
        <v>40</v>
      </c>
      <c r="B51" s="3">
        <v>0.1</v>
      </c>
      <c r="C51">
        <v>4</v>
      </c>
      <c r="D51">
        <f t="shared" si="4"/>
        <v>0.4</v>
      </c>
      <c r="G51" s="7"/>
    </row>
    <row r="52" spans="1:7" x14ac:dyDescent="0.3">
      <c r="A52" t="s">
        <v>39</v>
      </c>
      <c r="B52" s="3">
        <v>0.1</v>
      </c>
      <c r="C52">
        <v>4</v>
      </c>
      <c r="D52">
        <f t="shared" si="4"/>
        <v>0.4</v>
      </c>
    </row>
    <row r="53" spans="1:7" x14ac:dyDescent="0.3">
      <c r="A53" t="s">
        <v>38</v>
      </c>
      <c r="B53" s="3">
        <v>0.1</v>
      </c>
      <c r="C53">
        <v>5</v>
      </c>
      <c r="D53">
        <f t="shared" si="4"/>
        <v>0.5</v>
      </c>
      <c r="G53" s="7"/>
    </row>
    <row r="54" spans="1:7" x14ac:dyDescent="0.3">
      <c r="A54" t="s">
        <v>37</v>
      </c>
      <c r="B54" s="3">
        <v>0.25</v>
      </c>
      <c r="C54">
        <v>4</v>
      </c>
      <c r="D54">
        <f t="shared" si="4"/>
        <v>1</v>
      </c>
      <c r="G54" s="8"/>
    </row>
    <row r="55" spans="1:7" x14ac:dyDescent="0.3">
      <c r="A55" t="s">
        <v>36</v>
      </c>
      <c r="B55" s="3">
        <v>0.1</v>
      </c>
      <c r="C55">
        <v>4</v>
      </c>
      <c r="D55">
        <f t="shared" si="4"/>
        <v>0.4</v>
      </c>
      <c r="G55" s="8"/>
    </row>
    <row r="56" spans="1:7" ht="15" thickBot="1" x14ac:dyDescent="0.35">
      <c r="B56" s="4">
        <f>SUM(B49:B55)</f>
        <v>0.99999999999999989</v>
      </c>
      <c r="D56" s="6">
        <f>SUM(D49:D55)</f>
        <v>4.2</v>
      </c>
    </row>
    <row r="57" spans="1:7" ht="15" thickTop="1" x14ac:dyDescent="0.3">
      <c r="G57" s="7"/>
    </row>
    <row r="58" spans="1:7" x14ac:dyDescent="0.3">
      <c r="A58" t="s">
        <v>15</v>
      </c>
      <c r="G58" s="8"/>
    </row>
    <row r="59" spans="1:7" x14ac:dyDescent="0.3">
      <c r="A59" s="1" t="s">
        <v>0</v>
      </c>
      <c r="B59" s="1" t="s">
        <v>1</v>
      </c>
      <c r="C59" s="1" t="s">
        <v>17</v>
      </c>
      <c r="D59" s="1" t="s">
        <v>2</v>
      </c>
      <c r="G59" s="8"/>
    </row>
    <row r="60" spans="1:7" x14ac:dyDescent="0.3">
      <c r="A60" t="s">
        <v>42</v>
      </c>
      <c r="B60" s="3">
        <v>0.25</v>
      </c>
      <c r="C60">
        <v>4</v>
      </c>
      <c r="D60">
        <f>C60*B60</f>
        <v>1</v>
      </c>
      <c r="G60" s="8"/>
    </row>
    <row r="61" spans="1:7" x14ac:dyDescent="0.3">
      <c r="A61" t="s">
        <v>41</v>
      </c>
      <c r="B61" s="3">
        <v>0.1</v>
      </c>
      <c r="C61">
        <v>5</v>
      </c>
      <c r="D61">
        <f t="shared" ref="D61:D66" si="5">C61*B61</f>
        <v>0.5</v>
      </c>
      <c r="G61" s="8"/>
    </row>
    <row r="62" spans="1:7" x14ac:dyDescent="0.3">
      <c r="A62" t="s">
        <v>40</v>
      </c>
      <c r="B62" s="3">
        <v>0.1</v>
      </c>
      <c r="C62">
        <v>4</v>
      </c>
      <c r="D62">
        <f t="shared" si="5"/>
        <v>0.4</v>
      </c>
      <c r="G62" s="8"/>
    </row>
    <row r="63" spans="1:7" x14ac:dyDescent="0.3">
      <c r="A63" t="s">
        <v>39</v>
      </c>
      <c r="B63" s="3">
        <v>0.1</v>
      </c>
      <c r="C63">
        <v>5</v>
      </c>
      <c r="D63">
        <f t="shared" si="5"/>
        <v>0.5</v>
      </c>
      <c r="G63" s="8"/>
    </row>
    <row r="64" spans="1:7" x14ac:dyDescent="0.3">
      <c r="A64" t="s">
        <v>38</v>
      </c>
      <c r="B64" s="3">
        <v>0.1</v>
      </c>
      <c r="C64">
        <v>4</v>
      </c>
      <c r="D64">
        <f t="shared" si="5"/>
        <v>0.4</v>
      </c>
      <c r="G64" s="8"/>
    </row>
    <row r="65" spans="1:7" x14ac:dyDescent="0.3">
      <c r="A65" t="s">
        <v>37</v>
      </c>
      <c r="B65" s="3">
        <v>0.25</v>
      </c>
      <c r="C65">
        <v>4</v>
      </c>
      <c r="D65">
        <f t="shared" si="5"/>
        <v>1</v>
      </c>
      <c r="G65" s="8"/>
    </row>
    <row r="66" spans="1:7" x14ac:dyDescent="0.3">
      <c r="A66" t="s">
        <v>36</v>
      </c>
      <c r="B66" s="3">
        <v>0.1</v>
      </c>
      <c r="C66">
        <v>4</v>
      </c>
      <c r="D66">
        <f t="shared" si="5"/>
        <v>0.4</v>
      </c>
      <c r="G66" s="8"/>
    </row>
    <row r="67" spans="1:7" ht="15" thickBot="1" x14ac:dyDescent="0.35">
      <c r="B67" s="4">
        <f>SUM(B60:B66)</f>
        <v>0.99999999999999989</v>
      </c>
      <c r="D67" s="6">
        <f>SUM(D60:D66)</f>
        <v>4.2</v>
      </c>
      <c r="G67" s="7"/>
    </row>
    <row r="68" spans="1:7" ht="15" thickTop="1" x14ac:dyDescent="0.3"/>
    <row r="69" spans="1:7" x14ac:dyDescent="0.3">
      <c r="G69" s="7"/>
    </row>
    <row r="70" spans="1:7" x14ac:dyDescent="0.3">
      <c r="G70" s="8"/>
    </row>
    <row r="71" spans="1:7" x14ac:dyDescent="0.3">
      <c r="G71" s="8"/>
    </row>
    <row r="72" spans="1:7" x14ac:dyDescent="0.3">
      <c r="G72" s="8"/>
    </row>
    <row r="74" spans="1:7" x14ac:dyDescent="0.3">
      <c r="G74" s="7"/>
    </row>
    <row r="76" spans="1:7" x14ac:dyDescent="0.3">
      <c r="G76" s="7"/>
    </row>
    <row r="77" spans="1:7" x14ac:dyDescent="0.3">
      <c r="G77" s="8"/>
    </row>
    <row r="78" spans="1:7" x14ac:dyDescent="0.3">
      <c r="G78" s="8"/>
    </row>
    <row r="79" spans="1:7" x14ac:dyDescent="0.3">
      <c r="G79" s="8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3C8CE-8961-44B1-B71B-F7EF96F06ACA}">
  <dimension ref="A1:G79"/>
  <sheetViews>
    <sheetView zoomScale="80" zoomScaleNormal="80" workbookViewId="0">
      <selection activeCell="A5" sqref="A5"/>
    </sheetView>
  </sheetViews>
  <sheetFormatPr defaultRowHeight="14.4" x14ac:dyDescent="0.3"/>
  <cols>
    <col min="1" max="1" width="122.77734375" bestFit="1" customWidth="1"/>
    <col min="2" max="2" width="6.77734375" bestFit="1" customWidth="1"/>
    <col min="3" max="3" width="10.21875" bestFit="1" customWidth="1"/>
    <col min="4" max="4" width="13.88671875" bestFit="1" customWidth="1"/>
    <col min="6" max="6" width="15.33203125" bestFit="1" customWidth="1"/>
  </cols>
  <sheetData>
    <row r="1" spans="1:7" x14ac:dyDescent="0.3">
      <c r="A1" s="2" t="s">
        <v>3</v>
      </c>
      <c r="B1" s="5">
        <v>5</v>
      </c>
    </row>
    <row r="2" spans="1:7" x14ac:dyDescent="0.3">
      <c r="F2" s="10" t="s">
        <v>35</v>
      </c>
      <c r="G2" s="7"/>
    </row>
    <row r="3" spans="1:7" x14ac:dyDescent="0.3">
      <c r="A3" t="s">
        <v>7</v>
      </c>
      <c r="F3">
        <f>D12</f>
        <v>3.4</v>
      </c>
      <c r="G3" s="7"/>
    </row>
    <row r="4" spans="1:7" x14ac:dyDescent="0.3">
      <c r="A4" s="1" t="s">
        <v>0</v>
      </c>
      <c r="B4" s="1" t="s">
        <v>1</v>
      </c>
      <c r="C4" s="1" t="s">
        <v>17</v>
      </c>
      <c r="D4" s="1" t="s">
        <v>2</v>
      </c>
      <c r="F4">
        <f>D23</f>
        <v>4</v>
      </c>
      <c r="G4" s="7"/>
    </row>
    <row r="5" spans="1:7" x14ac:dyDescent="0.3">
      <c r="A5" t="s">
        <v>42</v>
      </c>
      <c r="B5" s="3">
        <v>0.25</v>
      </c>
      <c r="C5">
        <v>3</v>
      </c>
      <c r="D5">
        <f>C5*B5</f>
        <v>0.75</v>
      </c>
      <c r="F5">
        <f>D34</f>
        <v>4.1999999999999993</v>
      </c>
      <c r="G5" s="7"/>
    </row>
    <row r="6" spans="1:7" x14ac:dyDescent="0.3">
      <c r="A6" t="s">
        <v>41</v>
      </c>
      <c r="B6" s="3">
        <v>0.1</v>
      </c>
      <c r="C6">
        <v>5</v>
      </c>
      <c r="D6">
        <f t="shared" ref="D6:D11" si="0">C6*B6</f>
        <v>0.5</v>
      </c>
      <c r="F6">
        <f>D45</f>
        <v>4.0999999999999996</v>
      </c>
      <c r="G6" s="7"/>
    </row>
    <row r="7" spans="1:7" x14ac:dyDescent="0.3">
      <c r="A7" t="s">
        <v>40</v>
      </c>
      <c r="B7" s="3">
        <v>0.1</v>
      </c>
      <c r="C7">
        <v>3</v>
      </c>
      <c r="D7">
        <f t="shared" si="0"/>
        <v>0.30000000000000004</v>
      </c>
      <c r="F7">
        <f>D56</f>
        <v>4.45</v>
      </c>
      <c r="G7" s="7"/>
    </row>
    <row r="8" spans="1:7" x14ac:dyDescent="0.3">
      <c r="A8" t="s">
        <v>39</v>
      </c>
      <c r="B8" s="3">
        <v>0.1</v>
      </c>
      <c r="C8">
        <v>3</v>
      </c>
      <c r="D8">
        <f t="shared" si="0"/>
        <v>0.30000000000000004</v>
      </c>
      <c r="F8">
        <f>D67</f>
        <v>4.4000000000000004</v>
      </c>
      <c r="G8" s="7"/>
    </row>
    <row r="9" spans="1:7" x14ac:dyDescent="0.3">
      <c r="A9" t="s">
        <v>38</v>
      </c>
      <c r="B9" s="3">
        <v>0.1</v>
      </c>
      <c r="C9">
        <v>4</v>
      </c>
      <c r="D9">
        <f t="shared" si="0"/>
        <v>0.4</v>
      </c>
      <c r="G9" s="7"/>
    </row>
    <row r="10" spans="1:7" x14ac:dyDescent="0.3">
      <c r="A10" t="s">
        <v>37</v>
      </c>
      <c r="B10" s="3">
        <v>0.25</v>
      </c>
      <c r="C10">
        <v>3</v>
      </c>
      <c r="D10">
        <f t="shared" si="0"/>
        <v>0.75</v>
      </c>
      <c r="G10" s="7"/>
    </row>
    <row r="11" spans="1:7" x14ac:dyDescent="0.3">
      <c r="A11" t="s">
        <v>36</v>
      </c>
      <c r="B11" s="3">
        <v>0.1</v>
      </c>
      <c r="C11">
        <v>4</v>
      </c>
      <c r="D11">
        <f t="shared" si="0"/>
        <v>0.4</v>
      </c>
      <c r="G11" s="7"/>
    </row>
    <row r="12" spans="1:7" ht="15" thickBot="1" x14ac:dyDescent="0.35">
      <c r="B12" s="4">
        <f>SUM(B5:B11)</f>
        <v>0.99999999999999989</v>
      </c>
      <c r="D12" s="6">
        <f>SUM(D5:D11)</f>
        <v>3.4</v>
      </c>
      <c r="G12" s="7"/>
    </row>
    <row r="13" spans="1:7" ht="15" thickTop="1" x14ac:dyDescent="0.3">
      <c r="G13" s="7"/>
    </row>
    <row r="14" spans="1:7" x14ac:dyDescent="0.3">
      <c r="A14" t="s">
        <v>8</v>
      </c>
      <c r="G14" s="7"/>
    </row>
    <row r="15" spans="1:7" x14ac:dyDescent="0.3">
      <c r="A15" s="1" t="s">
        <v>0</v>
      </c>
      <c r="B15" s="1" t="s">
        <v>1</v>
      </c>
      <c r="C15" s="1" t="s">
        <v>17</v>
      </c>
      <c r="D15" s="1" t="s">
        <v>2</v>
      </c>
      <c r="G15" s="7"/>
    </row>
    <row r="16" spans="1:7" x14ac:dyDescent="0.3">
      <c r="A16" t="s">
        <v>42</v>
      </c>
      <c r="B16" s="3">
        <v>0.25</v>
      </c>
      <c r="C16">
        <v>4</v>
      </c>
      <c r="D16">
        <f>C16*B16</f>
        <v>1</v>
      </c>
      <c r="G16" s="7"/>
    </row>
    <row r="17" spans="1:7" x14ac:dyDescent="0.3">
      <c r="A17" t="s">
        <v>41</v>
      </c>
      <c r="B17" s="3">
        <v>0.1</v>
      </c>
      <c r="C17">
        <v>5</v>
      </c>
      <c r="D17">
        <f t="shared" ref="D17:D22" si="1">C17*B17</f>
        <v>0.5</v>
      </c>
      <c r="G17" s="7"/>
    </row>
    <row r="18" spans="1:7" x14ac:dyDescent="0.3">
      <c r="A18" t="s">
        <v>40</v>
      </c>
      <c r="B18" s="3">
        <v>0.1</v>
      </c>
      <c r="C18">
        <v>3</v>
      </c>
      <c r="D18">
        <f t="shared" si="1"/>
        <v>0.30000000000000004</v>
      </c>
      <c r="G18" s="7"/>
    </row>
    <row r="19" spans="1:7" x14ac:dyDescent="0.3">
      <c r="A19" t="s">
        <v>39</v>
      </c>
      <c r="B19" s="3">
        <v>0.1</v>
      </c>
      <c r="C19">
        <v>4</v>
      </c>
      <c r="D19">
        <f t="shared" si="1"/>
        <v>0.4</v>
      </c>
      <c r="G19" s="7"/>
    </row>
    <row r="20" spans="1:7" x14ac:dyDescent="0.3">
      <c r="A20" t="s">
        <v>38</v>
      </c>
      <c r="B20" s="3">
        <v>0.1</v>
      </c>
      <c r="C20">
        <v>3</v>
      </c>
      <c r="D20">
        <f t="shared" si="1"/>
        <v>0.30000000000000004</v>
      </c>
      <c r="G20" s="7"/>
    </row>
    <row r="21" spans="1:7" x14ac:dyDescent="0.3">
      <c r="A21" t="s">
        <v>37</v>
      </c>
      <c r="B21" s="3">
        <v>0.25</v>
      </c>
      <c r="C21">
        <v>4</v>
      </c>
      <c r="D21">
        <f t="shared" si="1"/>
        <v>1</v>
      </c>
      <c r="G21" s="7"/>
    </row>
    <row r="22" spans="1:7" x14ac:dyDescent="0.3">
      <c r="A22" t="s">
        <v>36</v>
      </c>
      <c r="B22" s="3">
        <v>0.1</v>
      </c>
      <c r="C22">
        <v>5</v>
      </c>
      <c r="D22">
        <f t="shared" si="1"/>
        <v>0.5</v>
      </c>
      <c r="G22" s="7"/>
    </row>
    <row r="23" spans="1:7" ht="15" thickBot="1" x14ac:dyDescent="0.35">
      <c r="B23" s="4">
        <f>SUM(B16:B22)</f>
        <v>0.99999999999999989</v>
      </c>
      <c r="D23" s="6">
        <f>SUM(D16:D22)</f>
        <v>4</v>
      </c>
      <c r="G23" s="7"/>
    </row>
    <row r="24" spans="1:7" ht="15" thickTop="1" x14ac:dyDescent="0.3">
      <c r="G24" s="7"/>
    </row>
    <row r="25" spans="1:7" x14ac:dyDescent="0.3">
      <c r="A25" t="s">
        <v>9</v>
      </c>
      <c r="G25" s="7"/>
    </row>
    <row r="26" spans="1:7" x14ac:dyDescent="0.3">
      <c r="A26" s="1" t="s">
        <v>0</v>
      </c>
      <c r="B26" s="1" t="s">
        <v>1</v>
      </c>
      <c r="C26" s="1" t="s">
        <v>17</v>
      </c>
      <c r="D26" s="1" t="s">
        <v>2</v>
      </c>
      <c r="G26" s="7"/>
    </row>
    <row r="27" spans="1:7" x14ac:dyDescent="0.3">
      <c r="A27" t="s">
        <v>42</v>
      </c>
      <c r="B27" s="3">
        <v>0.25</v>
      </c>
      <c r="C27">
        <v>4</v>
      </c>
      <c r="D27">
        <f>C27*B27</f>
        <v>1</v>
      </c>
      <c r="G27" s="7"/>
    </row>
    <row r="28" spans="1:7" x14ac:dyDescent="0.3">
      <c r="A28" t="s">
        <v>41</v>
      </c>
      <c r="B28" s="3">
        <v>0.1</v>
      </c>
      <c r="C28">
        <v>5</v>
      </c>
      <c r="D28">
        <f t="shared" ref="D28:D33" si="2">C28*B28</f>
        <v>0.5</v>
      </c>
      <c r="G28" s="7"/>
    </row>
    <row r="29" spans="1:7" x14ac:dyDescent="0.3">
      <c r="A29" t="s">
        <v>40</v>
      </c>
      <c r="B29" s="3">
        <v>0.1</v>
      </c>
      <c r="C29">
        <v>4</v>
      </c>
      <c r="D29">
        <f t="shared" si="2"/>
        <v>0.4</v>
      </c>
      <c r="G29" s="7"/>
    </row>
    <row r="30" spans="1:7" x14ac:dyDescent="0.3">
      <c r="A30" t="s">
        <v>39</v>
      </c>
      <c r="B30" s="3">
        <v>0.1</v>
      </c>
      <c r="C30">
        <v>4</v>
      </c>
      <c r="D30">
        <f t="shared" si="2"/>
        <v>0.4</v>
      </c>
      <c r="G30" s="7"/>
    </row>
    <row r="31" spans="1:7" x14ac:dyDescent="0.3">
      <c r="A31" t="s">
        <v>38</v>
      </c>
      <c r="B31" s="3">
        <v>0.1</v>
      </c>
      <c r="C31">
        <v>4</v>
      </c>
      <c r="D31">
        <f t="shared" si="2"/>
        <v>0.4</v>
      </c>
      <c r="G31" s="7"/>
    </row>
    <row r="32" spans="1:7" x14ac:dyDescent="0.3">
      <c r="A32" t="s">
        <v>37</v>
      </c>
      <c r="B32" s="3">
        <v>0.25</v>
      </c>
      <c r="C32">
        <v>4</v>
      </c>
      <c r="D32">
        <f t="shared" si="2"/>
        <v>1</v>
      </c>
      <c r="G32" s="7"/>
    </row>
    <row r="33" spans="1:7" x14ac:dyDescent="0.3">
      <c r="A33" t="s">
        <v>36</v>
      </c>
      <c r="B33" s="3">
        <v>0.1</v>
      </c>
      <c r="C33">
        <v>5</v>
      </c>
      <c r="D33">
        <f t="shared" si="2"/>
        <v>0.5</v>
      </c>
      <c r="G33" s="7"/>
    </row>
    <row r="34" spans="1:7" ht="15" thickBot="1" x14ac:dyDescent="0.35">
      <c r="B34" s="4">
        <f>SUM(B27:B33)</f>
        <v>0.99999999999999989</v>
      </c>
      <c r="D34" s="6">
        <f>SUM(D27:D33)</f>
        <v>4.1999999999999993</v>
      </c>
      <c r="G34" s="7"/>
    </row>
    <row r="35" spans="1:7" ht="15" thickTop="1" x14ac:dyDescent="0.3">
      <c r="A35" s="9"/>
      <c r="B35" s="9"/>
      <c r="C35" s="9"/>
      <c r="D35" s="9"/>
      <c r="G35" s="7"/>
    </row>
    <row r="36" spans="1:7" x14ac:dyDescent="0.3">
      <c r="A36" t="s">
        <v>13</v>
      </c>
      <c r="G36" s="7"/>
    </row>
    <row r="37" spans="1:7" x14ac:dyDescent="0.3">
      <c r="A37" s="1" t="s">
        <v>0</v>
      </c>
      <c r="B37" s="1" t="s">
        <v>1</v>
      </c>
      <c r="C37" s="1" t="s">
        <v>17</v>
      </c>
      <c r="D37" s="1" t="s">
        <v>2</v>
      </c>
      <c r="G37" s="7"/>
    </row>
    <row r="38" spans="1:7" x14ac:dyDescent="0.3">
      <c r="A38" t="s">
        <v>42</v>
      </c>
      <c r="B38" s="3">
        <v>0.25</v>
      </c>
      <c r="C38">
        <v>4</v>
      </c>
      <c r="D38">
        <f>C38*B38</f>
        <v>1</v>
      </c>
      <c r="G38" s="7"/>
    </row>
    <row r="39" spans="1:7" x14ac:dyDescent="0.3">
      <c r="A39" t="s">
        <v>41</v>
      </c>
      <c r="B39" s="3">
        <v>0.1</v>
      </c>
      <c r="C39">
        <v>5</v>
      </c>
      <c r="D39">
        <f t="shared" ref="D39:D44" si="3">C39*B39</f>
        <v>0.5</v>
      </c>
      <c r="G39" s="7"/>
    </row>
    <row r="40" spans="1:7" x14ac:dyDescent="0.3">
      <c r="A40" t="s">
        <v>40</v>
      </c>
      <c r="B40" s="3">
        <v>0.1</v>
      </c>
      <c r="C40">
        <v>4</v>
      </c>
      <c r="D40">
        <f t="shared" si="3"/>
        <v>0.4</v>
      </c>
      <c r="G40" s="7"/>
    </row>
    <row r="41" spans="1:7" x14ac:dyDescent="0.3">
      <c r="A41" t="s">
        <v>39</v>
      </c>
      <c r="B41" s="3">
        <v>0.1</v>
      </c>
      <c r="C41">
        <v>4</v>
      </c>
      <c r="D41">
        <f t="shared" si="3"/>
        <v>0.4</v>
      </c>
      <c r="G41" s="7"/>
    </row>
    <row r="42" spans="1:7" x14ac:dyDescent="0.3">
      <c r="A42" t="s">
        <v>38</v>
      </c>
      <c r="B42" s="3">
        <v>0.1</v>
      </c>
      <c r="C42">
        <v>4</v>
      </c>
      <c r="D42">
        <f t="shared" si="3"/>
        <v>0.4</v>
      </c>
      <c r="G42" s="7"/>
    </row>
    <row r="43" spans="1:7" x14ac:dyDescent="0.3">
      <c r="A43" t="s">
        <v>37</v>
      </c>
      <c r="B43" s="3">
        <v>0.25</v>
      </c>
      <c r="C43">
        <v>4</v>
      </c>
      <c r="D43">
        <f t="shared" si="3"/>
        <v>1</v>
      </c>
      <c r="G43" s="7"/>
    </row>
    <row r="44" spans="1:7" x14ac:dyDescent="0.3">
      <c r="A44" t="s">
        <v>36</v>
      </c>
      <c r="B44" s="3">
        <v>0.1</v>
      </c>
      <c r="C44">
        <v>4</v>
      </c>
      <c r="D44">
        <f t="shared" si="3"/>
        <v>0.4</v>
      </c>
      <c r="G44" s="7"/>
    </row>
    <row r="45" spans="1:7" ht="15" thickBot="1" x14ac:dyDescent="0.35">
      <c r="B45" s="4">
        <f>SUM(B38:B44)</f>
        <v>0.99999999999999989</v>
      </c>
      <c r="D45" s="6">
        <f>SUM(D38:D44)</f>
        <v>4.0999999999999996</v>
      </c>
      <c r="G45" s="7"/>
    </row>
    <row r="46" spans="1:7" ht="15" thickTop="1" x14ac:dyDescent="0.3">
      <c r="G46" s="7"/>
    </row>
    <row r="47" spans="1:7" x14ac:dyDescent="0.3">
      <c r="A47" t="s">
        <v>14</v>
      </c>
      <c r="G47" s="7"/>
    </row>
    <row r="48" spans="1:7" x14ac:dyDescent="0.3">
      <c r="A48" s="1" t="s">
        <v>0</v>
      </c>
      <c r="B48" s="1" t="s">
        <v>1</v>
      </c>
      <c r="C48" s="1" t="s">
        <v>17</v>
      </c>
      <c r="D48" s="1" t="s">
        <v>2</v>
      </c>
      <c r="G48" s="7"/>
    </row>
    <row r="49" spans="1:7" x14ac:dyDescent="0.3">
      <c r="A49" t="s">
        <v>42</v>
      </c>
      <c r="B49" s="3">
        <v>0.25</v>
      </c>
      <c r="C49">
        <v>4</v>
      </c>
      <c r="D49">
        <f>C49*B49</f>
        <v>1</v>
      </c>
      <c r="G49" s="7"/>
    </row>
    <row r="50" spans="1:7" x14ac:dyDescent="0.3">
      <c r="A50" t="s">
        <v>41</v>
      </c>
      <c r="B50" s="3">
        <v>0.1</v>
      </c>
      <c r="C50">
        <v>5</v>
      </c>
      <c r="D50">
        <f t="shared" ref="D50:D55" si="4">C50*B50</f>
        <v>0.5</v>
      </c>
    </row>
    <row r="51" spans="1:7" x14ac:dyDescent="0.3">
      <c r="A51" t="s">
        <v>40</v>
      </c>
      <c r="B51" s="3">
        <v>0.1</v>
      </c>
      <c r="C51">
        <v>4</v>
      </c>
      <c r="D51">
        <f t="shared" si="4"/>
        <v>0.4</v>
      </c>
      <c r="G51" s="7"/>
    </row>
    <row r="52" spans="1:7" x14ac:dyDescent="0.3">
      <c r="A52" t="s">
        <v>39</v>
      </c>
      <c r="B52" s="3">
        <v>0.1</v>
      </c>
      <c r="C52">
        <v>4</v>
      </c>
      <c r="D52">
        <f t="shared" si="4"/>
        <v>0.4</v>
      </c>
    </row>
    <row r="53" spans="1:7" x14ac:dyDescent="0.3">
      <c r="A53" t="s">
        <v>38</v>
      </c>
      <c r="B53" s="3">
        <v>0.1</v>
      </c>
      <c r="C53">
        <v>5</v>
      </c>
      <c r="D53">
        <f t="shared" si="4"/>
        <v>0.5</v>
      </c>
      <c r="G53" s="7"/>
    </row>
    <row r="54" spans="1:7" x14ac:dyDescent="0.3">
      <c r="A54" t="s">
        <v>37</v>
      </c>
      <c r="B54" s="3">
        <v>0.25</v>
      </c>
      <c r="C54">
        <v>5</v>
      </c>
      <c r="D54">
        <f t="shared" si="4"/>
        <v>1.25</v>
      </c>
      <c r="G54" s="8"/>
    </row>
    <row r="55" spans="1:7" x14ac:dyDescent="0.3">
      <c r="A55" t="s">
        <v>36</v>
      </c>
      <c r="B55" s="3">
        <v>0.1</v>
      </c>
      <c r="C55">
        <v>4</v>
      </c>
      <c r="D55">
        <f t="shared" si="4"/>
        <v>0.4</v>
      </c>
      <c r="G55" s="8"/>
    </row>
    <row r="56" spans="1:7" ht="15" thickBot="1" x14ac:dyDescent="0.35">
      <c r="B56" s="4">
        <f>SUM(B49:B55)</f>
        <v>0.99999999999999989</v>
      </c>
      <c r="D56" s="6">
        <f>SUM(D49:D55)</f>
        <v>4.45</v>
      </c>
    </row>
    <row r="57" spans="1:7" ht="15" thickTop="1" x14ac:dyDescent="0.3">
      <c r="G57" s="7"/>
    </row>
    <row r="58" spans="1:7" x14ac:dyDescent="0.3">
      <c r="A58" t="s">
        <v>15</v>
      </c>
      <c r="G58" s="8"/>
    </row>
    <row r="59" spans="1:7" x14ac:dyDescent="0.3">
      <c r="A59" s="1" t="s">
        <v>0</v>
      </c>
      <c r="B59" s="1" t="s">
        <v>1</v>
      </c>
      <c r="C59" s="1" t="s">
        <v>17</v>
      </c>
      <c r="D59" s="1" t="s">
        <v>2</v>
      </c>
      <c r="G59" s="8"/>
    </row>
    <row r="60" spans="1:7" x14ac:dyDescent="0.3">
      <c r="A60" t="s">
        <v>42</v>
      </c>
      <c r="B60" s="3">
        <v>0.25</v>
      </c>
      <c r="C60">
        <v>4</v>
      </c>
      <c r="D60">
        <f>C60*B60</f>
        <v>1</v>
      </c>
      <c r="G60" s="8"/>
    </row>
    <row r="61" spans="1:7" x14ac:dyDescent="0.3">
      <c r="A61" t="s">
        <v>41</v>
      </c>
      <c r="B61" s="3">
        <v>0.1</v>
      </c>
      <c r="C61">
        <v>5</v>
      </c>
      <c r="D61">
        <f t="shared" ref="D61:D66" si="5">C61*B61</f>
        <v>0.5</v>
      </c>
      <c r="G61" s="8"/>
    </row>
    <row r="62" spans="1:7" x14ac:dyDescent="0.3">
      <c r="A62" t="s">
        <v>40</v>
      </c>
      <c r="B62" s="3">
        <v>0.1</v>
      </c>
      <c r="C62">
        <v>5</v>
      </c>
      <c r="D62">
        <f t="shared" si="5"/>
        <v>0.5</v>
      </c>
      <c r="G62" s="8"/>
    </row>
    <row r="63" spans="1:7" x14ac:dyDescent="0.3">
      <c r="A63" t="s">
        <v>39</v>
      </c>
      <c r="B63" s="3">
        <v>0.1</v>
      </c>
      <c r="C63">
        <v>5</v>
      </c>
      <c r="D63">
        <f t="shared" si="5"/>
        <v>0.5</v>
      </c>
      <c r="G63" s="8"/>
    </row>
    <row r="64" spans="1:7" x14ac:dyDescent="0.3">
      <c r="A64" t="s">
        <v>38</v>
      </c>
      <c r="B64" s="3">
        <v>0.1</v>
      </c>
      <c r="C64">
        <v>5</v>
      </c>
      <c r="D64">
        <f t="shared" si="5"/>
        <v>0.5</v>
      </c>
      <c r="G64" s="8"/>
    </row>
    <row r="65" spans="1:7" x14ac:dyDescent="0.3">
      <c r="A65" t="s">
        <v>37</v>
      </c>
      <c r="B65" s="3">
        <v>0.25</v>
      </c>
      <c r="C65">
        <v>4</v>
      </c>
      <c r="D65">
        <f t="shared" si="5"/>
        <v>1</v>
      </c>
      <c r="G65" s="8"/>
    </row>
    <row r="66" spans="1:7" x14ac:dyDescent="0.3">
      <c r="A66" t="s">
        <v>36</v>
      </c>
      <c r="B66" s="3">
        <v>0.1</v>
      </c>
      <c r="C66">
        <v>4</v>
      </c>
      <c r="D66">
        <f t="shared" si="5"/>
        <v>0.4</v>
      </c>
      <c r="G66" s="8"/>
    </row>
    <row r="67" spans="1:7" ht="15" thickBot="1" x14ac:dyDescent="0.35">
      <c r="B67" s="4">
        <f>SUM(B60:B66)</f>
        <v>0.99999999999999989</v>
      </c>
      <c r="D67" s="6">
        <f>SUM(D60:D66)</f>
        <v>4.4000000000000004</v>
      </c>
      <c r="G67" s="7"/>
    </row>
    <row r="68" spans="1:7" ht="15" thickTop="1" x14ac:dyDescent="0.3"/>
    <row r="69" spans="1:7" x14ac:dyDescent="0.3">
      <c r="G69" s="7"/>
    </row>
    <row r="70" spans="1:7" x14ac:dyDescent="0.3">
      <c r="G70" s="8"/>
    </row>
    <row r="71" spans="1:7" x14ac:dyDescent="0.3">
      <c r="G71" s="8"/>
    </row>
    <row r="72" spans="1:7" x14ac:dyDescent="0.3">
      <c r="G72" s="8"/>
    </row>
    <row r="74" spans="1:7" x14ac:dyDescent="0.3">
      <c r="G74" s="7"/>
    </row>
    <row r="76" spans="1:7" x14ac:dyDescent="0.3">
      <c r="G76" s="7"/>
    </row>
    <row r="77" spans="1:7" x14ac:dyDescent="0.3">
      <c r="G77" s="8"/>
    </row>
    <row r="78" spans="1:7" x14ac:dyDescent="0.3">
      <c r="G78" s="8"/>
    </row>
    <row r="79" spans="1:7" x14ac:dyDescent="0.3">
      <c r="G79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Statistical_Analysis</vt:lpstr>
      <vt:lpstr>d3235 #4</vt:lpstr>
      <vt:lpstr>d131 #1</vt:lpstr>
      <vt:lpstr>d393 #1</vt:lpstr>
      <vt:lpstr>d1456 #1</vt:lpstr>
      <vt:lpstr>d3235 #1</vt:lpstr>
      <vt:lpstr>d131 #2</vt:lpstr>
      <vt:lpstr>d393 #2</vt:lpstr>
      <vt:lpstr>d1456 #2</vt:lpstr>
      <vt:lpstr>d3235 #2</vt:lpstr>
      <vt:lpstr>d131 #3</vt:lpstr>
      <vt:lpstr>d393 #3</vt:lpstr>
      <vt:lpstr>d1456 #3</vt:lpstr>
      <vt:lpstr>d3235 #3</vt:lpstr>
      <vt:lpstr>d131 #4</vt:lpstr>
      <vt:lpstr>d393 #4</vt:lpstr>
      <vt:lpstr>d1456 #4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Wurster</dc:creator>
  <cp:lastModifiedBy>Kim Wurster</cp:lastModifiedBy>
  <dcterms:created xsi:type="dcterms:W3CDTF">2026-03-26T15:44:43Z</dcterms:created>
  <dcterms:modified xsi:type="dcterms:W3CDTF">2026-05-24T16:03:41Z</dcterms:modified>
</cp:coreProperties>
</file>